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shm\Desktop\Portfolio\"/>
    </mc:Choice>
  </mc:AlternateContent>
  <xr:revisionPtr revIDLastSave="0" documentId="13_ncr:1_{A6032FDE-88D8-4B40-9426-38C163CCFF56}" xr6:coauthVersionLast="47" xr6:coauthVersionMax="47" xr10:uidLastSave="{00000000-0000-0000-0000-000000000000}"/>
  <bookViews>
    <workbookView xWindow="-110" yWindow="-110" windowWidth="19420" windowHeight="11500" activeTab="3" xr2:uid="{962A1AFF-143D-48AE-914B-9C709139E6CF}"/>
  </bookViews>
  <sheets>
    <sheet name="01_ReadMe" sheetId="3" r:id="rId1"/>
    <sheet name="02_RawData" sheetId="1" r:id="rId2"/>
    <sheet name="03_CleanData" sheetId="2" r:id="rId3"/>
    <sheet name="04_Analysis &amp; Findings" sheetId="4" r:id="rId4"/>
    <sheet name="05_Dashboard" sheetId="5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5" l="1"/>
  <c r="B10" i="5"/>
  <c r="B14" i="5"/>
  <c r="A11" i="4"/>
  <c r="A20" i="4"/>
  <c r="A17" i="4"/>
  <c r="B6" i="4"/>
  <c r="B17" i="5"/>
  <c r="B13" i="5"/>
  <c r="B16" i="5"/>
  <c r="B15" i="5"/>
  <c r="B11" i="5"/>
  <c r="B9" i="5"/>
  <c r="B8" i="5"/>
  <c r="B7" i="5"/>
  <c r="A26" i="4"/>
  <c r="A23" i="4"/>
  <c r="A14" i="4"/>
  <c r="C6" i="4"/>
  <c r="C5" i="4" a="1"/>
  <c r="C5" i="4" s="1"/>
  <c r="B5" i="4" a="1"/>
  <c r="B5" i="4" s="1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I1213" i="2"/>
  <c r="C8" i="4" s="1" a="1"/>
  <c r="C8" i="4" s="1"/>
  <c r="H1213" i="2"/>
  <c r="C7" i="4" s="1" a="1"/>
  <c r="C7" i="4" s="1"/>
  <c r="D1213" i="2"/>
  <c r="B8" i="4" s="1" a="1"/>
  <c r="B8" i="4" s="1"/>
  <c r="C1213" i="2"/>
  <c r="B7" i="4" s="1" a="1"/>
  <c r="B7" i="4" s="1"/>
  <c r="I1212" i="2"/>
  <c r="H1212" i="2"/>
  <c r="D1212" i="2"/>
  <c r="C1212" i="2"/>
  <c r="I1211" i="2"/>
  <c r="H1211" i="2"/>
  <c r="D1211" i="2"/>
  <c r="C1211" i="2"/>
  <c r="I1210" i="2"/>
  <c r="H1210" i="2"/>
  <c r="D1210" i="2"/>
  <c r="C1210" i="2"/>
  <c r="I1209" i="2"/>
  <c r="H1209" i="2"/>
  <c r="D1209" i="2"/>
  <c r="C1209" i="2"/>
  <c r="I1208" i="2"/>
  <c r="H1208" i="2"/>
  <c r="D1208" i="2"/>
  <c r="C1208" i="2"/>
  <c r="I1207" i="2"/>
  <c r="H1207" i="2"/>
  <c r="D1207" i="2"/>
  <c r="C1207" i="2"/>
  <c r="I1206" i="2"/>
  <c r="H1206" i="2"/>
  <c r="D1206" i="2"/>
  <c r="C1206" i="2"/>
  <c r="I1205" i="2"/>
  <c r="H1205" i="2"/>
  <c r="D1205" i="2"/>
  <c r="C1205" i="2"/>
  <c r="I1204" i="2"/>
  <c r="H1204" i="2"/>
  <c r="D1204" i="2"/>
  <c r="C1204" i="2"/>
  <c r="I1203" i="2"/>
  <c r="H1203" i="2"/>
  <c r="D1203" i="2"/>
  <c r="C1203" i="2"/>
  <c r="I1202" i="2"/>
  <c r="H1202" i="2"/>
  <c r="D1202" i="2"/>
  <c r="C1202" i="2"/>
  <c r="I1201" i="2"/>
  <c r="H1201" i="2"/>
  <c r="D1201" i="2"/>
  <c r="C1201" i="2"/>
  <c r="I1200" i="2"/>
  <c r="H1200" i="2"/>
  <c r="D1200" i="2"/>
  <c r="C1200" i="2"/>
  <c r="I1199" i="2"/>
  <c r="H1199" i="2"/>
  <c r="D1199" i="2"/>
  <c r="C1199" i="2"/>
  <c r="I1198" i="2"/>
  <c r="H1198" i="2"/>
  <c r="D1198" i="2"/>
  <c r="C1198" i="2"/>
  <c r="I1197" i="2"/>
  <c r="H1197" i="2"/>
  <c r="D1197" i="2"/>
  <c r="C1197" i="2"/>
  <c r="I1196" i="2"/>
  <c r="H1196" i="2"/>
  <c r="D1196" i="2"/>
  <c r="C1196" i="2"/>
  <c r="I1195" i="2"/>
  <c r="H1195" i="2"/>
  <c r="D1195" i="2"/>
  <c r="C1195" i="2"/>
  <c r="I1194" i="2"/>
  <c r="H1194" i="2"/>
  <c r="D1194" i="2"/>
  <c r="C1194" i="2"/>
  <c r="I1193" i="2"/>
  <c r="H1193" i="2"/>
  <c r="D1193" i="2"/>
  <c r="C1193" i="2"/>
  <c r="I1192" i="2"/>
  <c r="H1192" i="2"/>
  <c r="D1192" i="2"/>
  <c r="C1192" i="2"/>
  <c r="I1191" i="2"/>
  <c r="H1191" i="2"/>
  <c r="D1191" i="2"/>
  <c r="C1191" i="2"/>
  <c r="I1190" i="2"/>
  <c r="H1190" i="2"/>
  <c r="D1190" i="2"/>
  <c r="C1190" i="2"/>
  <c r="I1189" i="2"/>
  <c r="H1189" i="2"/>
  <c r="D1189" i="2"/>
  <c r="C1189" i="2"/>
  <c r="I1188" i="2"/>
  <c r="H1188" i="2"/>
  <c r="D1188" i="2"/>
  <c r="C1188" i="2"/>
  <c r="I1187" i="2"/>
  <c r="H1187" i="2"/>
  <c r="D1187" i="2"/>
  <c r="C1187" i="2"/>
  <c r="I1186" i="2"/>
  <c r="H1186" i="2"/>
  <c r="D1186" i="2"/>
  <c r="C1186" i="2"/>
  <c r="I1185" i="2"/>
  <c r="H1185" i="2"/>
  <c r="D1185" i="2"/>
  <c r="C1185" i="2"/>
  <c r="I1184" i="2"/>
  <c r="H1184" i="2"/>
  <c r="D1184" i="2"/>
  <c r="C1184" i="2"/>
  <c r="I1183" i="2"/>
  <c r="H1183" i="2"/>
  <c r="D1183" i="2"/>
  <c r="C1183" i="2"/>
  <c r="I1182" i="2"/>
  <c r="H1182" i="2"/>
  <c r="D1182" i="2"/>
  <c r="C1182" i="2"/>
  <c r="I1181" i="2"/>
  <c r="H1181" i="2"/>
  <c r="D1181" i="2"/>
  <c r="C1181" i="2"/>
  <c r="I1180" i="2"/>
  <c r="H1180" i="2"/>
  <c r="D1180" i="2"/>
  <c r="C1180" i="2"/>
  <c r="I1179" i="2"/>
  <c r="H1179" i="2"/>
  <c r="D1179" i="2"/>
  <c r="C1179" i="2"/>
  <c r="I1178" i="2"/>
  <c r="H1178" i="2"/>
  <c r="D1178" i="2"/>
  <c r="C1178" i="2"/>
  <c r="I1177" i="2"/>
  <c r="H1177" i="2"/>
  <c r="D1177" i="2"/>
  <c r="C1177" i="2"/>
  <c r="I1176" i="2"/>
  <c r="H1176" i="2"/>
  <c r="D1176" i="2"/>
  <c r="C1176" i="2"/>
  <c r="I1175" i="2"/>
  <c r="H1175" i="2"/>
  <c r="D1175" i="2"/>
  <c r="C1175" i="2"/>
  <c r="I1174" i="2"/>
  <c r="H1174" i="2"/>
  <c r="D1174" i="2"/>
  <c r="C1174" i="2"/>
  <c r="I1173" i="2"/>
  <c r="H1173" i="2"/>
  <c r="D1173" i="2"/>
  <c r="C1173" i="2"/>
  <c r="I1172" i="2"/>
  <c r="H1172" i="2"/>
  <c r="D1172" i="2"/>
  <c r="C1172" i="2"/>
  <c r="I1171" i="2"/>
  <c r="H1171" i="2"/>
  <c r="D1171" i="2"/>
  <c r="C1171" i="2"/>
  <c r="I1170" i="2"/>
  <c r="H1170" i="2"/>
  <c r="D1170" i="2"/>
  <c r="C1170" i="2"/>
  <c r="I1169" i="2"/>
  <c r="H1169" i="2"/>
  <c r="D1169" i="2"/>
  <c r="C1169" i="2"/>
  <c r="I1168" i="2"/>
  <c r="H1168" i="2"/>
  <c r="D1168" i="2"/>
  <c r="C1168" i="2"/>
  <c r="I1167" i="2"/>
  <c r="H1167" i="2"/>
  <c r="D1167" i="2"/>
  <c r="C1167" i="2"/>
  <c r="I1166" i="2"/>
  <c r="H1166" i="2"/>
  <c r="D1166" i="2"/>
  <c r="C1166" i="2"/>
  <c r="I1165" i="2"/>
  <c r="H1165" i="2"/>
  <c r="D1165" i="2"/>
  <c r="C1165" i="2"/>
  <c r="I1164" i="2"/>
  <c r="H1164" i="2"/>
  <c r="D1164" i="2"/>
  <c r="C1164" i="2"/>
  <c r="I1163" i="2"/>
  <c r="H1163" i="2"/>
  <c r="D1163" i="2"/>
  <c r="C1163" i="2"/>
  <c r="I1162" i="2"/>
  <c r="H1162" i="2"/>
  <c r="D1162" i="2"/>
  <c r="C1162" i="2"/>
  <c r="I1161" i="2"/>
  <c r="H1161" i="2"/>
  <c r="D1161" i="2"/>
  <c r="C1161" i="2"/>
  <c r="I1160" i="2"/>
  <c r="H1160" i="2"/>
  <c r="D1160" i="2"/>
  <c r="C1160" i="2"/>
  <c r="I1159" i="2"/>
  <c r="H1159" i="2"/>
  <c r="D1159" i="2"/>
  <c r="C1159" i="2"/>
  <c r="I1158" i="2"/>
  <c r="H1158" i="2"/>
  <c r="D1158" i="2"/>
  <c r="C1158" i="2"/>
  <c r="I1157" i="2"/>
  <c r="H1157" i="2"/>
  <c r="D1157" i="2"/>
  <c r="C1157" i="2"/>
  <c r="I1156" i="2"/>
  <c r="H1156" i="2"/>
  <c r="D1156" i="2"/>
  <c r="C1156" i="2"/>
  <c r="I1155" i="2"/>
  <c r="H1155" i="2"/>
  <c r="D1155" i="2"/>
  <c r="C1155" i="2"/>
  <c r="I1154" i="2"/>
  <c r="H1154" i="2"/>
  <c r="D1154" i="2"/>
  <c r="C1154" i="2"/>
  <c r="I1153" i="2"/>
  <c r="H1153" i="2"/>
  <c r="D1153" i="2"/>
  <c r="C1153" i="2"/>
  <c r="I1152" i="2"/>
  <c r="H1152" i="2"/>
  <c r="D1152" i="2"/>
  <c r="C1152" i="2"/>
  <c r="I1151" i="2"/>
  <c r="H1151" i="2"/>
  <c r="D1151" i="2"/>
  <c r="C1151" i="2"/>
  <c r="I1150" i="2"/>
  <c r="H1150" i="2"/>
  <c r="D1150" i="2"/>
  <c r="C1150" i="2"/>
  <c r="I1149" i="2"/>
  <c r="H1149" i="2"/>
  <c r="D1149" i="2"/>
  <c r="C1149" i="2"/>
  <c r="I1148" i="2"/>
  <c r="H1148" i="2"/>
  <c r="D1148" i="2"/>
  <c r="C1148" i="2"/>
  <c r="I1147" i="2"/>
  <c r="H1147" i="2"/>
  <c r="D1147" i="2"/>
  <c r="C1147" i="2"/>
  <c r="I1146" i="2"/>
  <c r="H1146" i="2"/>
  <c r="D1146" i="2"/>
  <c r="C1146" i="2"/>
  <c r="I1145" i="2"/>
  <c r="H1145" i="2"/>
  <c r="D1145" i="2"/>
  <c r="C1145" i="2"/>
  <c r="I1144" i="2"/>
  <c r="H1144" i="2"/>
  <c r="D1144" i="2"/>
  <c r="C1144" i="2"/>
  <c r="I1143" i="2"/>
  <c r="H1143" i="2"/>
  <c r="D1143" i="2"/>
  <c r="C1143" i="2"/>
  <c r="I1142" i="2"/>
  <c r="H1142" i="2"/>
  <c r="D1142" i="2"/>
  <c r="C1142" i="2"/>
  <c r="I1141" i="2"/>
  <c r="H1141" i="2"/>
  <c r="D1141" i="2"/>
  <c r="C1141" i="2"/>
  <c r="I1140" i="2"/>
  <c r="H1140" i="2"/>
  <c r="D1140" i="2"/>
  <c r="C1140" i="2"/>
  <c r="I1139" i="2"/>
  <c r="H1139" i="2"/>
  <c r="D1139" i="2"/>
  <c r="C1139" i="2"/>
  <c r="I1138" i="2"/>
  <c r="H1138" i="2"/>
  <c r="D1138" i="2"/>
  <c r="C1138" i="2"/>
  <c r="I1137" i="2"/>
  <c r="H1137" i="2"/>
  <c r="D1137" i="2"/>
  <c r="C1137" i="2"/>
  <c r="I1136" i="2"/>
  <c r="H1136" i="2"/>
  <c r="D1136" i="2"/>
  <c r="C1136" i="2"/>
  <c r="I1135" i="2"/>
  <c r="H1135" i="2"/>
  <c r="D1135" i="2"/>
  <c r="C1135" i="2"/>
  <c r="I1134" i="2"/>
  <c r="H1134" i="2"/>
  <c r="D1134" i="2"/>
  <c r="C1134" i="2"/>
  <c r="I1133" i="2"/>
  <c r="H1133" i="2"/>
  <c r="D1133" i="2"/>
  <c r="C1133" i="2"/>
  <c r="I1132" i="2"/>
  <c r="H1132" i="2"/>
  <c r="D1132" i="2"/>
  <c r="C1132" i="2"/>
  <c r="I1131" i="2"/>
  <c r="H1131" i="2"/>
  <c r="D1131" i="2"/>
  <c r="C1131" i="2"/>
  <c r="I1130" i="2"/>
  <c r="H1130" i="2"/>
  <c r="D1130" i="2"/>
  <c r="C1130" i="2"/>
  <c r="I1129" i="2"/>
  <c r="H1129" i="2"/>
  <c r="D1129" i="2"/>
  <c r="C1129" i="2"/>
  <c r="I1128" i="2"/>
  <c r="H1128" i="2"/>
  <c r="D1128" i="2"/>
  <c r="C1128" i="2"/>
  <c r="I1127" i="2"/>
  <c r="H1127" i="2"/>
  <c r="D1127" i="2"/>
  <c r="C1127" i="2"/>
  <c r="I1126" i="2"/>
  <c r="H1126" i="2"/>
  <c r="D1126" i="2"/>
  <c r="C1126" i="2"/>
  <c r="I1125" i="2"/>
  <c r="H1125" i="2"/>
  <c r="D1125" i="2"/>
  <c r="C1125" i="2"/>
  <c r="I1124" i="2"/>
  <c r="H1124" i="2"/>
  <c r="D1124" i="2"/>
  <c r="C1124" i="2"/>
  <c r="I1123" i="2"/>
  <c r="H1123" i="2"/>
  <c r="D1123" i="2"/>
  <c r="C1123" i="2"/>
  <c r="I1122" i="2"/>
  <c r="H1122" i="2"/>
  <c r="D1122" i="2"/>
  <c r="C1122" i="2"/>
  <c r="I1121" i="2"/>
  <c r="H1121" i="2"/>
  <c r="D1121" i="2"/>
  <c r="C1121" i="2"/>
  <c r="I1120" i="2"/>
  <c r="H1120" i="2"/>
  <c r="D1120" i="2"/>
  <c r="C1120" i="2"/>
  <c r="I1119" i="2"/>
  <c r="H1119" i="2"/>
  <c r="D1119" i="2"/>
  <c r="C1119" i="2"/>
  <c r="I1118" i="2"/>
  <c r="H1118" i="2"/>
  <c r="D1118" i="2"/>
  <c r="C1118" i="2"/>
  <c r="I1117" i="2"/>
  <c r="H1117" i="2"/>
  <c r="D1117" i="2"/>
  <c r="C1117" i="2"/>
  <c r="I1116" i="2"/>
  <c r="H1116" i="2"/>
  <c r="D1116" i="2"/>
  <c r="C1116" i="2"/>
  <c r="I1115" i="2"/>
  <c r="H1115" i="2"/>
  <c r="D1115" i="2"/>
  <c r="C1115" i="2"/>
  <c r="I1114" i="2"/>
  <c r="H1114" i="2"/>
  <c r="D1114" i="2"/>
  <c r="C1114" i="2"/>
  <c r="I1113" i="2"/>
  <c r="H1113" i="2"/>
  <c r="D1113" i="2"/>
  <c r="C1113" i="2"/>
  <c r="I1112" i="2"/>
  <c r="H1112" i="2"/>
  <c r="D1112" i="2"/>
  <c r="C1112" i="2"/>
  <c r="I1111" i="2"/>
  <c r="H1111" i="2"/>
  <c r="D1111" i="2"/>
  <c r="C1111" i="2"/>
  <c r="I1110" i="2"/>
  <c r="H1110" i="2"/>
  <c r="D1110" i="2"/>
  <c r="C1110" i="2"/>
  <c r="I1109" i="2"/>
  <c r="H1109" i="2"/>
  <c r="D1109" i="2"/>
  <c r="C1109" i="2"/>
  <c r="I1108" i="2"/>
  <c r="H1108" i="2"/>
  <c r="D1108" i="2"/>
  <c r="C1108" i="2"/>
  <c r="I1107" i="2"/>
  <c r="H1107" i="2"/>
  <c r="D1107" i="2"/>
  <c r="C1107" i="2"/>
  <c r="I1106" i="2"/>
  <c r="H1106" i="2"/>
  <c r="D1106" i="2"/>
  <c r="C1106" i="2"/>
  <c r="I1105" i="2"/>
  <c r="H1105" i="2"/>
  <c r="D1105" i="2"/>
  <c r="C1105" i="2"/>
  <c r="I1104" i="2"/>
  <c r="H1104" i="2"/>
  <c r="D1104" i="2"/>
  <c r="C1104" i="2"/>
  <c r="I1103" i="2"/>
  <c r="H1103" i="2"/>
  <c r="D1103" i="2"/>
  <c r="C1103" i="2"/>
  <c r="I1102" i="2"/>
  <c r="H1102" i="2"/>
  <c r="D1102" i="2"/>
  <c r="C1102" i="2"/>
  <c r="I1101" i="2"/>
  <c r="H1101" i="2"/>
  <c r="D1101" i="2"/>
  <c r="C1101" i="2"/>
  <c r="I1100" i="2"/>
  <c r="H1100" i="2"/>
  <c r="D1100" i="2"/>
  <c r="C1100" i="2"/>
  <c r="I1099" i="2"/>
  <c r="H1099" i="2"/>
  <c r="D1099" i="2"/>
  <c r="C1099" i="2"/>
  <c r="I1098" i="2"/>
  <c r="H1098" i="2"/>
  <c r="D1098" i="2"/>
  <c r="C1098" i="2"/>
  <c r="I1097" i="2"/>
  <c r="H1097" i="2"/>
  <c r="D1097" i="2"/>
  <c r="C1097" i="2"/>
  <c r="I1096" i="2"/>
  <c r="H1096" i="2"/>
  <c r="D1096" i="2"/>
  <c r="C1096" i="2"/>
  <c r="I1095" i="2"/>
  <c r="H1095" i="2"/>
  <c r="D1095" i="2"/>
  <c r="C1095" i="2"/>
  <c r="I1094" i="2"/>
  <c r="H1094" i="2"/>
  <c r="D1094" i="2"/>
  <c r="C1094" i="2"/>
  <c r="I1093" i="2"/>
  <c r="H1093" i="2"/>
  <c r="D1093" i="2"/>
  <c r="C1093" i="2"/>
  <c r="I1092" i="2"/>
  <c r="H1092" i="2"/>
  <c r="D1092" i="2"/>
  <c r="C1092" i="2"/>
  <c r="I1091" i="2"/>
  <c r="H1091" i="2"/>
  <c r="D1091" i="2"/>
  <c r="C1091" i="2"/>
  <c r="I1090" i="2"/>
  <c r="H1090" i="2"/>
  <c r="D1090" i="2"/>
  <c r="C1090" i="2"/>
  <c r="I1089" i="2"/>
  <c r="H1089" i="2"/>
  <c r="D1089" i="2"/>
  <c r="C1089" i="2"/>
  <c r="I1088" i="2"/>
  <c r="H1088" i="2"/>
  <c r="D1088" i="2"/>
  <c r="C1088" i="2"/>
  <c r="I1087" i="2"/>
  <c r="H1087" i="2"/>
  <c r="D1087" i="2"/>
  <c r="C1087" i="2"/>
  <c r="I1086" i="2"/>
  <c r="H1086" i="2"/>
  <c r="D1086" i="2"/>
  <c r="C1086" i="2"/>
  <c r="I1085" i="2"/>
  <c r="H1085" i="2"/>
  <c r="D1085" i="2"/>
  <c r="C1085" i="2"/>
  <c r="I1084" i="2"/>
  <c r="H1084" i="2"/>
  <c r="D1084" i="2"/>
  <c r="C1084" i="2"/>
  <c r="I1083" i="2"/>
  <c r="H1083" i="2"/>
  <c r="D1083" i="2"/>
  <c r="C1083" i="2"/>
  <c r="I1082" i="2"/>
  <c r="H1082" i="2"/>
  <c r="D1082" i="2"/>
  <c r="C1082" i="2"/>
  <c r="I1081" i="2"/>
  <c r="H1081" i="2"/>
  <c r="D1081" i="2"/>
  <c r="C1081" i="2"/>
  <c r="I1080" i="2"/>
  <c r="H1080" i="2"/>
  <c r="D1080" i="2"/>
  <c r="C1080" i="2"/>
  <c r="I1079" i="2"/>
  <c r="H1079" i="2"/>
  <c r="D1079" i="2"/>
  <c r="C1079" i="2"/>
  <c r="I1078" i="2"/>
  <c r="H1078" i="2"/>
  <c r="D1078" i="2"/>
  <c r="C1078" i="2"/>
  <c r="I1077" i="2"/>
  <c r="H1077" i="2"/>
  <c r="D1077" i="2"/>
  <c r="C1077" i="2"/>
  <c r="I1076" i="2"/>
  <c r="H1076" i="2"/>
  <c r="D1076" i="2"/>
  <c r="C1076" i="2"/>
  <c r="I1075" i="2"/>
  <c r="H1075" i="2"/>
  <c r="D1075" i="2"/>
  <c r="C1075" i="2"/>
  <c r="I1074" i="2"/>
  <c r="H1074" i="2"/>
  <c r="D1074" i="2"/>
  <c r="C1074" i="2"/>
  <c r="I1073" i="2"/>
  <c r="H1073" i="2"/>
  <c r="D1073" i="2"/>
  <c r="C1073" i="2"/>
  <c r="I1072" i="2"/>
  <c r="H1072" i="2"/>
  <c r="D1072" i="2"/>
  <c r="C1072" i="2"/>
  <c r="I1071" i="2"/>
  <c r="H1071" i="2"/>
  <c r="D1071" i="2"/>
  <c r="C1071" i="2"/>
  <c r="I1070" i="2"/>
  <c r="H1070" i="2"/>
  <c r="D1070" i="2"/>
  <c r="C1070" i="2"/>
  <c r="I1069" i="2"/>
  <c r="H1069" i="2"/>
  <c r="D1069" i="2"/>
  <c r="C1069" i="2"/>
  <c r="I1068" i="2"/>
  <c r="H1068" i="2"/>
  <c r="D1068" i="2"/>
  <c r="C1068" i="2"/>
  <c r="I1067" i="2"/>
  <c r="H1067" i="2"/>
  <c r="D1067" i="2"/>
  <c r="C1067" i="2"/>
  <c r="I1066" i="2"/>
  <c r="H1066" i="2"/>
  <c r="D1066" i="2"/>
  <c r="C1066" i="2"/>
  <c r="I1065" i="2"/>
  <c r="H1065" i="2"/>
  <c r="D1065" i="2"/>
  <c r="C1065" i="2"/>
  <c r="I1064" i="2"/>
  <c r="H1064" i="2"/>
  <c r="D1064" i="2"/>
  <c r="C1064" i="2"/>
  <c r="I1063" i="2"/>
  <c r="H1063" i="2"/>
  <c r="D1063" i="2"/>
  <c r="C1063" i="2"/>
  <c r="I1062" i="2"/>
  <c r="H1062" i="2"/>
  <c r="D1062" i="2"/>
  <c r="C1062" i="2"/>
  <c r="I1061" i="2"/>
  <c r="H1061" i="2"/>
  <c r="D1061" i="2"/>
  <c r="C1061" i="2"/>
  <c r="I1060" i="2"/>
  <c r="H1060" i="2"/>
  <c r="D1060" i="2"/>
  <c r="C1060" i="2"/>
  <c r="I1059" i="2"/>
  <c r="H1059" i="2"/>
  <c r="D1059" i="2"/>
  <c r="C1059" i="2"/>
  <c r="I1058" i="2"/>
  <c r="H1058" i="2"/>
  <c r="D1058" i="2"/>
  <c r="C1058" i="2"/>
  <c r="I1057" i="2"/>
  <c r="H1057" i="2"/>
  <c r="D1057" i="2"/>
  <c r="C1057" i="2"/>
  <c r="I1056" i="2"/>
  <c r="H1056" i="2"/>
  <c r="D1056" i="2"/>
  <c r="C1056" i="2"/>
  <c r="I1055" i="2"/>
  <c r="H1055" i="2"/>
  <c r="D1055" i="2"/>
  <c r="C1055" i="2"/>
  <c r="I1054" i="2"/>
  <c r="H1054" i="2"/>
  <c r="D1054" i="2"/>
  <c r="C1054" i="2"/>
  <c r="I1053" i="2"/>
  <c r="H1053" i="2"/>
  <c r="D1053" i="2"/>
  <c r="C1053" i="2"/>
  <c r="I1052" i="2"/>
  <c r="H1052" i="2"/>
  <c r="D1052" i="2"/>
  <c r="C1052" i="2"/>
  <c r="I1051" i="2"/>
  <c r="H1051" i="2"/>
  <c r="D1051" i="2"/>
  <c r="C1051" i="2"/>
  <c r="I1050" i="2"/>
  <c r="H1050" i="2"/>
  <c r="D1050" i="2"/>
  <c r="C1050" i="2"/>
  <c r="I1049" i="2"/>
  <c r="H1049" i="2"/>
  <c r="D1049" i="2"/>
  <c r="C1049" i="2"/>
  <c r="I1048" i="2"/>
  <c r="H1048" i="2"/>
  <c r="D1048" i="2"/>
  <c r="C1048" i="2"/>
  <c r="I1047" i="2"/>
  <c r="H1047" i="2"/>
  <c r="D1047" i="2"/>
  <c r="C1047" i="2"/>
  <c r="I1046" i="2"/>
  <c r="H1046" i="2"/>
  <c r="D1046" i="2"/>
  <c r="C1046" i="2"/>
  <c r="I1045" i="2"/>
  <c r="H1045" i="2"/>
  <c r="D1045" i="2"/>
  <c r="C1045" i="2"/>
  <c r="I1044" i="2"/>
  <c r="H1044" i="2"/>
  <c r="D1044" i="2"/>
  <c r="C1044" i="2"/>
  <c r="I1043" i="2"/>
  <c r="H1043" i="2"/>
  <c r="D1043" i="2"/>
  <c r="C1043" i="2"/>
  <c r="I1042" i="2"/>
  <c r="H1042" i="2"/>
  <c r="D1042" i="2"/>
  <c r="C1042" i="2"/>
  <c r="I1041" i="2"/>
  <c r="H1041" i="2"/>
  <c r="D1041" i="2"/>
  <c r="C1041" i="2"/>
  <c r="I1040" i="2"/>
  <c r="H1040" i="2"/>
  <c r="D1040" i="2"/>
  <c r="C1040" i="2"/>
  <c r="I1039" i="2"/>
  <c r="H1039" i="2"/>
  <c r="D1039" i="2"/>
  <c r="C1039" i="2"/>
  <c r="I1038" i="2"/>
  <c r="H1038" i="2"/>
  <c r="D1038" i="2"/>
  <c r="C1038" i="2"/>
  <c r="I1037" i="2"/>
  <c r="H1037" i="2"/>
  <c r="D1037" i="2"/>
  <c r="C1037" i="2"/>
  <c r="I1036" i="2"/>
  <c r="H1036" i="2"/>
  <c r="D1036" i="2"/>
  <c r="C1036" i="2"/>
  <c r="I1035" i="2"/>
  <c r="H1035" i="2"/>
  <c r="D1035" i="2"/>
  <c r="C1035" i="2"/>
  <c r="I1034" i="2"/>
  <c r="H1034" i="2"/>
  <c r="D1034" i="2"/>
  <c r="C1034" i="2"/>
  <c r="I1033" i="2"/>
  <c r="H1033" i="2"/>
  <c r="D1033" i="2"/>
  <c r="C1033" i="2"/>
  <c r="I1032" i="2"/>
  <c r="H1032" i="2"/>
  <c r="D1032" i="2"/>
  <c r="C1032" i="2"/>
  <c r="I1031" i="2"/>
  <c r="H1031" i="2"/>
  <c r="D1031" i="2"/>
  <c r="C1031" i="2"/>
  <c r="I1030" i="2"/>
  <c r="H1030" i="2"/>
  <c r="D1030" i="2"/>
  <c r="C1030" i="2"/>
  <c r="I1029" i="2"/>
  <c r="H1029" i="2"/>
  <c r="D1029" i="2"/>
  <c r="C1029" i="2"/>
  <c r="I1028" i="2"/>
  <c r="H1028" i="2"/>
  <c r="D1028" i="2"/>
  <c r="C1028" i="2"/>
  <c r="I1027" i="2"/>
  <c r="H1027" i="2"/>
  <c r="D1027" i="2"/>
  <c r="C1027" i="2"/>
  <c r="I1026" i="2"/>
  <c r="H1026" i="2"/>
  <c r="D1026" i="2"/>
  <c r="C1026" i="2"/>
  <c r="I1025" i="2"/>
  <c r="H1025" i="2"/>
  <c r="D1025" i="2"/>
  <c r="C1025" i="2"/>
  <c r="I1024" i="2"/>
  <c r="H1024" i="2"/>
  <c r="D1024" i="2"/>
  <c r="C1024" i="2"/>
  <c r="I1023" i="2"/>
  <c r="H1023" i="2"/>
  <c r="D1023" i="2"/>
  <c r="C1023" i="2"/>
  <c r="I1022" i="2"/>
  <c r="H1022" i="2"/>
  <c r="D1022" i="2"/>
  <c r="C1022" i="2"/>
  <c r="I1021" i="2"/>
  <c r="H1021" i="2"/>
  <c r="D1021" i="2"/>
  <c r="C1021" i="2"/>
  <c r="I1020" i="2"/>
  <c r="H1020" i="2"/>
  <c r="D1020" i="2"/>
  <c r="C1020" i="2"/>
  <c r="I1019" i="2"/>
  <c r="H1019" i="2"/>
  <c r="D1019" i="2"/>
  <c r="C1019" i="2"/>
  <c r="I1018" i="2"/>
  <c r="H1018" i="2"/>
  <c r="D1018" i="2"/>
  <c r="C1018" i="2"/>
  <c r="I1017" i="2"/>
  <c r="H1017" i="2"/>
  <c r="D1017" i="2"/>
  <c r="C1017" i="2"/>
  <c r="I1016" i="2"/>
  <c r="H1016" i="2"/>
  <c r="D1016" i="2"/>
  <c r="C1016" i="2"/>
  <c r="I1015" i="2"/>
  <c r="H1015" i="2"/>
  <c r="D1015" i="2"/>
  <c r="C1015" i="2"/>
  <c r="I1014" i="2"/>
  <c r="H1014" i="2"/>
  <c r="D1014" i="2"/>
  <c r="C1014" i="2"/>
  <c r="I1013" i="2"/>
  <c r="H1013" i="2"/>
  <c r="D1013" i="2"/>
  <c r="C1013" i="2"/>
  <c r="I1012" i="2"/>
  <c r="H1012" i="2"/>
  <c r="D1012" i="2"/>
  <c r="C1012" i="2"/>
  <c r="I1011" i="2"/>
  <c r="H1011" i="2"/>
  <c r="D1011" i="2"/>
  <c r="C1011" i="2"/>
  <c r="I1010" i="2"/>
  <c r="H1010" i="2"/>
  <c r="D1010" i="2"/>
  <c r="C1010" i="2"/>
  <c r="I1009" i="2"/>
  <c r="H1009" i="2"/>
  <c r="D1009" i="2"/>
  <c r="C1009" i="2"/>
  <c r="I1008" i="2"/>
  <c r="H1008" i="2"/>
  <c r="D1008" i="2"/>
  <c r="C1008" i="2"/>
  <c r="I1007" i="2"/>
  <c r="H1007" i="2"/>
  <c r="D1007" i="2"/>
  <c r="C1007" i="2"/>
  <c r="I1006" i="2"/>
  <c r="H1006" i="2"/>
  <c r="D1006" i="2"/>
  <c r="C1006" i="2"/>
  <c r="I1005" i="2"/>
  <c r="H1005" i="2"/>
  <c r="D1005" i="2"/>
  <c r="C1005" i="2"/>
  <c r="I1004" i="2"/>
  <c r="H1004" i="2"/>
  <c r="D1004" i="2"/>
  <c r="C1004" i="2"/>
  <c r="I1003" i="2"/>
  <c r="H1003" i="2"/>
  <c r="D1003" i="2"/>
  <c r="C1003" i="2"/>
  <c r="I1002" i="2"/>
  <c r="H1002" i="2"/>
  <c r="D1002" i="2"/>
  <c r="C1002" i="2"/>
  <c r="I1001" i="2"/>
  <c r="H1001" i="2"/>
  <c r="D1001" i="2"/>
  <c r="C1001" i="2"/>
  <c r="I1000" i="2"/>
  <c r="H1000" i="2"/>
  <c r="D1000" i="2"/>
  <c r="C1000" i="2"/>
  <c r="I999" i="2"/>
  <c r="H999" i="2"/>
  <c r="D999" i="2"/>
  <c r="C999" i="2"/>
  <c r="I998" i="2"/>
  <c r="H998" i="2"/>
  <c r="D998" i="2"/>
  <c r="C998" i="2"/>
  <c r="I997" i="2"/>
  <c r="H997" i="2"/>
  <c r="D997" i="2"/>
  <c r="C997" i="2"/>
  <c r="I996" i="2"/>
  <c r="H996" i="2"/>
  <c r="D996" i="2"/>
  <c r="C996" i="2"/>
  <c r="I995" i="2"/>
  <c r="H995" i="2"/>
  <c r="D995" i="2"/>
  <c r="C995" i="2"/>
  <c r="I994" i="2"/>
  <c r="H994" i="2"/>
  <c r="D994" i="2"/>
  <c r="C994" i="2"/>
  <c r="I993" i="2"/>
  <c r="H993" i="2"/>
  <c r="D993" i="2"/>
  <c r="C993" i="2"/>
  <c r="I992" i="2"/>
  <c r="H992" i="2"/>
  <c r="D992" i="2"/>
  <c r="C992" i="2"/>
  <c r="I991" i="2"/>
  <c r="H991" i="2"/>
  <c r="D991" i="2"/>
  <c r="C991" i="2"/>
  <c r="I990" i="2"/>
  <c r="H990" i="2"/>
  <c r="D990" i="2"/>
  <c r="C990" i="2"/>
  <c r="I989" i="2"/>
  <c r="H989" i="2"/>
  <c r="D989" i="2"/>
  <c r="C989" i="2"/>
  <c r="I988" i="2"/>
  <c r="H988" i="2"/>
  <c r="D988" i="2"/>
  <c r="C988" i="2"/>
  <c r="I987" i="2"/>
  <c r="H987" i="2"/>
  <c r="D987" i="2"/>
  <c r="C987" i="2"/>
  <c r="I986" i="2"/>
  <c r="H986" i="2"/>
  <c r="D986" i="2"/>
  <c r="C986" i="2"/>
  <c r="I985" i="2"/>
  <c r="H985" i="2"/>
  <c r="D985" i="2"/>
  <c r="C985" i="2"/>
  <c r="I984" i="2"/>
  <c r="H984" i="2"/>
  <c r="D984" i="2"/>
  <c r="C984" i="2"/>
  <c r="I983" i="2"/>
  <c r="H983" i="2"/>
  <c r="D983" i="2"/>
  <c r="C983" i="2"/>
  <c r="I982" i="2"/>
  <c r="H982" i="2"/>
  <c r="D982" i="2"/>
  <c r="C982" i="2"/>
  <c r="I981" i="2"/>
  <c r="H981" i="2"/>
  <c r="D981" i="2"/>
  <c r="C981" i="2"/>
  <c r="I980" i="2"/>
  <c r="H980" i="2"/>
  <c r="D980" i="2"/>
  <c r="C980" i="2"/>
  <c r="I979" i="2"/>
  <c r="H979" i="2"/>
  <c r="D979" i="2"/>
  <c r="C979" i="2"/>
  <c r="I978" i="2"/>
  <c r="H978" i="2"/>
  <c r="D978" i="2"/>
  <c r="C978" i="2"/>
  <c r="I977" i="2"/>
  <c r="H977" i="2"/>
  <c r="D977" i="2"/>
  <c r="C977" i="2"/>
  <c r="I976" i="2"/>
  <c r="H976" i="2"/>
  <c r="D976" i="2"/>
  <c r="C976" i="2"/>
  <c r="I975" i="2"/>
  <c r="H975" i="2"/>
  <c r="D975" i="2"/>
  <c r="C975" i="2"/>
  <c r="I974" i="2"/>
  <c r="H974" i="2"/>
  <c r="D974" i="2"/>
  <c r="C974" i="2"/>
  <c r="I973" i="2"/>
  <c r="H973" i="2"/>
  <c r="D973" i="2"/>
  <c r="C973" i="2"/>
  <c r="I972" i="2"/>
  <c r="H972" i="2"/>
  <c r="D972" i="2"/>
  <c r="C972" i="2"/>
  <c r="I971" i="2"/>
  <c r="H971" i="2"/>
  <c r="D971" i="2"/>
  <c r="C971" i="2"/>
  <c r="I970" i="2"/>
  <c r="H970" i="2"/>
  <c r="D970" i="2"/>
  <c r="C970" i="2"/>
  <c r="I969" i="2"/>
  <c r="H969" i="2"/>
  <c r="D969" i="2"/>
  <c r="C969" i="2"/>
  <c r="I968" i="2"/>
  <c r="H968" i="2"/>
  <c r="D968" i="2"/>
  <c r="C968" i="2"/>
  <c r="I967" i="2"/>
  <c r="H967" i="2"/>
  <c r="D967" i="2"/>
  <c r="C967" i="2"/>
  <c r="I966" i="2"/>
  <c r="H966" i="2"/>
  <c r="D966" i="2"/>
  <c r="C966" i="2"/>
  <c r="I965" i="2"/>
  <c r="H965" i="2"/>
  <c r="D965" i="2"/>
  <c r="C965" i="2"/>
  <c r="I964" i="2"/>
  <c r="H964" i="2"/>
  <c r="D964" i="2"/>
  <c r="C964" i="2"/>
  <c r="I963" i="2"/>
  <c r="H963" i="2"/>
  <c r="D963" i="2"/>
  <c r="C963" i="2"/>
  <c r="I962" i="2"/>
  <c r="H962" i="2"/>
  <c r="D962" i="2"/>
  <c r="C962" i="2"/>
  <c r="I961" i="2"/>
  <c r="H961" i="2"/>
  <c r="D961" i="2"/>
  <c r="C961" i="2"/>
  <c r="I960" i="2"/>
  <c r="H960" i="2"/>
  <c r="D960" i="2"/>
  <c r="C960" i="2"/>
  <c r="I959" i="2"/>
  <c r="H959" i="2"/>
  <c r="D959" i="2"/>
  <c r="C959" i="2"/>
  <c r="I958" i="2"/>
  <c r="H958" i="2"/>
  <c r="D958" i="2"/>
  <c r="C958" i="2"/>
  <c r="I957" i="2"/>
  <c r="H957" i="2"/>
  <c r="D957" i="2"/>
  <c r="C957" i="2"/>
  <c r="I956" i="2"/>
  <c r="H956" i="2"/>
  <c r="D956" i="2"/>
  <c r="C956" i="2"/>
  <c r="I955" i="2"/>
  <c r="H955" i="2"/>
  <c r="D955" i="2"/>
  <c r="C955" i="2"/>
  <c r="I954" i="2"/>
  <c r="H954" i="2"/>
  <c r="D954" i="2"/>
  <c r="C954" i="2"/>
  <c r="I953" i="2"/>
  <c r="H953" i="2"/>
  <c r="D953" i="2"/>
  <c r="C953" i="2"/>
  <c r="I952" i="2"/>
  <c r="H952" i="2"/>
  <c r="D952" i="2"/>
  <c r="C952" i="2"/>
  <c r="I951" i="2"/>
  <c r="H951" i="2"/>
  <c r="D951" i="2"/>
  <c r="C951" i="2"/>
  <c r="I950" i="2"/>
  <c r="H950" i="2"/>
  <c r="D950" i="2"/>
  <c r="C950" i="2"/>
  <c r="I949" i="2"/>
  <c r="H949" i="2"/>
  <c r="D949" i="2"/>
  <c r="C949" i="2"/>
  <c r="I948" i="2"/>
  <c r="H948" i="2"/>
  <c r="D948" i="2"/>
  <c r="C948" i="2"/>
  <c r="I947" i="2"/>
  <c r="H947" i="2"/>
  <c r="D947" i="2"/>
  <c r="C947" i="2"/>
  <c r="I946" i="2"/>
  <c r="H946" i="2"/>
  <c r="D946" i="2"/>
  <c r="C946" i="2"/>
  <c r="I945" i="2"/>
  <c r="H945" i="2"/>
  <c r="D945" i="2"/>
  <c r="C945" i="2"/>
  <c r="I944" i="2"/>
  <c r="H944" i="2"/>
  <c r="D944" i="2"/>
  <c r="C944" i="2"/>
  <c r="I943" i="2"/>
  <c r="H943" i="2"/>
  <c r="D943" i="2"/>
  <c r="C943" i="2"/>
  <c r="I942" i="2"/>
  <c r="H942" i="2"/>
  <c r="D942" i="2"/>
  <c r="C942" i="2"/>
  <c r="I941" i="2"/>
  <c r="H941" i="2"/>
  <c r="D941" i="2"/>
  <c r="C941" i="2"/>
  <c r="I940" i="2"/>
  <c r="H940" i="2"/>
  <c r="D940" i="2"/>
  <c r="C940" i="2"/>
  <c r="I939" i="2"/>
  <c r="H939" i="2"/>
  <c r="D939" i="2"/>
  <c r="C939" i="2"/>
  <c r="I938" i="2"/>
  <c r="H938" i="2"/>
  <c r="D938" i="2"/>
  <c r="C938" i="2"/>
  <c r="I937" i="2"/>
  <c r="H937" i="2"/>
  <c r="D937" i="2"/>
  <c r="C937" i="2"/>
  <c r="I936" i="2"/>
  <c r="H936" i="2"/>
  <c r="D936" i="2"/>
  <c r="C936" i="2"/>
  <c r="I935" i="2"/>
  <c r="H935" i="2"/>
  <c r="D935" i="2"/>
  <c r="C935" i="2"/>
  <c r="I934" i="2"/>
  <c r="H934" i="2"/>
  <c r="D934" i="2"/>
  <c r="C934" i="2"/>
  <c r="I933" i="2"/>
  <c r="H933" i="2"/>
  <c r="D933" i="2"/>
  <c r="C933" i="2"/>
  <c r="I932" i="2"/>
  <c r="H932" i="2"/>
  <c r="D932" i="2"/>
  <c r="C932" i="2"/>
  <c r="I931" i="2"/>
  <c r="H931" i="2"/>
  <c r="D931" i="2"/>
  <c r="C931" i="2"/>
  <c r="I930" i="2"/>
  <c r="H930" i="2"/>
  <c r="D930" i="2"/>
  <c r="C930" i="2"/>
  <c r="I929" i="2"/>
  <c r="H929" i="2"/>
  <c r="D929" i="2"/>
  <c r="C929" i="2"/>
  <c r="I928" i="2"/>
  <c r="H928" i="2"/>
  <c r="D928" i="2"/>
  <c r="C928" i="2"/>
  <c r="I927" i="2"/>
  <c r="H927" i="2"/>
  <c r="D927" i="2"/>
  <c r="C927" i="2"/>
  <c r="I926" i="2"/>
  <c r="H926" i="2"/>
  <c r="D926" i="2"/>
  <c r="C926" i="2"/>
  <c r="I925" i="2"/>
  <c r="H925" i="2"/>
  <c r="D925" i="2"/>
  <c r="C925" i="2"/>
  <c r="I924" i="2"/>
  <c r="H924" i="2"/>
  <c r="D924" i="2"/>
  <c r="C924" i="2"/>
  <c r="I923" i="2"/>
  <c r="H923" i="2"/>
  <c r="D923" i="2"/>
  <c r="C923" i="2"/>
  <c r="I922" i="2"/>
  <c r="H922" i="2"/>
  <c r="D922" i="2"/>
  <c r="C922" i="2"/>
  <c r="I921" i="2"/>
  <c r="H921" i="2"/>
  <c r="D921" i="2"/>
  <c r="C921" i="2"/>
  <c r="I920" i="2"/>
  <c r="H920" i="2"/>
  <c r="D920" i="2"/>
  <c r="C920" i="2"/>
  <c r="I919" i="2"/>
  <c r="H919" i="2"/>
  <c r="D919" i="2"/>
  <c r="C919" i="2"/>
  <c r="I918" i="2"/>
  <c r="H918" i="2"/>
  <c r="D918" i="2"/>
  <c r="C918" i="2"/>
  <c r="I917" i="2"/>
  <c r="H917" i="2"/>
  <c r="D917" i="2"/>
  <c r="C917" i="2"/>
  <c r="I916" i="2"/>
  <c r="H916" i="2"/>
  <c r="D916" i="2"/>
  <c r="C916" i="2"/>
  <c r="I915" i="2"/>
  <c r="H915" i="2"/>
  <c r="D915" i="2"/>
  <c r="C915" i="2"/>
  <c r="I914" i="2"/>
  <c r="H914" i="2"/>
  <c r="D914" i="2"/>
  <c r="C914" i="2"/>
  <c r="I913" i="2"/>
  <c r="H913" i="2"/>
  <c r="D913" i="2"/>
  <c r="C913" i="2"/>
  <c r="I912" i="2"/>
  <c r="H912" i="2"/>
  <c r="D912" i="2"/>
  <c r="C912" i="2"/>
  <c r="I911" i="2"/>
  <c r="H911" i="2"/>
  <c r="D911" i="2"/>
  <c r="C911" i="2"/>
  <c r="I910" i="2"/>
  <c r="H910" i="2"/>
  <c r="D910" i="2"/>
  <c r="C910" i="2"/>
  <c r="I909" i="2"/>
  <c r="H909" i="2"/>
  <c r="D909" i="2"/>
  <c r="C909" i="2"/>
  <c r="I908" i="2"/>
  <c r="H908" i="2"/>
  <c r="D908" i="2"/>
  <c r="C908" i="2"/>
  <c r="I907" i="2"/>
  <c r="H907" i="2"/>
  <c r="D907" i="2"/>
  <c r="C907" i="2"/>
  <c r="I906" i="2"/>
  <c r="H906" i="2"/>
  <c r="D906" i="2"/>
  <c r="C906" i="2"/>
  <c r="I905" i="2"/>
  <c r="H905" i="2"/>
  <c r="D905" i="2"/>
  <c r="C905" i="2"/>
  <c r="I904" i="2"/>
  <c r="H904" i="2"/>
  <c r="D904" i="2"/>
  <c r="C904" i="2"/>
  <c r="I903" i="2"/>
  <c r="H903" i="2"/>
  <c r="D903" i="2"/>
  <c r="C903" i="2"/>
  <c r="I902" i="2"/>
  <c r="H902" i="2"/>
  <c r="D902" i="2"/>
  <c r="C902" i="2"/>
  <c r="I901" i="2"/>
  <c r="H901" i="2"/>
  <c r="D901" i="2"/>
  <c r="C901" i="2"/>
  <c r="I900" i="2"/>
  <c r="H900" i="2"/>
  <c r="D900" i="2"/>
  <c r="C900" i="2"/>
  <c r="I899" i="2"/>
  <c r="H899" i="2"/>
  <c r="D899" i="2"/>
  <c r="C899" i="2"/>
  <c r="I898" i="2"/>
  <c r="H898" i="2"/>
  <c r="D898" i="2"/>
  <c r="C898" i="2"/>
  <c r="I897" i="2"/>
  <c r="H897" i="2"/>
  <c r="D897" i="2"/>
  <c r="C897" i="2"/>
  <c r="I896" i="2"/>
  <c r="H896" i="2"/>
  <c r="D896" i="2"/>
  <c r="C896" i="2"/>
  <c r="I895" i="2"/>
  <c r="H895" i="2"/>
  <c r="D895" i="2"/>
  <c r="C895" i="2"/>
  <c r="I894" i="2"/>
  <c r="H894" i="2"/>
  <c r="D894" i="2"/>
  <c r="C894" i="2"/>
  <c r="I893" i="2"/>
  <c r="H893" i="2"/>
  <c r="D893" i="2"/>
  <c r="C893" i="2"/>
  <c r="I892" i="2"/>
  <c r="H892" i="2"/>
  <c r="D892" i="2"/>
  <c r="C892" i="2"/>
  <c r="I891" i="2"/>
  <c r="H891" i="2"/>
  <c r="D891" i="2"/>
  <c r="C891" i="2"/>
  <c r="I890" i="2"/>
  <c r="H890" i="2"/>
  <c r="D890" i="2"/>
  <c r="C890" i="2"/>
  <c r="I889" i="2"/>
  <c r="H889" i="2"/>
  <c r="D889" i="2"/>
  <c r="C889" i="2"/>
  <c r="I888" i="2"/>
  <c r="H888" i="2"/>
  <c r="D888" i="2"/>
  <c r="C888" i="2"/>
  <c r="I887" i="2"/>
  <c r="H887" i="2"/>
  <c r="D887" i="2"/>
  <c r="C887" i="2"/>
  <c r="I886" i="2"/>
  <c r="H886" i="2"/>
  <c r="D886" i="2"/>
  <c r="C886" i="2"/>
  <c r="I885" i="2"/>
  <c r="H885" i="2"/>
  <c r="D885" i="2"/>
  <c r="C885" i="2"/>
  <c r="I884" i="2"/>
  <c r="H884" i="2"/>
  <c r="D884" i="2"/>
  <c r="C884" i="2"/>
  <c r="I883" i="2"/>
  <c r="H883" i="2"/>
  <c r="D883" i="2"/>
  <c r="C883" i="2"/>
  <c r="I882" i="2"/>
  <c r="H882" i="2"/>
  <c r="D882" i="2"/>
  <c r="C882" i="2"/>
  <c r="I881" i="2"/>
  <c r="H881" i="2"/>
  <c r="D881" i="2"/>
  <c r="C881" i="2"/>
  <c r="I880" i="2"/>
  <c r="H880" i="2"/>
  <c r="D880" i="2"/>
  <c r="C880" i="2"/>
  <c r="I879" i="2"/>
  <c r="H879" i="2"/>
  <c r="D879" i="2"/>
  <c r="C879" i="2"/>
  <c r="I878" i="2"/>
  <c r="H878" i="2"/>
  <c r="D878" i="2"/>
  <c r="C878" i="2"/>
  <c r="I877" i="2"/>
  <c r="H877" i="2"/>
  <c r="D877" i="2"/>
  <c r="C877" i="2"/>
  <c r="I876" i="2"/>
  <c r="H876" i="2"/>
  <c r="D876" i="2"/>
  <c r="C876" i="2"/>
  <c r="I875" i="2"/>
  <c r="H875" i="2"/>
  <c r="D875" i="2"/>
  <c r="C875" i="2"/>
  <c r="I874" i="2"/>
  <c r="H874" i="2"/>
  <c r="D874" i="2"/>
  <c r="C874" i="2"/>
  <c r="I873" i="2"/>
  <c r="H873" i="2"/>
  <c r="D873" i="2"/>
  <c r="C873" i="2"/>
  <c r="I872" i="2"/>
  <c r="H872" i="2"/>
  <c r="D872" i="2"/>
  <c r="C872" i="2"/>
  <c r="I871" i="2"/>
  <c r="H871" i="2"/>
  <c r="D871" i="2"/>
  <c r="C871" i="2"/>
  <c r="I870" i="2"/>
  <c r="H870" i="2"/>
  <c r="D870" i="2"/>
  <c r="C870" i="2"/>
  <c r="I869" i="2"/>
  <c r="H869" i="2"/>
  <c r="D869" i="2"/>
  <c r="C869" i="2"/>
  <c r="I868" i="2"/>
  <c r="H868" i="2"/>
  <c r="D868" i="2"/>
  <c r="C868" i="2"/>
  <c r="I867" i="2"/>
  <c r="H867" i="2"/>
  <c r="D867" i="2"/>
  <c r="C867" i="2"/>
  <c r="I866" i="2"/>
  <c r="H866" i="2"/>
  <c r="D866" i="2"/>
  <c r="C866" i="2"/>
  <c r="I865" i="2"/>
  <c r="H865" i="2"/>
  <c r="D865" i="2"/>
  <c r="C865" i="2"/>
  <c r="I864" i="2"/>
  <c r="H864" i="2"/>
  <c r="D864" i="2"/>
  <c r="C864" i="2"/>
  <c r="I863" i="2"/>
  <c r="H863" i="2"/>
  <c r="D863" i="2"/>
  <c r="C863" i="2"/>
  <c r="I862" i="2"/>
  <c r="H862" i="2"/>
  <c r="D862" i="2"/>
  <c r="C862" i="2"/>
  <c r="I861" i="2"/>
  <c r="H861" i="2"/>
  <c r="D861" i="2"/>
  <c r="C861" i="2"/>
  <c r="I860" i="2"/>
  <c r="H860" i="2"/>
  <c r="D860" i="2"/>
  <c r="C860" i="2"/>
  <c r="I859" i="2"/>
  <c r="H859" i="2"/>
  <c r="D859" i="2"/>
  <c r="C859" i="2"/>
  <c r="I858" i="2"/>
  <c r="H858" i="2"/>
  <c r="D858" i="2"/>
  <c r="C858" i="2"/>
  <c r="I857" i="2"/>
  <c r="H857" i="2"/>
  <c r="D857" i="2"/>
  <c r="C857" i="2"/>
  <c r="I856" i="2"/>
  <c r="H856" i="2"/>
  <c r="D856" i="2"/>
  <c r="C856" i="2"/>
  <c r="I855" i="2"/>
  <c r="H855" i="2"/>
  <c r="D855" i="2"/>
  <c r="C855" i="2"/>
  <c r="I854" i="2"/>
  <c r="H854" i="2"/>
  <c r="D854" i="2"/>
  <c r="C854" i="2"/>
  <c r="I853" i="2"/>
  <c r="H853" i="2"/>
  <c r="D853" i="2"/>
  <c r="C853" i="2"/>
  <c r="I852" i="2"/>
  <c r="H852" i="2"/>
  <c r="D852" i="2"/>
  <c r="C852" i="2"/>
  <c r="I851" i="2"/>
  <c r="H851" i="2"/>
  <c r="D851" i="2"/>
  <c r="C851" i="2"/>
  <c r="I850" i="2"/>
  <c r="H850" i="2"/>
  <c r="D850" i="2"/>
  <c r="C850" i="2"/>
  <c r="I849" i="2"/>
  <c r="H849" i="2"/>
  <c r="D849" i="2"/>
  <c r="C849" i="2"/>
  <c r="I848" i="2"/>
  <c r="H848" i="2"/>
  <c r="D848" i="2"/>
  <c r="C848" i="2"/>
  <c r="I847" i="2"/>
  <c r="H847" i="2"/>
  <c r="D847" i="2"/>
  <c r="C847" i="2"/>
  <c r="I846" i="2"/>
  <c r="H846" i="2"/>
  <c r="D846" i="2"/>
  <c r="C846" i="2"/>
  <c r="I845" i="2"/>
  <c r="H845" i="2"/>
  <c r="D845" i="2"/>
  <c r="C845" i="2"/>
  <c r="I844" i="2"/>
  <c r="H844" i="2"/>
  <c r="D844" i="2"/>
  <c r="C844" i="2"/>
  <c r="I843" i="2"/>
  <c r="H843" i="2"/>
  <c r="D843" i="2"/>
  <c r="C843" i="2"/>
  <c r="I842" i="2"/>
  <c r="H842" i="2"/>
  <c r="D842" i="2"/>
  <c r="C842" i="2"/>
  <c r="I841" i="2"/>
  <c r="H841" i="2"/>
  <c r="D841" i="2"/>
  <c r="C841" i="2"/>
  <c r="I840" i="2"/>
  <c r="H840" i="2"/>
  <c r="D840" i="2"/>
  <c r="C840" i="2"/>
  <c r="I839" i="2"/>
  <c r="H839" i="2"/>
  <c r="D839" i="2"/>
  <c r="C839" i="2"/>
  <c r="I838" i="2"/>
  <c r="H838" i="2"/>
  <c r="D838" i="2"/>
  <c r="C838" i="2"/>
  <c r="I837" i="2"/>
  <c r="H837" i="2"/>
  <c r="D837" i="2"/>
  <c r="C837" i="2"/>
  <c r="I836" i="2"/>
  <c r="H836" i="2"/>
  <c r="D836" i="2"/>
  <c r="C836" i="2"/>
  <c r="I835" i="2"/>
  <c r="H835" i="2"/>
  <c r="D835" i="2"/>
  <c r="C835" i="2"/>
  <c r="I834" i="2"/>
  <c r="H834" i="2"/>
  <c r="D834" i="2"/>
  <c r="C834" i="2"/>
  <c r="I833" i="2"/>
  <c r="H833" i="2"/>
  <c r="D833" i="2"/>
  <c r="C833" i="2"/>
  <c r="I832" i="2"/>
  <c r="H832" i="2"/>
  <c r="D832" i="2"/>
  <c r="C832" i="2"/>
  <c r="I831" i="2"/>
  <c r="H831" i="2"/>
  <c r="D831" i="2"/>
  <c r="C831" i="2"/>
  <c r="I830" i="2"/>
  <c r="H830" i="2"/>
  <c r="D830" i="2"/>
  <c r="C830" i="2"/>
  <c r="I829" i="2"/>
  <c r="H829" i="2"/>
  <c r="D829" i="2"/>
  <c r="C829" i="2"/>
  <c r="I828" i="2"/>
  <c r="H828" i="2"/>
  <c r="D828" i="2"/>
  <c r="C828" i="2"/>
  <c r="I827" i="2"/>
  <c r="H827" i="2"/>
  <c r="D827" i="2"/>
  <c r="C827" i="2"/>
  <c r="I826" i="2"/>
  <c r="H826" i="2"/>
  <c r="D826" i="2"/>
  <c r="C826" i="2"/>
  <c r="I825" i="2"/>
  <c r="H825" i="2"/>
  <c r="D825" i="2"/>
  <c r="C825" i="2"/>
  <c r="I824" i="2"/>
  <c r="H824" i="2"/>
  <c r="D824" i="2"/>
  <c r="C824" i="2"/>
  <c r="I823" i="2"/>
  <c r="H823" i="2"/>
  <c r="D823" i="2"/>
  <c r="C823" i="2"/>
  <c r="I822" i="2"/>
  <c r="H822" i="2"/>
  <c r="D822" i="2"/>
  <c r="C822" i="2"/>
  <c r="I821" i="2"/>
  <c r="H821" i="2"/>
  <c r="D821" i="2"/>
  <c r="C821" i="2"/>
  <c r="I820" i="2"/>
  <c r="H820" i="2"/>
  <c r="D820" i="2"/>
  <c r="C820" i="2"/>
  <c r="I819" i="2"/>
  <c r="H819" i="2"/>
  <c r="D819" i="2"/>
  <c r="C819" i="2"/>
  <c r="I818" i="2"/>
  <c r="H818" i="2"/>
  <c r="D818" i="2"/>
  <c r="C818" i="2"/>
  <c r="I817" i="2"/>
  <c r="H817" i="2"/>
  <c r="D817" i="2"/>
  <c r="C817" i="2"/>
  <c r="I816" i="2"/>
  <c r="H816" i="2"/>
  <c r="D816" i="2"/>
  <c r="C816" i="2"/>
  <c r="I815" i="2"/>
  <c r="H815" i="2"/>
  <c r="D815" i="2"/>
  <c r="C815" i="2"/>
  <c r="I814" i="2"/>
  <c r="H814" i="2"/>
  <c r="D814" i="2"/>
  <c r="C814" i="2"/>
  <c r="I813" i="2"/>
  <c r="H813" i="2"/>
  <c r="D813" i="2"/>
  <c r="C813" i="2"/>
  <c r="I812" i="2"/>
  <c r="H812" i="2"/>
  <c r="D812" i="2"/>
  <c r="C812" i="2"/>
  <c r="I811" i="2"/>
  <c r="H811" i="2"/>
  <c r="D811" i="2"/>
  <c r="C811" i="2"/>
  <c r="I810" i="2"/>
  <c r="H810" i="2"/>
  <c r="D810" i="2"/>
  <c r="C810" i="2"/>
  <c r="I809" i="2"/>
  <c r="H809" i="2"/>
  <c r="D809" i="2"/>
  <c r="C809" i="2"/>
  <c r="I808" i="2"/>
  <c r="H808" i="2"/>
  <c r="D808" i="2"/>
  <c r="C808" i="2"/>
  <c r="I807" i="2"/>
  <c r="H807" i="2"/>
  <c r="D807" i="2"/>
  <c r="C807" i="2"/>
  <c r="I806" i="2"/>
  <c r="H806" i="2"/>
  <c r="D806" i="2"/>
  <c r="C806" i="2"/>
  <c r="I805" i="2"/>
  <c r="H805" i="2"/>
  <c r="D805" i="2"/>
  <c r="C805" i="2"/>
  <c r="I804" i="2"/>
  <c r="H804" i="2"/>
  <c r="D804" i="2"/>
  <c r="C804" i="2"/>
  <c r="I803" i="2"/>
  <c r="H803" i="2"/>
  <c r="D803" i="2"/>
  <c r="C803" i="2"/>
  <c r="I802" i="2"/>
  <c r="H802" i="2"/>
  <c r="D802" i="2"/>
  <c r="C802" i="2"/>
  <c r="I801" i="2"/>
  <c r="H801" i="2"/>
  <c r="D801" i="2"/>
  <c r="C801" i="2"/>
  <c r="I800" i="2"/>
  <c r="H800" i="2"/>
  <c r="D800" i="2"/>
  <c r="C800" i="2"/>
  <c r="I799" i="2"/>
  <c r="H799" i="2"/>
  <c r="D799" i="2"/>
  <c r="C799" i="2"/>
  <c r="I798" i="2"/>
  <c r="H798" i="2"/>
  <c r="D798" i="2"/>
  <c r="C798" i="2"/>
  <c r="I797" i="2"/>
  <c r="H797" i="2"/>
  <c r="D797" i="2"/>
  <c r="C797" i="2"/>
  <c r="I796" i="2"/>
  <c r="H796" i="2"/>
  <c r="D796" i="2"/>
  <c r="C796" i="2"/>
  <c r="I795" i="2"/>
  <c r="H795" i="2"/>
  <c r="D795" i="2"/>
  <c r="C795" i="2"/>
  <c r="I794" i="2"/>
  <c r="H794" i="2"/>
  <c r="D794" i="2"/>
  <c r="C794" i="2"/>
  <c r="I793" i="2"/>
  <c r="H793" i="2"/>
  <c r="D793" i="2"/>
  <c r="C793" i="2"/>
  <c r="I792" i="2"/>
  <c r="H792" i="2"/>
  <c r="D792" i="2"/>
  <c r="C792" i="2"/>
  <c r="I791" i="2"/>
  <c r="H791" i="2"/>
  <c r="D791" i="2"/>
  <c r="C791" i="2"/>
  <c r="I790" i="2"/>
  <c r="H790" i="2"/>
  <c r="D790" i="2"/>
  <c r="C790" i="2"/>
  <c r="I789" i="2"/>
  <c r="H789" i="2"/>
  <c r="D789" i="2"/>
  <c r="C789" i="2"/>
  <c r="I788" i="2"/>
  <c r="H788" i="2"/>
  <c r="D788" i="2"/>
  <c r="C788" i="2"/>
  <c r="I787" i="2"/>
  <c r="H787" i="2"/>
  <c r="D787" i="2"/>
  <c r="C787" i="2"/>
  <c r="I786" i="2"/>
  <c r="H786" i="2"/>
  <c r="D786" i="2"/>
  <c r="C786" i="2"/>
  <c r="I785" i="2"/>
  <c r="H785" i="2"/>
  <c r="D785" i="2"/>
  <c r="C785" i="2"/>
  <c r="I784" i="2"/>
  <c r="H784" i="2"/>
  <c r="D784" i="2"/>
  <c r="C784" i="2"/>
  <c r="I783" i="2"/>
  <c r="H783" i="2"/>
  <c r="D783" i="2"/>
  <c r="C783" i="2"/>
  <c r="I782" i="2"/>
  <c r="H782" i="2"/>
  <c r="D782" i="2"/>
  <c r="C782" i="2"/>
  <c r="I781" i="2"/>
  <c r="H781" i="2"/>
  <c r="D781" i="2"/>
  <c r="C781" i="2"/>
  <c r="I780" i="2"/>
  <c r="H780" i="2"/>
  <c r="D780" i="2"/>
  <c r="C780" i="2"/>
  <c r="I779" i="2"/>
  <c r="H779" i="2"/>
  <c r="D779" i="2"/>
  <c r="C779" i="2"/>
  <c r="I778" i="2"/>
  <c r="H778" i="2"/>
  <c r="D778" i="2"/>
  <c r="C778" i="2"/>
  <c r="I777" i="2"/>
  <c r="H777" i="2"/>
  <c r="D777" i="2"/>
  <c r="C777" i="2"/>
  <c r="I776" i="2"/>
  <c r="H776" i="2"/>
  <c r="D776" i="2"/>
  <c r="C776" i="2"/>
  <c r="I775" i="2"/>
  <c r="H775" i="2"/>
  <c r="D775" i="2"/>
  <c r="C775" i="2"/>
  <c r="I774" i="2"/>
  <c r="H774" i="2"/>
  <c r="D774" i="2"/>
  <c r="C774" i="2"/>
  <c r="I773" i="2"/>
  <c r="H773" i="2"/>
  <c r="D773" i="2"/>
  <c r="C773" i="2"/>
  <c r="I772" i="2"/>
  <c r="H772" i="2"/>
  <c r="D772" i="2"/>
  <c r="C772" i="2"/>
  <c r="I771" i="2"/>
  <c r="H771" i="2"/>
  <c r="D771" i="2"/>
  <c r="C771" i="2"/>
  <c r="I770" i="2"/>
  <c r="H770" i="2"/>
  <c r="D770" i="2"/>
  <c r="C770" i="2"/>
  <c r="I769" i="2"/>
  <c r="H769" i="2"/>
  <c r="D769" i="2"/>
  <c r="C769" i="2"/>
  <c r="I768" i="2"/>
  <c r="H768" i="2"/>
  <c r="D768" i="2"/>
  <c r="C768" i="2"/>
  <c r="I767" i="2"/>
  <c r="H767" i="2"/>
  <c r="D767" i="2"/>
  <c r="C767" i="2"/>
  <c r="I766" i="2"/>
  <c r="H766" i="2"/>
  <c r="D766" i="2"/>
  <c r="C766" i="2"/>
  <c r="I765" i="2"/>
  <c r="H765" i="2"/>
  <c r="D765" i="2"/>
  <c r="C765" i="2"/>
  <c r="I764" i="2"/>
  <c r="H764" i="2"/>
  <c r="D764" i="2"/>
  <c r="C764" i="2"/>
  <c r="I763" i="2"/>
  <c r="H763" i="2"/>
  <c r="D763" i="2"/>
  <c r="C763" i="2"/>
  <c r="I762" i="2"/>
  <c r="H762" i="2"/>
  <c r="D762" i="2"/>
  <c r="C762" i="2"/>
  <c r="I761" i="2"/>
  <c r="H761" i="2"/>
  <c r="D761" i="2"/>
  <c r="C761" i="2"/>
  <c r="I760" i="2"/>
  <c r="H760" i="2"/>
  <c r="D760" i="2"/>
  <c r="C760" i="2"/>
  <c r="I759" i="2"/>
  <c r="H759" i="2"/>
  <c r="D759" i="2"/>
  <c r="C759" i="2"/>
  <c r="I758" i="2"/>
  <c r="H758" i="2"/>
  <c r="D758" i="2"/>
  <c r="C758" i="2"/>
  <c r="I757" i="2"/>
  <c r="H757" i="2"/>
  <c r="D757" i="2"/>
  <c r="C757" i="2"/>
  <c r="I756" i="2"/>
  <c r="H756" i="2"/>
  <c r="D756" i="2"/>
  <c r="C756" i="2"/>
  <c r="I755" i="2"/>
  <c r="H755" i="2"/>
  <c r="D755" i="2"/>
  <c r="C755" i="2"/>
  <c r="I754" i="2"/>
  <c r="H754" i="2"/>
  <c r="D754" i="2"/>
  <c r="C754" i="2"/>
  <c r="I753" i="2"/>
  <c r="H753" i="2"/>
  <c r="D753" i="2"/>
  <c r="C753" i="2"/>
  <c r="I752" i="2"/>
  <c r="H752" i="2"/>
  <c r="D752" i="2"/>
  <c r="C752" i="2"/>
  <c r="I751" i="2"/>
  <c r="H751" i="2"/>
  <c r="D751" i="2"/>
  <c r="C751" i="2"/>
  <c r="I750" i="2"/>
  <c r="H750" i="2"/>
  <c r="D750" i="2"/>
  <c r="C750" i="2"/>
  <c r="I749" i="2"/>
  <c r="H749" i="2"/>
  <c r="D749" i="2"/>
  <c r="C749" i="2"/>
  <c r="I748" i="2"/>
  <c r="H748" i="2"/>
  <c r="D748" i="2"/>
  <c r="C748" i="2"/>
  <c r="I747" i="2"/>
  <c r="H747" i="2"/>
  <c r="D747" i="2"/>
  <c r="C747" i="2"/>
  <c r="I746" i="2"/>
  <c r="H746" i="2"/>
  <c r="D746" i="2"/>
  <c r="C746" i="2"/>
  <c r="I745" i="2"/>
  <c r="H745" i="2"/>
  <c r="D745" i="2"/>
  <c r="C745" i="2"/>
  <c r="I744" i="2"/>
  <c r="H744" i="2"/>
  <c r="D744" i="2"/>
  <c r="C744" i="2"/>
  <c r="I743" i="2"/>
  <c r="H743" i="2"/>
  <c r="D743" i="2"/>
  <c r="C743" i="2"/>
  <c r="I742" i="2"/>
  <c r="H742" i="2"/>
  <c r="D742" i="2"/>
  <c r="C742" i="2"/>
  <c r="I741" i="2"/>
  <c r="H741" i="2"/>
  <c r="D741" i="2"/>
  <c r="C741" i="2"/>
  <c r="I740" i="2"/>
  <c r="H740" i="2"/>
  <c r="D740" i="2"/>
  <c r="C740" i="2"/>
  <c r="I739" i="2"/>
  <c r="H739" i="2"/>
  <c r="D739" i="2"/>
  <c r="C739" i="2"/>
  <c r="I738" i="2"/>
  <c r="H738" i="2"/>
  <c r="D738" i="2"/>
  <c r="C738" i="2"/>
  <c r="I737" i="2"/>
  <c r="H737" i="2"/>
  <c r="D737" i="2"/>
  <c r="C737" i="2"/>
  <c r="I736" i="2"/>
  <c r="H736" i="2"/>
  <c r="D736" i="2"/>
  <c r="C736" i="2"/>
  <c r="I735" i="2"/>
  <c r="H735" i="2"/>
  <c r="D735" i="2"/>
  <c r="C735" i="2"/>
  <c r="I734" i="2"/>
  <c r="H734" i="2"/>
  <c r="D734" i="2"/>
  <c r="C734" i="2"/>
  <c r="I733" i="2"/>
  <c r="H733" i="2"/>
  <c r="D733" i="2"/>
  <c r="C733" i="2"/>
  <c r="I732" i="2"/>
  <c r="H732" i="2"/>
  <c r="D732" i="2"/>
  <c r="C732" i="2"/>
  <c r="I731" i="2"/>
  <c r="H731" i="2"/>
  <c r="D731" i="2"/>
  <c r="C731" i="2"/>
  <c r="I730" i="2"/>
  <c r="H730" i="2"/>
  <c r="D730" i="2"/>
  <c r="C730" i="2"/>
  <c r="I729" i="2"/>
  <c r="H729" i="2"/>
  <c r="D729" i="2"/>
  <c r="C729" i="2"/>
  <c r="I728" i="2"/>
  <c r="H728" i="2"/>
  <c r="D728" i="2"/>
  <c r="C728" i="2"/>
  <c r="I727" i="2"/>
  <c r="H727" i="2"/>
  <c r="D727" i="2"/>
  <c r="C727" i="2"/>
  <c r="I726" i="2"/>
  <c r="H726" i="2"/>
  <c r="D726" i="2"/>
  <c r="C726" i="2"/>
  <c r="I725" i="2"/>
  <c r="H725" i="2"/>
  <c r="D725" i="2"/>
  <c r="C725" i="2"/>
  <c r="I724" i="2"/>
  <c r="H724" i="2"/>
  <c r="D724" i="2"/>
  <c r="C724" i="2"/>
  <c r="I723" i="2"/>
  <c r="H723" i="2"/>
  <c r="D723" i="2"/>
  <c r="C723" i="2"/>
  <c r="I722" i="2"/>
  <c r="H722" i="2"/>
  <c r="D722" i="2"/>
  <c r="C722" i="2"/>
  <c r="I721" i="2"/>
  <c r="H721" i="2"/>
  <c r="D721" i="2"/>
  <c r="C721" i="2"/>
  <c r="I720" i="2"/>
  <c r="H720" i="2"/>
  <c r="D720" i="2"/>
  <c r="C720" i="2"/>
  <c r="I719" i="2"/>
  <c r="H719" i="2"/>
  <c r="D719" i="2"/>
  <c r="C719" i="2"/>
  <c r="I718" i="2"/>
  <c r="H718" i="2"/>
  <c r="D718" i="2"/>
  <c r="C718" i="2"/>
  <c r="I717" i="2"/>
  <c r="H717" i="2"/>
  <c r="D717" i="2"/>
  <c r="C717" i="2"/>
  <c r="I716" i="2"/>
  <c r="H716" i="2"/>
  <c r="D716" i="2"/>
  <c r="C716" i="2"/>
  <c r="I715" i="2"/>
  <c r="H715" i="2"/>
  <c r="D715" i="2"/>
  <c r="C715" i="2"/>
  <c r="I714" i="2"/>
  <c r="H714" i="2"/>
  <c r="D714" i="2"/>
  <c r="C714" i="2"/>
  <c r="I713" i="2"/>
  <c r="H713" i="2"/>
  <c r="D713" i="2"/>
  <c r="C713" i="2"/>
  <c r="I712" i="2"/>
  <c r="H712" i="2"/>
  <c r="D712" i="2"/>
  <c r="C712" i="2"/>
  <c r="I711" i="2"/>
  <c r="H711" i="2"/>
  <c r="D711" i="2"/>
  <c r="C711" i="2"/>
  <c r="I710" i="2"/>
  <c r="H710" i="2"/>
  <c r="D710" i="2"/>
  <c r="C710" i="2"/>
  <c r="I709" i="2"/>
  <c r="H709" i="2"/>
  <c r="D709" i="2"/>
  <c r="C709" i="2"/>
  <c r="I708" i="2"/>
  <c r="H708" i="2"/>
  <c r="D708" i="2"/>
  <c r="C708" i="2"/>
  <c r="I707" i="2"/>
  <c r="H707" i="2"/>
  <c r="D707" i="2"/>
  <c r="C707" i="2"/>
  <c r="I706" i="2"/>
  <c r="H706" i="2"/>
  <c r="D706" i="2"/>
  <c r="C706" i="2"/>
  <c r="I705" i="2"/>
  <c r="H705" i="2"/>
  <c r="D705" i="2"/>
  <c r="C705" i="2"/>
  <c r="I704" i="2"/>
  <c r="H704" i="2"/>
  <c r="D704" i="2"/>
  <c r="C704" i="2"/>
  <c r="I703" i="2"/>
  <c r="H703" i="2"/>
  <c r="D703" i="2"/>
  <c r="C703" i="2"/>
  <c r="I702" i="2"/>
  <c r="H702" i="2"/>
  <c r="D702" i="2"/>
  <c r="C702" i="2"/>
  <c r="I701" i="2"/>
  <c r="H701" i="2"/>
  <c r="D701" i="2"/>
  <c r="C701" i="2"/>
  <c r="I700" i="2"/>
  <c r="H700" i="2"/>
  <c r="D700" i="2"/>
  <c r="C700" i="2"/>
  <c r="I699" i="2"/>
  <c r="H699" i="2"/>
  <c r="D699" i="2"/>
  <c r="C699" i="2"/>
  <c r="I698" i="2"/>
  <c r="H698" i="2"/>
  <c r="D698" i="2"/>
  <c r="C698" i="2"/>
  <c r="I697" i="2"/>
  <c r="H697" i="2"/>
  <c r="D697" i="2"/>
  <c r="C697" i="2"/>
  <c r="I696" i="2"/>
  <c r="H696" i="2"/>
  <c r="D696" i="2"/>
  <c r="C696" i="2"/>
  <c r="I695" i="2"/>
  <c r="H695" i="2"/>
  <c r="D695" i="2"/>
  <c r="C695" i="2"/>
  <c r="I694" i="2"/>
  <c r="H694" i="2"/>
  <c r="D694" i="2"/>
  <c r="C694" i="2"/>
  <c r="I693" i="2"/>
  <c r="H693" i="2"/>
  <c r="D693" i="2"/>
  <c r="C693" i="2"/>
  <c r="I692" i="2"/>
  <c r="H692" i="2"/>
  <c r="D692" i="2"/>
  <c r="C692" i="2"/>
  <c r="I691" i="2"/>
  <c r="H691" i="2"/>
  <c r="D691" i="2"/>
  <c r="C691" i="2"/>
  <c r="I690" i="2"/>
  <c r="H690" i="2"/>
  <c r="D690" i="2"/>
  <c r="C690" i="2"/>
  <c r="I689" i="2"/>
  <c r="H689" i="2"/>
  <c r="D689" i="2"/>
  <c r="C689" i="2"/>
  <c r="I688" i="2"/>
  <c r="H688" i="2"/>
  <c r="D688" i="2"/>
  <c r="C688" i="2"/>
  <c r="I687" i="2"/>
  <c r="H687" i="2"/>
  <c r="D687" i="2"/>
  <c r="C687" i="2"/>
  <c r="I686" i="2"/>
  <c r="H686" i="2"/>
  <c r="D686" i="2"/>
  <c r="C686" i="2"/>
  <c r="I685" i="2"/>
  <c r="H685" i="2"/>
  <c r="D685" i="2"/>
  <c r="C685" i="2"/>
  <c r="I684" i="2"/>
  <c r="H684" i="2"/>
  <c r="D684" i="2"/>
  <c r="C684" i="2"/>
  <c r="I683" i="2"/>
  <c r="H683" i="2"/>
  <c r="D683" i="2"/>
  <c r="C683" i="2"/>
  <c r="I682" i="2"/>
  <c r="H682" i="2"/>
  <c r="D682" i="2"/>
  <c r="C682" i="2"/>
  <c r="I681" i="2"/>
  <c r="H681" i="2"/>
  <c r="D681" i="2"/>
  <c r="C681" i="2"/>
  <c r="I680" i="2"/>
  <c r="H680" i="2"/>
  <c r="D680" i="2"/>
  <c r="C680" i="2"/>
  <c r="I679" i="2"/>
  <c r="H679" i="2"/>
  <c r="D679" i="2"/>
  <c r="C679" i="2"/>
  <c r="I678" i="2"/>
  <c r="H678" i="2"/>
  <c r="D678" i="2"/>
  <c r="C678" i="2"/>
  <c r="I677" i="2"/>
  <c r="H677" i="2"/>
  <c r="D677" i="2"/>
  <c r="C677" i="2"/>
  <c r="I676" i="2"/>
  <c r="H676" i="2"/>
  <c r="D676" i="2"/>
  <c r="C676" i="2"/>
  <c r="I675" i="2"/>
  <c r="H675" i="2"/>
  <c r="D675" i="2"/>
  <c r="C675" i="2"/>
  <c r="I674" i="2"/>
  <c r="H674" i="2"/>
  <c r="D674" i="2"/>
  <c r="C674" i="2"/>
  <c r="I673" i="2"/>
  <c r="H673" i="2"/>
  <c r="D673" i="2"/>
  <c r="C673" i="2"/>
  <c r="I672" i="2"/>
  <c r="H672" i="2"/>
  <c r="D672" i="2"/>
  <c r="C672" i="2"/>
  <c r="I671" i="2"/>
  <c r="H671" i="2"/>
  <c r="D671" i="2"/>
  <c r="C671" i="2"/>
  <c r="I670" i="2"/>
  <c r="H670" i="2"/>
  <c r="D670" i="2"/>
  <c r="C670" i="2"/>
  <c r="I669" i="2"/>
  <c r="H669" i="2"/>
  <c r="D669" i="2"/>
  <c r="C669" i="2"/>
  <c r="I668" i="2"/>
  <c r="H668" i="2"/>
  <c r="D668" i="2"/>
  <c r="C668" i="2"/>
  <c r="I667" i="2"/>
  <c r="H667" i="2"/>
  <c r="D667" i="2"/>
  <c r="C667" i="2"/>
  <c r="I666" i="2"/>
  <c r="H666" i="2"/>
  <c r="D666" i="2"/>
  <c r="C666" i="2"/>
  <c r="I665" i="2"/>
  <c r="H665" i="2"/>
  <c r="D665" i="2"/>
  <c r="C665" i="2"/>
  <c r="I664" i="2"/>
  <c r="H664" i="2"/>
  <c r="D664" i="2"/>
  <c r="C664" i="2"/>
  <c r="I663" i="2"/>
  <c r="H663" i="2"/>
  <c r="D663" i="2"/>
  <c r="C663" i="2"/>
  <c r="I662" i="2"/>
  <c r="H662" i="2"/>
  <c r="D662" i="2"/>
  <c r="C662" i="2"/>
  <c r="I661" i="2"/>
  <c r="H661" i="2"/>
  <c r="D661" i="2"/>
  <c r="C661" i="2"/>
  <c r="I660" i="2"/>
  <c r="H660" i="2"/>
  <c r="D660" i="2"/>
  <c r="C660" i="2"/>
  <c r="I659" i="2"/>
  <c r="H659" i="2"/>
  <c r="D659" i="2"/>
  <c r="C659" i="2"/>
  <c r="I658" i="2"/>
  <c r="H658" i="2"/>
  <c r="D658" i="2"/>
  <c r="C658" i="2"/>
  <c r="I657" i="2"/>
  <c r="H657" i="2"/>
  <c r="D657" i="2"/>
  <c r="C657" i="2"/>
  <c r="I656" i="2"/>
  <c r="H656" i="2"/>
  <c r="D656" i="2"/>
  <c r="C656" i="2"/>
  <c r="I655" i="2"/>
  <c r="H655" i="2"/>
  <c r="D655" i="2"/>
  <c r="C655" i="2"/>
  <c r="I654" i="2"/>
  <c r="H654" i="2"/>
  <c r="D654" i="2"/>
  <c r="C654" i="2"/>
  <c r="I653" i="2"/>
  <c r="H653" i="2"/>
  <c r="D653" i="2"/>
  <c r="C653" i="2"/>
  <c r="I652" i="2"/>
  <c r="H652" i="2"/>
  <c r="D652" i="2"/>
  <c r="C652" i="2"/>
  <c r="I651" i="2"/>
  <c r="H651" i="2"/>
  <c r="D651" i="2"/>
  <c r="C651" i="2"/>
  <c r="I650" i="2"/>
  <c r="H650" i="2"/>
  <c r="D650" i="2"/>
  <c r="C650" i="2"/>
  <c r="I649" i="2"/>
  <c r="H649" i="2"/>
  <c r="D649" i="2"/>
  <c r="C649" i="2"/>
  <c r="I648" i="2"/>
  <c r="H648" i="2"/>
  <c r="D648" i="2"/>
  <c r="C648" i="2"/>
  <c r="I647" i="2"/>
  <c r="H647" i="2"/>
  <c r="D647" i="2"/>
  <c r="C647" i="2"/>
  <c r="I646" i="2"/>
  <c r="H646" i="2"/>
  <c r="D646" i="2"/>
  <c r="C646" i="2"/>
  <c r="I645" i="2"/>
  <c r="H645" i="2"/>
  <c r="D645" i="2"/>
  <c r="C645" i="2"/>
  <c r="I644" i="2"/>
  <c r="H644" i="2"/>
  <c r="D644" i="2"/>
  <c r="C644" i="2"/>
  <c r="I643" i="2"/>
  <c r="H643" i="2"/>
  <c r="D643" i="2"/>
  <c r="C643" i="2"/>
  <c r="I642" i="2"/>
  <c r="H642" i="2"/>
  <c r="D642" i="2"/>
  <c r="C642" i="2"/>
  <c r="I641" i="2"/>
  <c r="H641" i="2"/>
  <c r="D641" i="2"/>
  <c r="C641" i="2"/>
  <c r="I640" i="2"/>
  <c r="H640" i="2"/>
  <c r="D640" i="2"/>
  <c r="C640" i="2"/>
  <c r="I639" i="2"/>
  <c r="H639" i="2"/>
  <c r="D639" i="2"/>
  <c r="C639" i="2"/>
  <c r="I638" i="2"/>
  <c r="H638" i="2"/>
  <c r="D638" i="2"/>
  <c r="C638" i="2"/>
  <c r="I637" i="2"/>
  <c r="H637" i="2"/>
  <c r="D637" i="2"/>
  <c r="C637" i="2"/>
  <c r="I636" i="2"/>
  <c r="H636" i="2"/>
  <c r="D636" i="2"/>
  <c r="C636" i="2"/>
  <c r="I635" i="2"/>
  <c r="H635" i="2"/>
  <c r="D635" i="2"/>
  <c r="C635" i="2"/>
  <c r="I634" i="2"/>
  <c r="H634" i="2"/>
  <c r="D634" i="2"/>
  <c r="C634" i="2"/>
  <c r="I633" i="2"/>
  <c r="H633" i="2"/>
  <c r="D633" i="2"/>
  <c r="C633" i="2"/>
  <c r="I632" i="2"/>
  <c r="H632" i="2"/>
  <c r="D632" i="2"/>
  <c r="C632" i="2"/>
  <c r="I631" i="2"/>
  <c r="H631" i="2"/>
  <c r="D631" i="2"/>
  <c r="C631" i="2"/>
  <c r="I630" i="2"/>
  <c r="H630" i="2"/>
  <c r="D630" i="2"/>
  <c r="C630" i="2"/>
  <c r="I629" i="2"/>
  <c r="H629" i="2"/>
  <c r="D629" i="2"/>
  <c r="C629" i="2"/>
  <c r="I628" i="2"/>
  <c r="H628" i="2"/>
  <c r="D628" i="2"/>
  <c r="C628" i="2"/>
  <c r="I627" i="2"/>
  <c r="H627" i="2"/>
  <c r="D627" i="2"/>
  <c r="C627" i="2"/>
  <c r="I626" i="2"/>
  <c r="H626" i="2"/>
  <c r="D626" i="2"/>
  <c r="C626" i="2"/>
  <c r="I625" i="2"/>
  <c r="H625" i="2"/>
  <c r="D625" i="2"/>
  <c r="C625" i="2"/>
  <c r="I624" i="2"/>
  <c r="H624" i="2"/>
  <c r="D624" i="2"/>
  <c r="C624" i="2"/>
  <c r="I623" i="2"/>
  <c r="H623" i="2"/>
  <c r="D623" i="2"/>
  <c r="C623" i="2"/>
  <c r="I622" i="2"/>
  <c r="H622" i="2"/>
  <c r="D622" i="2"/>
  <c r="C622" i="2"/>
  <c r="I621" i="2"/>
  <c r="H621" i="2"/>
  <c r="D621" i="2"/>
  <c r="C621" i="2"/>
  <c r="I620" i="2"/>
  <c r="H620" i="2"/>
  <c r="D620" i="2"/>
  <c r="C620" i="2"/>
  <c r="I619" i="2"/>
  <c r="H619" i="2"/>
  <c r="D619" i="2"/>
  <c r="C619" i="2"/>
  <c r="I618" i="2"/>
  <c r="H618" i="2"/>
  <c r="D618" i="2"/>
  <c r="C618" i="2"/>
  <c r="I617" i="2"/>
  <c r="H617" i="2"/>
  <c r="D617" i="2"/>
  <c r="C617" i="2"/>
  <c r="I616" i="2"/>
  <c r="H616" i="2"/>
  <c r="D616" i="2"/>
  <c r="C616" i="2"/>
  <c r="I615" i="2"/>
  <c r="H615" i="2"/>
  <c r="D615" i="2"/>
  <c r="C615" i="2"/>
  <c r="I614" i="2"/>
  <c r="H614" i="2"/>
  <c r="D614" i="2"/>
  <c r="C614" i="2"/>
  <c r="I613" i="2"/>
  <c r="H613" i="2"/>
  <c r="D613" i="2"/>
  <c r="C613" i="2"/>
  <c r="I612" i="2"/>
  <c r="H612" i="2"/>
  <c r="D612" i="2"/>
  <c r="C612" i="2"/>
  <c r="I611" i="2"/>
  <c r="H611" i="2"/>
  <c r="D611" i="2"/>
  <c r="C611" i="2"/>
  <c r="I610" i="2"/>
  <c r="H610" i="2"/>
  <c r="D610" i="2"/>
  <c r="C610" i="2"/>
  <c r="I609" i="2"/>
  <c r="H609" i="2"/>
  <c r="D609" i="2"/>
  <c r="C609" i="2"/>
  <c r="I608" i="2"/>
  <c r="H608" i="2"/>
  <c r="D608" i="2"/>
  <c r="C608" i="2"/>
  <c r="I607" i="2"/>
  <c r="H607" i="2"/>
  <c r="D607" i="2"/>
  <c r="C607" i="2"/>
  <c r="I606" i="2"/>
  <c r="H606" i="2"/>
  <c r="D606" i="2"/>
  <c r="C606" i="2"/>
  <c r="I605" i="2"/>
  <c r="H605" i="2"/>
  <c r="D605" i="2"/>
  <c r="C605" i="2"/>
  <c r="I604" i="2"/>
  <c r="H604" i="2"/>
  <c r="D604" i="2"/>
  <c r="C604" i="2"/>
  <c r="I603" i="2"/>
  <c r="H603" i="2"/>
  <c r="D603" i="2"/>
  <c r="C603" i="2"/>
  <c r="I602" i="2"/>
  <c r="H602" i="2"/>
  <c r="D602" i="2"/>
  <c r="C602" i="2"/>
  <c r="I601" i="2"/>
  <c r="H601" i="2"/>
  <c r="D601" i="2"/>
  <c r="C601" i="2"/>
  <c r="I600" i="2"/>
  <c r="H600" i="2"/>
  <c r="D600" i="2"/>
  <c r="C600" i="2"/>
  <c r="I599" i="2"/>
  <c r="H599" i="2"/>
  <c r="D599" i="2"/>
  <c r="C599" i="2"/>
  <c r="I598" i="2"/>
  <c r="H598" i="2"/>
  <c r="D598" i="2"/>
  <c r="C598" i="2"/>
  <c r="I597" i="2"/>
  <c r="H597" i="2"/>
  <c r="D597" i="2"/>
  <c r="C597" i="2"/>
  <c r="I596" i="2"/>
  <c r="H596" i="2"/>
  <c r="D596" i="2"/>
  <c r="C596" i="2"/>
  <c r="I595" i="2"/>
  <c r="H595" i="2"/>
  <c r="D595" i="2"/>
  <c r="C595" i="2"/>
  <c r="I594" i="2"/>
  <c r="H594" i="2"/>
  <c r="D594" i="2"/>
  <c r="C594" i="2"/>
  <c r="I593" i="2"/>
  <c r="H593" i="2"/>
  <c r="D593" i="2"/>
  <c r="C593" i="2"/>
  <c r="I592" i="2"/>
  <c r="H592" i="2"/>
  <c r="D592" i="2"/>
  <c r="C592" i="2"/>
  <c r="I591" i="2"/>
  <c r="H591" i="2"/>
  <c r="D591" i="2"/>
  <c r="C591" i="2"/>
  <c r="I590" i="2"/>
  <c r="H590" i="2"/>
  <c r="D590" i="2"/>
  <c r="C590" i="2"/>
  <c r="I589" i="2"/>
  <c r="H589" i="2"/>
  <c r="D589" i="2"/>
  <c r="C589" i="2"/>
  <c r="I588" i="2"/>
  <c r="H588" i="2"/>
  <c r="D588" i="2"/>
  <c r="C588" i="2"/>
  <c r="I587" i="2"/>
  <c r="H587" i="2"/>
  <c r="D587" i="2"/>
  <c r="C587" i="2"/>
  <c r="I586" i="2"/>
  <c r="H586" i="2"/>
  <c r="D586" i="2"/>
  <c r="C586" i="2"/>
  <c r="I585" i="2"/>
  <c r="H585" i="2"/>
  <c r="D585" i="2"/>
  <c r="C585" i="2"/>
  <c r="I584" i="2"/>
  <c r="H584" i="2"/>
  <c r="D584" i="2"/>
  <c r="C584" i="2"/>
  <c r="I583" i="2"/>
  <c r="H583" i="2"/>
  <c r="D583" i="2"/>
  <c r="C583" i="2"/>
  <c r="I582" i="2"/>
  <c r="H582" i="2"/>
  <c r="D582" i="2"/>
  <c r="C582" i="2"/>
  <c r="I581" i="2"/>
  <c r="H581" i="2"/>
  <c r="D581" i="2"/>
  <c r="C581" i="2"/>
  <c r="I580" i="2"/>
  <c r="H580" i="2"/>
  <c r="D580" i="2"/>
  <c r="C580" i="2"/>
  <c r="I579" i="2"/>
  <c r="H579" i="2"/>
  <c r="D579" i="2"/>
  <c r="C579" i="2"/>
  <c r="I578" i="2"/>
  <c r="H578" i="2"/>
  <c r="D578" i="2"/>
  <c r="C578" i="2"/>
  <c r="I577" i="2"/>
  <c r="H577" i="2"/>
  <c r="D577" i="2"/>
  <c r="C577" i="2"/>
  <c r="I576" i="2"/>
  <c r="H576" i="2"/>
  <c r="D576" i="2"/>
  <c r="C576" i="2"/>
  <c r="I575" i="2"/>
  <c r="H575" i="2"/>
  <c r="D575" i="2"/>
  <c r="C575" i="2"/>
  <c r="I574" i="2"/>
  <c r="H574" i="2"/>
  <c r="D574" i="2"/>
  <c r="C574" i="2"/>
  <c r="I573" i="2"/>
  <c r="H573" i="2"/>
  <c r="D573" i="2"/>
  <c r="C573" i="2"/>
  <c r="I572" i="2"/>
  <c r="H572" i="2"/>
  <c r="D572" i="2"/>
  <c r="C572" i="2"/>
  <c r="I571" i="2"/>
  <c r="H571" i="2"/>
  <c r="D571" i="2"/>
  <c r="C571" i="2"/>
  <c r="I570" i="2"/>
  <c r="H570" i="2"/>
  <c r="D570" i="2"/>
  <c r="C570" i="2"/>
  <c r="I569" i="2"/>
  <c r="H569" i="2"/>
  <c r="D569" i="2"/>
  <c r="C569" i="2"/>
  <c r="I568" i="2"/>
  <c r="H568" i="2"/>
  <c r="D568" i="2"/>
  <c r="C568" i="2"/>
  <c r="I567" i="2"/>
  <c r="H567" i="2"/>
  <c r="D567" i="2"/>
  <c r="C567" i="2"/>
  <c r="I566" i="2"/>
  <c r="H566" i="2"/>
  <c r="D566" i="2"/>
  <c r="C566" i="2"/>
  <c r="I565" i="2"/>
  <c r="H565" i="2"/>
  <c r="D565" i="2"/>
  <c r="C565" i="2"/>
  <c r="I564" i="2"/>
  <c r="H564" i="2"/>
  <c r="D564" i="2"/>
  <c r="C564" i="2"/>
  <c r="I563" i="2"/>
  <c r="H563" i="2"/>
  <c r="D563" i="2"/>
  <c r="C563" i="2"/>
  <c r="I562" i="2"/>
  <c r="H562" i="2"/>
  <c r="D562" i="2"/>
  <c r="C562" i="2"/>
  <c r="I561" i="2"/>
  <c r="H561" i="2"/>
  <c r="D561" i="2"/>
  <c r="C561" i="2"/>
  <c r="I560" i="2"/>
  <c r="H560" i="2"/>
  <c r="D560" i="2"/>
  <c r="C560" i="2"/>
  <c r="I559" i="2"/>
  <c r="H559" i="2"/>
  <c r="D559" i="2"/>
  <c r="C559" i="2"/>
  <c r="I558" i="2"/>
  <c r="H558" i="2"/>
  <c r="D558" i="2"/>
  <c r="C558" i="2"/>
  <c r="I557" i="2"/>
  <c r="H557" i="2"/>
  <c r="D557" i="2"/>
  <c r="C557" i="2"/>
  <c r="I556" i="2"/>
  <c r="H556" i="2"/>
  <c r="D556" i="2"/>
  <c r="C556" i="2"/>
  <c r="I555" i="2"/>
  <c r="H555" i="2"/>
  <c r="D555" i="2"/>
  <c r="C555" i="2"/>
  <c r="I554" i="2"/>
  <c r="H554" i="2"/>
  <c r="D554" i="2"/>
  <c r="C554" i="2"/>
  <c r="I553" i="2"/>
  <c r="H553" i="2"/>
  <c r="D553" i="2"/>
  <c r="C553" i="2"/>
  <c r="I552" i="2"/>
  <c r="H552" i="2"/>
  <c r="D552" i="2"/>
  <c r="C552" i="2"/>
  <c r="I551" i="2"/>
  <c r="H551" i="2"/>
  <c r="D551" i="2"/>
  <c r="C551" i="2"/>
  <c r="I550" i="2"/>
  <c r="H550" i="2"/>
  <c r="D550" i="2"/>
  <c r="C550" i="2"/>
  <c r="I549" i="2"/>
  <c r="H549" i="2"/>
  <c r="D549" i="2"/>
  <c r="C549" i="2"/>
  <c r="I548" i="2"/>
  <c r="H548" i="2"/>
  <c r="D548" i="2"/>
  <c r="C548" i="2"/>
  <c r="I547" i="2"/>
  <c r="H547" i="2"/>
  <c r="D547" i="2"/>
  <c r="C547" i="2"/>
  <c r="I546" i="2"/>
  <c r="H546" i="2"/>
  <c r="D546" i="2"/>
  <c r="C546" i="2"/>
  <c r="I545" i="2"/>
  <c r="H545" i="2"/>
  <c r="D545" i="2"/>
  <c r="C545" i="2"/>
  <c r="I544" i="2"/>
  <c r="H544" i="2"/>
  <c r="D544" i="2"/>
  <c r="C544" i="2"/>
  <c r="I543" i="2"/>
  <c r="H543" i="2"/>
  <c r="D543" i="2"/>
  <c r="C543" i="2"/>
  <c r="I542" i="2"/>
  <c r="H542" i="2"/>
  <c r="D542" i="2"/>
  <c r="C542" i="2"/>
  <c r="I541" i="2"/>
  <c r="H541" i="2"/>
  <c r="D541" i="2"/>
  <c r="C541" i="2"/>
  <c r="I540" i="2"/>
  <c r="H540" i="2"/>
  <c r="D540" i="2"/>
  <c r="C540" i="2"/>
  <c r="I539" i="2"/>
  <c r="H539" i="2"/>
  <c r="D539" i="2"/>
  <c r="C539" i="2"/>
  <c r="I538" i="2"/>
  <c r="H538" i="2"/>
  <c r="D538" i="2"/>
  <c r="C538" i="2"/>
  <c r="I537" i="2"/>
  <c r="H537" i="2"/>
  <c r="D537" i="2"/>
  <c r="C537" i="2"/>
  <c r="I536" i="2"/>
  <c r="H536" i="2"/>
  <c r="D536" i="2"/>
  <c r="C536" i="2"/>
  <c r="I535" i="2"/>
  <c r="H535" i="2"/>
  <c r="D535" i="2"/>
  <c r="C535" i="2"/>
  <c r="I534" i="2"/>
  <c r="H534" i="2"/>
  <c r="D534" i="2"/>
  <c r="C534" i="2"/>
  <c r="I533" i="2"/>
  <c r="H533" i="2"/>
  <c r="D533" i="2"/>
  <c r="C533" i="2"/>
  <c r="I532" i="2"/>
  <c r="H532" i="2"/>
  <c r="D532" i="2"/>
  <c r="C532" i="2"/>
  <c r="I531" i="2"/>
  <c r="H531" i="2"/>
  <c r="D531" i="2"/>
  <c r="C531" i="2"/>
  <c r="I530" i="2"/>
  <c r="H530" i="2"/>
  <c r="D530" i="2"/>
  <c r="C530" i="2"/>
  <c r="I529" i="2"/>
  <c r="H529" i="2"/>
  <c r="D529" i="2"/>
  <c r="C529" i="2"/>
  <c r="I528" i="2"/>
  <c r="H528" i="2"/>
  <c r="D528" i="2"/>
  <c r="C528" i="2"/>
  <c r="I527" i="2"/>
  <c r="H527" i="2"/>
  <c r="D527" i="2"/>
  <c r="C527" i="2"/>
  <c r="I526" i="2"/>
  <c r="H526" i="2"/>
  <c r="D526" i="2"/>
  <c r="C526" i="2"/>
  <c r="I525" i="2"/>
  <c r="H525" i="2"/>
  <c r="D525" i="2"/>
  <c r="C525" i="2"/>
  <c r="I524" i="2"/>
  <c r="H524" i="2"/>
  <c r="D524" i="2"/>
  <c r="C524" i="2"/>
  <c r="I523" i="2"/>
  <c r="H523" i="2"/>
  <c r="D523" i="2"/>
  <c r="C523" i="2"/>
  <c r="I522" i="2"/>
  <c r="H522" i="2"/>
  <c r="D522" i="2"/>
  <c r="C522" i="2"/>
  <c r="I521" i="2"/>
  <c r="H521" i="2"/>
  <c r="D521" i="2"/>
  <c r="C521" i="2"/>
  <c r="I520" i="2"/>
  <c r="H520" i="2"/>
  <c r="D520" i="2"/>
  <c r="C520" i="2"/>
  <c r="I519" i="2"/>
  <c r="H519" i="2"/>
  <c r="D519" i="2"/>
  <c r="C519" i="2"/>
  <c r="I518" i="2"/>
  <c r="H518" i="2"/>
  <c r="D518" i="2"/>
  <c r="C518" i="2"/>
  <c r="I517" i="2"/>
  <c r="H517" i="2"/>
  <c r="D517" i="2"/>
  <c r="C517" i="2"/>
  <c r="I516" i="2"/>
  <c r="H516" i="2"/>
  <c r="D516" i="2"/>
  <c r="C516" i="2"/>
  <c r="I515" i="2"/>
  <c r="H515" i="2"/>
  <c r="D515" i="2"/>
  <c r="C515" i="2"/>
  <c r="I514" i="2"/>
  <c r="H514" i="2"/>
  <c r="D514" i="2"/>
  <c r="C514" i="2"/>
  <c r="I513" i="2"/>
  <c r="H513" i="2"/>
  <c r="D513" i="2"/>
  <c r="C513" i="2"/>
  <c r="I512" i="2"/>
  <c r="H512" i="2"/>
  <c r="D512" i="2"/>
  <c r="C512" i="2"/>
  <c r="I511" i="2"/>
  <c r="H511" i="2"/>
  <c r="D511" i="2"/>
  <c r="C511" i="2"/>
  <c r="I510" i="2"/>
  <c r="H510" i="2"/>
  <c r="D510" i="2"/>
  <c r="C510" i="2"/>
  <c r="I509" i="2"/>
  <c r="H509" i="2"/>
  <c r="D509" i="2"/>
  <c r="C509" i="2"/>
  <c r="I508" i="2"/>
  <c r="H508" i="2"/>
  <c r="D508" i="2"/>
  <c r="C508" i="2"/>
  <c r="I507" i="2"/>
  <c r="H507" i="2"/>
  <c r="D507" i="2"/>
  <c r="C507" i="2"/>
  <c r="I506" i="2"/>
  <c r="H506" i="2"/>
  <c r="D506" i="2"/>
  <c r="C506" i="2"/>
  <c r="I505" i="2"/>
  <c r="H505" i="2"/>
  <c r="D505" i="2"/>
  <c r="C505" i="2"/>
  <c r="I504" i="2"/>
  <c r="H504" i="2"/>
  <c r="D504" i="2"/>
  <c r="C504" i="2"/>
  <c r="I503" i="2"/>
  <c r="H503" i="2"/>
  <c r="D503" i="2"/>
  <c r="C503" i="2"/>
  <c r="I502" i="2"/>
  <c r="H502" i="2"/>
  <c r="D502" i="2"/>
  <c r="C502" i="2"/>
  <c r="I501" i="2"/>
  <c r="H501" i="2"/>
  <c r="D501" i="2"/>
  <c r="C501" i="2"/>
  <c r="I500" i="2"/>
  <c r="H500" i="2"/>
  <c r="D500" i="2"/>
  <c r="C500" i="2"/>
  <c r="I499" i="2"/>
  <c r="H499" i="2"/>
  <c r="D499" i="2"/>
  <c r="C499" i="2"/>
  <c r="I498" i="2"/>
  <c r="H498" i="2"/>
  <c r="D498" i="2"/>
  <c r="C498" i="2"/>
  <c r="I497" i="2"/>
  <c r="H497" i="2"/>
  <c r="D497" i="2"/>
  <c r="C497" i="2"/>
  <c r="I496" i="2"/>
  <c r="H496" i="2"/>
  <c r="D496" i="2"/>
  <c r="C496" i="2"/>
  <c r="I495" i="2"/>
  <c r="H495" i="2"/>
  <c r="D495" i="2"/>
  <c r="C495" i="2"/>
  <c r="I494" i="2"/>
  <c r="H494" i="2"/>
  <c r="D494" i="2"/>
  <c r="C494" i="2"/>
  <c r="I493" i="2"/>
  <c r="H493" i="2"/>
  <c r="D493" i="2"/>
  <c r="C493" i="2"/>
  <c r="I492" i="2"/>
  <c r="H492" i="2"/>
  <c r="D492" i="2"/>
  <c r="C492" i="2"/>
  <c r="I491" i="2"/>
  <c r="H491" i="2"/>
  <c r="D491" i="2"/>
  <c r="C491" i="2"/>
  <c r="I490" i="2"/>
  <c r="H490" i="2"/>
  <c r="D490" i="2"/>
  <c r="C490" i="2"/>
  <c r="I489" i="2"/>
  <c r="H489" i="2"/>
  <c r="D489" i="2"/>
  <c r="C489" i="2"/>
  <c r="I488" i="2"/>
  <c r="H488" i="2"/>
  <c r="D488" i="2"/>
  <c r="C488" i="2"/>
  <c r="I487" i="2"/>
  <c r="H487" i="2"/>
  <c r="D487" i="2"/>
  <c r="C487" i="2"/>
  <c r="I486" i="2"/>
  <c r="H486" i="2"/>
  <c r="D486" i="2"/>
  <c r="C486" i="2"/>
  <c r="I485" i="2"/>
  <c r="H485" i="2"/>
  <c r="D485" i="2"/>
  <c r="C485" i="2"/>
  <c r="I484" i="2"/>
  <c r="H484" i="2"/>
  <c r="D484" i="2"/>
  <c r="C484" i="2"/>
  <c r="I483" i="2"/>
  <c r="H483" i="2"/>
  <c r="D483" i="2"/>
  <c r="C483" i="2"/>
  <c r="I482" i="2"/>
  <c r="H482" i="2"/>
  <c r="D482" i="2"/>
  <c r="C482" i="2"/>
  <c r="I481" i="2"/>
  <c r="H481" i="2"/>
  <c r="D481" i="2"/>
  <c r="C481" i="2"/>
  <c r="I480" i="2"/>
  <c r="H480" i="2"/>
  <c r="D480" i="2"/>
  <c r="C480" i="2"/>
  <c r="I479" i="2"/>
  <c r="H479" i="2"/>
  <c r="D479" i="2"/>
  <c r="C479" i="2"/>
  <c r="I478" i="2"/>
  <c r="H478" i="2"/>
  <c r="D478" i="2"/>
  <c r="C478" i="2"/>
  <c r="I477" i="2"/>
  <c r="H477" i="2"/>
  <c r="D477" i="2"/>
  <c r="C477" i="2"/>
  <c r="I476" i="2"/>
  <c r="H476" i="2"/>
  <c r="D476" i="2"/>
  <c r="C476" i="2"/>
  <c r="I475" i="2"/>
  <c r="H475" i="2"/>
  <c r="D475" i="2"/>
  <c r="C475" i="2"/>
  <c r="I474" i="2"/>
  <c r="H474" i="2"/>
  <c r="D474" i="2"/>
  <c r="C474" i="2"/>
  <c r="I473" i="2"/>
  <c r="H473" i="2"/>
  <c r="D473" i="2"/>
  <c r="C473" i="2"/>
  <c r="I472" i="2"/>
  <c r="H472" i="2"/>
  <c r="D472" i="2"/>
  <c r="C472" i="2"/>
  <c r="I471" i="2"/>
  <c r="H471" i="2"/>
  <c r="D471" i="2"/>
  <c r="C471" i="2"/>
  <c r="I470" i="2"/>
  <c r="H470" i="2"/>
  <c r="D470" i="2"/>
  <c r="C470" i="2"/>
  <c r="I469" i="2"/>
  <c r="H469" i="2"/>
  <c r="D469" i="2"/>
  <c r="C469" i="2"/>
  <c r="I468" i="2"/>
  <c r="H468" i="2"/>
  <c r="D468" i="2"/>
  <c r="C468" i="2"/>
  <c r="I467" i="2"/>
  <c r="H467" i="2"/>
  <c r="D467" i="2"/>
  <c r="C467" i="2"/>
  <c r="I466" i="2"/>
  <c r="H466" i="2"/>
  <c r="D466" i="2"/>
  <c r="C466" i="2"/>
  <c r="I465" i="2"/>
  <c r="H465" i="2"/>
  <c r="D465" i="2"/>
  <c r="C465" i="2"/>
  <c r="I464" i="2"/>
  <c r="H464" i="2"/>
  <c r="D464" i="2"/>
  <c r="C464" i="2"/>
  <c r="I463" i="2"/>
  <c r="H463" i="2"/>
  <c r="D463" i="2"/>
  <c r="C463" i="2"/>
  <c r="I462" i="2"/>
  <c r="H462" i="2"/>
  <c r="D462" i="2"/>
  <c r="C462" i="2"/>
  <c r="I461" i="2"/>
  <c r="H461" i="2"/>
  <c r="D461" i="2"/>
  <c r="C461" i="2"/>
  <c r="I460" i="2"/>
  <c r="H460" i="2"/>
  <c r="D460" i="2"/>
  <c r="C460" i="2"/>
  <c r="I459" i="2"/>
  <c r="H459" i="2"/>
  <c r="D459" i="2"/>
  <c r="C459" i="2"/>
  <c r="I458" i="2"/>
  <c r="H458" i="2"/>
  <c r="D458" i="2"/>
  <c r="C458" i="2"/>
  <c r="I457" i="2"/>
  <c r="H457" i="2"/>
  <c r="D457" i="2"/>
  <c r="C457" i="2"/>
  <c r="I456" i="2"/>
  <c r="H456" i="2"/>
  <c r="D456" i="2"/>
  <c r="C456" i="2"/>
  <c r="I455" i="2"/>
  <c r="H455" i="2"/>
  <c r="D455" i="2"/>
  <c r="C455" i="2"/>
  <c r="I454" i="2"/>
  <c r="H454" i="2"/>
  <c r="D454" i="2"/>
  <c r="C454" i="2"/>
  <c r="I453" i="2"/>
  <c r="H453" i="2"/>
  <c r="D453" i="2"/>
  <c r="C453" i="2"/>
  <c r="I452" i="2"/>
  <c r="H452" i="2"/>
  <c r="D452" i="2"/>
  <c r="C452" i="2"/>
  <c r="I451" i="2"/>
  <c r="H451" i="2"/>
  <c r="D451" i="2"/>
  <c r="C451" i="2"/>
  <c r="I450" i="2"/>
  <c r="H450" i="2"/>
  <c r="D450" i="2"/>
  <c r="C450" i="2"/>
  <c r="I449" i="2"/>
  <c r="H449" i="2"/>
  <c r="D449" i="2"/>
  <c r="C449" i="2"/>
  <c r="I448" i="2"/>
  <c r="H448" i="2"/>
  <c r="D448" i="2"/>
  <c r="C448" i="2"/>
  <c r="I447" i="2"/>
  <c r="H447" i="2"/>
  <c r="D447" i="2"/>
  <c r="C447" i="2"/>
  <c r="I446" i="2"/>
  <c r="H446" i="2"/>
  <c r="D446" i="2"/>
  <c r="C446" i="2"/>
  <c r="I445" i="2"/>
  <c r="H445" i="2"/>
  <c r="D445" i="2"/>
  <c r="C445" i="2"/>
  <c r="I444" i="2"/>
  <c r="H444" i="2"/>
  <c r="D444" i="2"/>
  <c r="C444" i="2"/>
  <c r="I443" i="2"/>
  <c r="H443" i="2"/>
  <c r="D443" i="2"/>
  <c r="C443" i="2"/>
  <c r="I442" i="2"/>
  <c r="H442" i="2"/>
  <c r="D442" i="2"/>
  <c r="C442" i="2"/>
  <c r="I441" i="2"/>
  <c r="H441" i="2"/>
  <c r="D441" i="2"/>
  <c r="C441" i="2"/>
  <c r="I440" i="2"/>
  <c r="H440" i="2"/>
  <c r="D440" i="2"/>
  <c r="C440" i="2"/>
  <c r="I439" i="2"/>
  <c r="H439" i="2"/>
  <c r="D439" i="2"/>
  <c r="C439" i="2"/>
  <c r="I438" i="2"/>
  <c r="H438" i="2"/>
  <c r="D438" i="2"/>
  <c r="C438" i="2"/>
  <c r="I437" i="2"/>
  <c r="H437" i="2"/>
  <c r="D437" i="2"/>
  <c r="C437" i="2"/>
  <c r="I436" i="2"/>
  <c r="H436" i="2"/>
  <c r="D436" i="2"/>
  <c r="C436" i="2"/>
  <c r="I435" i="2"/>
  <c r="H435" i="2"/>
  <c r="D435" i="2"/>
  <c r="C435" i="2"/>
  <c r="I434" i="2"/>
  <c r="H434" i="2"/>
  <c r="D434" i="2"/>
  <c r="C434" i="2"/>
  <c r="I433" i="2"/>
  <c r="H433" i="2"/>
  <c r="D433" i="2"/>
  <c r="C433" i="2"/>
  <c r="I432" i="2"/>
  <c r="H432" i="2"/>
  <c r="D432" i="2"/>
  <c r="C432" i="2"/>
  <c r="I431" i="2"/>
  <c r="H431" i="2"/>
  <c r="D431" i="2"/>
  <c r="C431" i="2"/>
  <c r="I430" i="2"/>
  <c r="H430" i="2"/>
  <c r="D430" i="2"/>
  <c r="C430" i="2"/>
  <c r="I429" i="2"/>
  <c r="H429" i="2"/>
  <c r="D429" i="2"/>
  <c r="C429" i="2"/>
  <c r="I428" i="2"/>
  <c r="H428" i="2"/>
  <c r="D428" i="2"/>
  <c r="C428" i="2"/>
  <c r="I427" i="2"/>
  <c r="H427" i="2"/>
  <c r="D427" i="2"/>
  <c r="C427" i="2"/>
  <c r="I426" i="2"/>
  <c r="H426" i="2"/>
  <c r="D426" i="2"/>
  <c r="C426" i="2"/>
  <c r="I425" i="2"/>
  <c r="H425" i="2"/>
  <c r="D425" i="2"/>
  <c r="C425" i="2"/>
  <c r="I424" i="2"/>
  <c r="H424" i="2"/>
  <c r="D424" i="2"/>
  <c r="C424" i="2"/>
  <c r="I423" i="2"/>
  <c r="H423" i="2"/>
  <c r="D423" i="2"/>
  <c r="C423" i="2"/>
  <c r="I422" i="2"/>
  <c r="H422" i="2"/>
  <c r="D422" i="2"/>
  <c r="C422" i="2"/>
  <c r="I421" i="2"/>
  <c r="H421" i="2"/>
  <c r="D421" i="2"/>
  <c r="C421" i="2"/>
  <c r="I420" i="2"/>
  <c r="H420" i="2"/>
  <c r="D420" i="2"/>
  <c r="C420" i="2"/>
  <c r="I419" i="2"/>
  <c r="H419" i="2"/>
  <c r="D419" i="2"/>
  <c r="C419" i="2"/>
  <c r="I418" i="2"/>
  <c r="H418" i="2"/>
  <c r="D418" i="2"/>
  <c r="C418" i="2"/>
  <c r="I417" i="2"/>
  <c r="H417" i="2"/>
  <c r="D417" i="2"/>
  <c r="C417" i="2"/>
  <c r="I416" i="2"/>
  <c r="H416" i="2"/>
  <c r="D416" i="2"/>
  <c r="C416" i="2"/>
  <c r="I415" i="2"/>
  <c r="H415" i="2"/>
  <c r="D415" i="2"/>
  <c r="C415" i="2"/>
  <c r="I414" i="2"/>
  <c r="H414" i="2"/>
  <c r="D414" i="2"/>
  <c r="C414" i="2"/>
  <c r="I413" i="2"/>
  <c r="H413" i="2"/>
  <c r="D413" i="2"/>
  <c r="C413" i="2"/>
  <c r="I412" i="2"/>
  <c r="H412" i="2"/>
  <c r="D412" i="2"/>
  <c r="C412" i="2"/>
  <c r="I411" i="2"/>
  <c r="H411" i="2"/>
  <c r="D411" i="2"/>
  <c r="C411" i="2"/>
  <c r="I410" i="2"/>
  <c r="H410" i="2"/>
  <c r="D410" i="2"/>
  <c r="C410" i="2"/>
  <c r="I409" i="2"/>
  <c r="H409" i="2"/>
  <c r="D409" i="2"/>
  <c r="C409" i="2"/>
  <c r="I408" i="2"/>
  <c r="H408" i="2"/>
  <c r="D408" i="2"/>
  <c r="C408" i="2"/>
  <c r="I407" i="2"/>
  <c r="H407" i="2"/>
  <c r="D407" i="2"/>
  <c r="C407" i="2"/>
  <c r="I406" i="2"/>
  <c r="H406" i="2"/>
  <c r="D406" i="2"/>
  <c r="C406" i="2"/>
  <c r="I405" i="2"/>
  <c r="H405" i="2"/>
  <c r="D405" i="2"/>
  <c r="C405" i="2"/>
  <c r="I404" i="2"/>
  <c r="H404" i="2"/>
  <c r="D404" i="2"/>
  <c r="C404" i="2"/>
  <c r="I403" i="2"/>
  <c r="H403" i="2"/>
  <c r="D403" i="2"/>
  <c r="C403" i="2"/>
  <c r="I402" i="2"/>
  <c r="H402" i="2"/>
  <c r="D402" i="2"/>
  <c r="C402" i="2"/>
  <c r="I401" i="2"/>
  <c r="H401" i="2"/>
  <c r="D401" i="2"/>
  <c r="C401" i="2"/>
  <c r="I400" i="2"/>
  <c r="H400" i="2"/>
  <c r="D400" i="2"/>
  <c r="C400" i="2"/>
  <c r="I399" i="2"/>
  <c r="H399" i="2"/>
  <c r="D399" i="2"/>
  <c r="C399" i="2"/>
  <c r="I398" i="2"/>
  <c r="H398" i="2"/>
  <c r="D398" i="2"/>
  <c r="C398" i="2"/>
  <c r="I397" i="2"/>
  <c r="H397" i="2"/>
  <c r="D397" i="2"/>
  <c r="C397" i="2"/>
  <c r="I396" i="2"/>
  <c r="H396" i="2"/>
  <c r="D396" i="2"/>
  <c r="C396" i="2"/>
  <c r="I395" i="2"/>
  <c r="H395" i="2"/>
  <c r="D395" i="2"/>
  <c r="C395" i="2"/>
  <c r="I394" i="2"/>
  <c r="H394" i="2"/>
  <c r="D394" i="2"/>
  <c r="C394" i="2"/>
  <c r="I393" i="2"/>
  <c r="H393" i="2"/>
  <c r="D393" i="2"/>
  <c r="C393" i="2"/>
  <c r="I392" i="2"/>
  <c r="H392" i="2"/>
  <c r="D392" i="2"/>
  <c r="C392" i="2"/>
  <c r="I391" i="2"/>
  <c r="H391" i="2"/>
  <c r="D391" i="2"/>
  <c r="C391" i="2"/>
  <c r="I390" i="2"/>
  <c r="H390" i="2"/>
  <c r="D390" i="2"/>
  <c r="C390" i="2"/>
  <c r="I389" i="2"/>
  <c r="H389" i="2"/>
  <c r="D389" i="2"/>
  <c r="C389" i="2"/>
  <c r="I388" i="2"/>
  <c r="H388" i="2"/>
  <c r="D388" i="2"/>
  <c r="C388" i="2"/>
  <c r="I387" i="2"/>
  <c r="H387" i="2"/>
  <c r="D387" i="2"/>
  <c r="C387" i="2"/>
  <c r="I386" i="2"/>
  <c r="H386" i="2"/>
  <c r="D386" i="2"/>
  <c r="C386" i="2"/>
  <c r="I385" i="2"/>
  <c r="H385" i="2"/>
  <c r="D385" i="2"/>
  <c r="C385" i="2"/>
  <c r="I384" i="2"/>
  <c r="H384" i="2"/>
  <c r="D384" i="2"/>
  <c r="C384" i="2"/>
  <c r="I383" i="2"/>
  <c r="H383" i="2"/>
  <c r="D383" i="2"/>
  <c r="C383" i="2"/>
  <c r="I382" i="2"/>
  <c r="H382" i="2"/>
  <c r="D382" i="2"/>
  <c r="C382" i="2"/>
  <c r="I381" i="2"/>
  <c r="H381" i="2"/>
  <c r="D381" i="2"/>
  <c r="C381" i="2"/>
  <c r="I380" i="2"/>
  <c r="H380" i="2"/>
  <c r="D380" i="2"/>
  <c r="C380" i="2"/>
  <c r="I379" i="2"/>
  <c r="H379" i="2"/>
  <c r="D379" i="2"/>
  <c r="C379" i="2"/>
  <c r="I378" i="2"/>
  <c r="H378" i="2"/>
  <c r="D378" i="2"/>
  <c r="C378" i="2"/>
  <c r="I377" i="2"/>
  <c r="H377" i="2"/>
  <c r="D377" i="2"/>
  <c r="C377" i="2"/>
  <c r="I376" i="2"/>
  <c r="H376" i="2"/>
  <c r="D376" i="2"/>
  <c r="C376" i="2"/>
  <c r="I375" i="2"/>
  <c r="H375" i="2"/>
  <c r="D375" i="2"/>
  <c r="C375" i="2"/>
  <c r="I374" i="2"/>
  <c r="H374" i="2"/>
  <c r="D374" i="2"/>
  <c r="C374" i="2"/>
  <c r="I373" i="2"/>
  <c r="H373" i="2"/>
  <c r="D373" i="2"/>
  <c r="C373" i="2"/>
  <c r="I372" i="2"/>
  <c r="H372" i="2"/>
  <c r="D372" i="2"/>
  <c r="C372" i="2"/>
  <c r="I371" i="2"/>
  <c r="H371" i="2"/>
  <c r="D371" i="2"/>
  <c r="C371" i="2"/>
  <c r="I370" i="2"/>
  <c r="H370" i="2"/>
  <c r="D370" i="2"/>
  <c r="C370" i="2"/>
  <c r="I369" i="2"/>
  <c r="H369" i="2"/>
  <c r="D369" i="2"/>
  <c r="C369" i="2"/>
  <c r="I368" i="2"/>
  <c r="H368" i="2"/>
  <c r="D368" i="2"/>
  <c r="C368" i="2"/>
  <c r="I367" i="2"/>
  <c r="H367" i="2"/>
  <c r="D367" i="2"/>
  <c r="C367" i="2"/>
  <c r="I366" i="2"/>
  <c r="H366" i="2"/>
  <c r="D366" i="2"/>
  <c r="C366" i="2"/>
  <c r="I365" i="2"/>
  <c r="H365" i="2"/>
  <c r="D365" i="2"/>
  <c r="C365" i="2"/>
  <c r="I364" i="2"/>
  <c r="H364" i="2"/>
  <c r="D364" i="2"/>
  <c r="C364" i="2"/>
  <c r="I363" i="2"/>
  <c r="H363" i="2"/>
  <c r="D363" i="2"/>
  <c r="C363" i="2"/>
  <c r="I362" i="2"/>
  <c r="H362" i="2"/>
  <c r="D362" i="2"/>
  <c r="C362" i="2"/>
  <c r="I361" i="2"/>
  <c r="H361" i="2"/>
  <c r="D361" i="2"/>
  <c r="C361" i="2"/>
  <c r="I360" i="2"/>
  <c r="H360" i="2"/>
  <c r="D360" i="2"/>
  <c r="C360" i="2"/>
  <c r="I359" i="2"/>
  <c r="H359" i="2"/>
  <c r="D359" i="2"/>
  <c r="C359" i="2"/>
  <c r="I358" i="2"/>
  <c r="H358" i="2"/>
  <c r="D358" i="2"/>
  <c r="C358" i="2"/>
  <c r="I357" i="2"/>
  <c r="H357" i="2"/>
  <c r="D357" i="2"/>
  <c r="C357" i="2"/>
  <c r="I356" i="2"/>
  <c r="H356" i="2"/>
  <c r="D356" i="2"/>
  <c r="C356" i="2"/>
  <c r="I355" i="2"/>
  <c r="H355" i="2"/>
  <c r="D355" i="2"/>
  <c r="C355" i="2"/>
  <c r="I354" i="2"/>
  <c r="H354" i="2"/>
  <c r="D354" i="2"/>
  <c r="C354" i="2"/>
  <c r="I353" i="2"/>
  <c r="H353" i="2"/>
  <c r="D353" i="2"/>
  <c r="C353" i="2"/>
  <c r="I352" i="2"/>
  <c r="H352" i="2"/>
  <c r="D352" i="2"/>
  <c r="C352" i="2"/>
  <c r="I351" i="2"/>
  <c r="H351" i="2"/>
  <c r="D351" i="2"/>
  <c r="C351" i="2"/>
  <c r="I350" i="2"/>
  <c r="H350" i="2"/>
  <c r="D350" i="2"/>
  <c r="C350" i="2"/>
  <c r="I349" i="2"/>
  <c r="H349" i="2"/>
  <c r="D349" i="2"/>
  <c r="C349" i="2"/>
  <c r="I348" i="2"/>
  <c r="H348" i="2"/>
  <c r="D348" i="2"/>
  <c r="C348" i="2"/>
  <c r="I347" i="2"/>
  <c r="H347" i="2"/>
  <c r="D347" i="2"/>
  <c r="C347" i="2"/>
  <c r="I346" i="2"/>
  <c r="H346" i="2"/>
  <c r="D346" i="2"/>
  <c r="C346" i="2"/>
  <c r="I345" i="2"/>
  <c r="H345" i="2"/>
  <c r="D345" i="2"/>
  <c r="C345" i="2"/>
  <c r="I344" i="2"/>
  <c r="H344" i="2"/>
  <c r="D344" i="2"/>
  <c r="C344" i="2"/>
  <c r="I343" i="2"/>
  <c r="H343" i="2"/>
  <c r="D343" i="2"/>
  <c r="C343" i="2"/>
  <c r="I342" i="2"/>
  <c r="H342" i="2"/>
  <c r="D342" i="2"/>
  <c r="C342" i="2"/>
  <c r="I341" i="2"/>
  <c r="H341" i="2"/>
  <c r="D341" i="2"/>
  <c r="C341" i="2"/>
  <c r="I340" i="2"/>
  <c r="H340" i="2"/>
  <c r="D340" i="2"/>
  <c r="C340" i="2"/>
  <c r="I339" i="2"/>
  <c r="H339" i="2"/>
  <c r="D339" i="2"/>
  <c r="C339" i="2"/>
  <c r="I338" i="2"/>
  <c r="H338" i="2"/>
  <c r="D338" i="2"/>
  <c r="C338" i="2"/>
  <c r="I337" i="2"/>
  <c r="H337" i="2"/>
  <c r="D337" i="2"/>
  <c r="C337" i="2"/>
  <c r="I336" i="2"/>
  <c r="H336" i="2"/>
  <c r="D336" i="2"/>
  <c r="C336" i="2"/>
  <c r="I335" i="2"/>
  <c r="H335" i="2"/>
  <c r="D335" i="2"/>
  <c r="C335" i="2"/>
  <c r="I334" i="2"/>
  <c r="H334" i="2"/>
  <c r="D334" i="2"/>
  <c r="C334" i="2"/>
  <c r="I333" i="2"/>
  <c r="H333" i="2"/>
  <c r="D333" i="2"/>
  <c r="C333" i="2"/>
  <c r="I332" i="2"/>
  <c r="H332" i="2"/>
  <c r="D332" i="2"/>
  <c r="C332" i="2"/>
  <c r="I331" i="2"/>
  <c r="H331" i="2"/>
  <c r="D331" i="2"/>
  <c r="C331" i="2"/>
  <c r="I330" i="2"/>
  <c r="H330" i="2"/>
  <c r="D330" i="2"/>
  <c r="C330" i="2"/>
  <c r="I329" i="2"/>
  <c r="H329" i="2"/>
  <c r="D329" i="2"/>
  <c r="C329" i="2"/>
  <c r="I328" i="2"/>
  <c r="H328" i="2"/>
  <c r="D328" i="2"/>
  <c r="C328" i="2"/>
  <c r="I327" i="2"/>
  <c r="H327" i="2"/>
  <c r="D327" i="2"/>
  <c r="C327" i="2"/>
  <c r="I326" i="2"/>
  <c r="H326" i="2"/>
  <c r="D326" i="2"/>
  <c r="C326" i="2"/>
  <c r="I325" i="2"/>
  <c r="H325" i="2"/>
  <c r="D325" i="2"/>
  <c r="C325" i="2"/>
  <c r="I324" i="2"/>
  <c r="H324" i="2"/>
  <c r="D324" i="2"/>
  <c r="C324" i="2"/>
  <c r="I323" i="2"/>
  <c r="H323" i="2"/>
  <c r="D323" i="2"/>
  <c r="C323" i="2"/>
  <c r="I322" i="2"/>
  <c r="H322" i="2"/>
  <c r="D322" i="2"/>
  <c r="C322" i="2"/>
  <c r="I321" i="2"/>
  <c r="H321" i="2"/>
  <c r="D321" i="2"/>
  <c r="C321" i="2"/>
  <c r="I320" i="2"/>
  <c r="H320" i="2"/>
  <c r="D320" i="2"/>
  <c r="C320" i="2"/>
  <c r="I319" i="2"/>
  <c r="H319" i="2"/>
  <c r="D319" i="2"/>
  <c r="C319" i="2"/>
  <c r="I318" i="2"/>
  <c r="H318" i="2"/>
  <c r="D318" i="2"/>
  <c r="C318" i="2"/>
  <c r="I317" i="2"/>
  <c r="H317" i="2"/>
  <c r="D317" i="2"/>
  <c r="C317" i="2"/>
  <c r="I316" i="2"/>
  <c r="H316" i="2"/>
  <c r="D316" i="2"/>
  <c r="C316" i="2"/>
  <c r="I315" i="2"/>
  <c r="H315" i="2"/>
  <c r="D315" i="2"/>
  <c r="C315" i="2"/>
  <c r="I314" i="2"/>
  <c r="H314" i="2"/>
  <c r="D314" i="2"/>
  <c r="C314" i="2"/>
  <c r="I313" i="2"/>
  <c r="H313" i="2"/>
  <c r="D313" i="2"/>
  <c r="C313" i="2"/>
  <c r="I312" i="2"/>
  <c r="H312" i="2"/>
  <c r="D312" i="2"/>
  <c r="C312" i="2"/>
  <c r="I311" i="2"/>
  <c r="H311" i="2"/>
  <c r="D311" i="2"/>
  <c r="C311" i="2"/>
  <c r="I310" i="2"/>
  <c r="H310" i="2"/>
  <c r="D310" i="2"/>
  <c r="C310" i="2"/>
  <c r="I309" i="2"/>
  <c r="H309" i="2"/>
  <c r="D309" i="2"/>
  <c r="C309" i="2"/>
  <c r="I308" i="2"/>
  <c r="H308" i="2"/>
  <c r="D308" i="2"/>
  <c r="C308" i="2"/>
  <c r="I307" i="2"/>
  <c r="H307" i="2"/>
  <c r="D307" i="2"/>
  <c r="C307" i="2"/>
  <c r="I306" i="2"/>
  <c r="H306" i="2"/>
  <c r="D306" i="2"/>
  <c r="C306" i="2"/>
  <c r="I305" i="2"/>
  <c r="H305" i="2"/>
  <c r="D305" i="2"/>
  <c r="C305" i="2"/>
  <c r="I304" i="2"/>
  <c r="H304" i="2"/>
  <c r="D304" i="2"/>
  <c r="C304" i="2"/>
  <c r="I303" i="2"/>
  <c r="H303" i="2"/>
  <c r="D303" i="2"/>
  <c r="C303" i="2"/>
  <c r="I302" i="2"/>
  <c r="H302" i="2"/>
  <c r="D302" i="2"/>
  <c r="C302" i="2"/>
  <c r="I301" i="2"/>
  <c r="H301" i="2"/>
  <c r="D301" i="2"/>
  <c r="C301" i="2"/>
  <c r="I300" i="2"/>
  <c r="H300" i="2"/>
  <c r="D300" i="2"/>
  <c r="C300" i="2"/>
  <c r="I299" i="2"/>
  <c r="H299" i="2"/>
  <c r="D299" i="2"/>
  <c r="C299" i="2"/>
  <c r="I298" i="2"/>
  <c r="H298" i="2"/>
  <c r="D298" i="2"/>
  <c r="C298" i="2"/>
  <c r="I297" i="2"/>
  <c r="H297" i="2"/>
  <c r="D297" i="2"/>
  <c r="C297" i="2"/>
  <c r="I296" i="2"/>
  <c r="H296" i="2"/>
  <c r="D296" i="2"/>
  <c r="C296" i="2"/>
  <c r="I295" i="2"/>
  <c r="H295" i="2"/>
  <c r="D295" i="2"/>
  <c r="C295" i="2"/>
  <c r="I294" i="2"/>
  <c r="H294" i="2"/>
  <c r="D294" i="2"/>
  <c r="C294" i="2"/>
  <c r="I293" i="2"/>
  <c r="H293" i="2"/>
  <c r="D293" i="2"/>
  <c r="C293" i="2"/>
  <c r="I292" i="2"/>
  <c r="H292" i="2"/>
  <c r="D292" i="2"/>
  <c r="C292" i="2"/>
  <c r="I291" i="2"/>
  <c r="H291" i="2"/>
  <c r="D291" i="2"/>
  <c r="C291" i="2"/>
  <c r="I290" i="2"/>
  <c r="H290" i="2"/>
  <c r="D290" i="2"/>
  <c r="C290" i="2"/>
  <c r="I289" i="2"/>
  <c r="H289" i="2"/>
  <c r="D289" i="2"/>
  <c r="C289" i="2"/>
  <c r="I288" i="2"/>
  <c r="H288" i="2"/>
  <c r="D288" i="2"/>
  <c r="C288" i="2"/>
  <c r="I287" i="2"/>
  <c r="H287" i="2"/>
  <c r="D287" i="2"/>
  <c r="C287" i="2"/>
  <c r="I286" i="2"/>
  <c r="H286" i="2"/>
  <c r="D286" i="2"/>
  <c r="C286" i="2"/>
  <c r="I285" i="2"/>
  <c r="H285" i="2"/>
  <c r="D285" i="2"/>
  <c r="C285" i="2"/>
  <c r="I284" i="2"/>
  <c r="H284" i="2"/>
  <c r="D284" i="2"/>
  <c r="C284" i="2"/>
  <c r="I283" i="2"/>
  <c r="H283" i="2"/>
  <c r="D283" i="2"/>
  <c r="C283" i="2"/>
  <c r="I282" i="2"/>
  <c r="H282" i="2"/>
  <c r="D282" i="2"/>
  <c r="C282" i="2"/>
  <c r="I281" i="2"/>
  <c r="H281" i="2"/>
  <c r="D281" i="2"/>
  <c r="C281" i="2"/>
  <c r="I280" i="2"/>
  <c r="H280" i="2"/>
  <c r="D280" i="2"/>
  <c r="C280" i="2"/>
  <c r="I279" i="2"/>
  <c r="H279" i="2"/>
  <c r="D279" i="2"/>
  <c r="C279" i="2"/>
  <c r="I278" i="2"/>
  <c r="H278" i="2"/>
  <c r="D278" i="2"/>
  <c r="C278" i="2"/>
  <c r="I277" i="2"/>
  <c r="H277" i="2"/>
  <c r="D277" i="2"/>
  <c r="C277" i="2"/>
  <c r="I276" i="2"/>
  <c r="H276" i="2"/>
  <c r="D276" i="2"/>
  <c r="C276" i="2"/>
  <c r="I275" i="2"/>
  <c r="H275" i="2"/>
  <c r="D275" i="2"/>
  <c r="C275" i="2"/>
  <c r="I274" i="2"/>
  <c r="H274" i="2"/>
  <c r="D274" i="2"/>
  <c r="C274" i="2"/>
  <c r="I273" i="2"/>
  <c r="H273" i="2"/>
  <c r="D273" i="2"/>
  <c r="C273" i="2"/>
  <c r="I272" i="2"/>
  <c r="H272" i="2"/>
  <c r="D272" i="2"/>
  <c r="C272" i="2"/>
  <c r="I271" i="2"/>
  <c r="H271" i="2"/>
  <c r="D271" i="2"/>
  <c r="C271" i="2"/>
  <c r="I270" i="2"/>
  <c r="H270" i="2"/>
  <c r="D270" i="2"/>
  <c r="C270" i="2"/>
  <c r="I269" i="2"/>
  <c r="H269" i="2"/>
  <c r="D269" i="2"/>
  <c r="C269" i="2"/>
  <c r="I268" i="2"/>
  <c r="H268" i="2"/>
  <c r="D268" i="2"/>
  <c r="C268" i="2"/>
  <c r="I267" i="2"/>
  <c r="H267" i="2"/>
  <c r="D267" i="2"/>
  <c r="C267" i="2"/>
  <c r="I266" i="2"/>
  <c r="H266" i="2"/>
  <c r="D266" i="2"/>
  <c r="C266" i="2"/>
  <c r="I265" i="2"/>
  <c r="H265" i="2"/>
  <c r="D265" i="2"/>
  <c r="C265" i="2"/>
  <c r="I264" i="2"/>
  <c r="H264" i="2"/>
  <c r="D264" i="2"/>
  <c r="C264" i="2"/>
  <c r="I263" i="2"/>
  <c r="H263" i="2"/>
  <c r="D263" i="2"/>
  <c r="C263" i="2"/>
  <c r="I262" i="2"/>
  <c r="H262" i="2"/>
  <c r="D262" i="2"/>
  <c r="C262" i="2"/>
  <c r="I261" i="2"/>
  <c r="H261" i="2"/>
  <c r="D261" i="2"/>
  <c r="C261" i="2"/>
  <c r="I260" i="2"/>
  <c r="H260" i="2"/>
  <c r="D260" i="2"/>
  <c r="C260" i="2"/>
  <c r="I259" i="2"/>
  <c r="H259" i="2"/>
  <c r="D259" i="2"/>
  <c r="C259" i="2"/>
  <c r="I258" i="2"/>
  <c r="H258" i="2"/>
  <c r="D258" i="2"/>
  <c r="C258" i="2"/>
  <c r="I257" i="2"/>
  <c r="H257" i="2"/>
  <c r="D257" i="2"/>
  <c r="C257" i="2"/>
  <c r="I256" i="2"/>
  <c r="H256" i="2"/>
  <c r="D256" i="2"/>
  <c r="C256" i="2"/>
  <c r="I255" i="2"/>
  <c r="H255" i="2"/>
  <c r="D255" i="2"/>
  <c r="C255" i="2"/>
  <c r="I254" i="2"/>
  <c r="H254" i="2"/>
  <c r="D254" i="2"/>
  <c r="C254" i="2"/>
  <c r="I253" i="2"/>
  <c r="H253" i="2"/>
  <c r="D253" i="2"/>
  <c r="C253" i="2"/>
  <c r="I252" i="2"/>
  <c r="H252" i="2"/>
  <c r="D252" i="2"/>
  <c r="C252" i="2"/>
  <c r="I251" i="2"/>
  <c r="H251" i="2"/>
  <c r="D251" i="2"/>
  <c r="C251" i="2"/>
  <c r="I250" i="2"/>
  <c r="H250" i="2"/>
  <c r="D250" i="2"/>
  <c r="C250" i="2"/>
  <c r="I249" i="2"/>
  <c r="H249" i="2"/>
  <c r="D249" i="2"/>
  <c r="C249" i="2"/>
  <c r="I248" i="2"/>
  <c r="H248" i="2"/>
  <c r="D248" i="2"/>
  <c r="C248" i="2"/>
  <c r="I247" i="2"/>
  <c r="H247" i="2"/>
  <c r="D247" i="2"/>
  <c r="C247" i="2"/>
  <c r="I246" i="2"/>
  <c r="H246" i="2"/>
  <c r="D246" i="2"/>
  <c r="C246" i="2"/>
  <c r="I245" i="2"/>
  <c r="H245" i="2"/>
  <c r="D245" i="2"/>
  <c r="C245" i="2"/>
  <c r="I244" i="2"/>
  <c r="H244" i="2"/>
  <c r="D244" i="2"/>
  <c r="C244" i="2"/>
  <c r="I243" i="2"/>
  <c r="H243" i="2"/>
  <c r="D243" i="2"/>
  <c r="C243" i="2"/>
  <c r="I242" i="2"/>
  <c r="H242" i="2"/>
  <c r="D242" i="2"/>
  <c r="C242" i="2"/>
  <c r="I241" i="2"/>
  <c r="H241" i="2"/>
  <c r="D241" i="2"/>
  <c r="C241" i="2"/>
  <c r="I240" i="2"/>
  <c r="H240" i="2"/>
  <c r="D240" i="2"/>
  <c r="C240" i="2"/>
  <c r="I239" i="2"/>
  <c r="H239" i="2"/>
  <c r="D239" i="2"/>
  <c r="C239" i="2"/>
  <c r="I238" i="2"/>
  <c r="H238" i="2"/>
  <c r="D238" i="2"/>
  <c r="C238" i="2"/>
  <c r="I237" i="2"/>
  <c r="H237" i="2"/>
  <c r="D237" i="2"/>
  <c r="C237" i="2"/>
  <c r="I236" i="2"/>
  <c r="H236" i="2"/>
  <c r="D236" i="2"/>
  <c r="C236" i="2"/>
  <c r="I235" i="2"/>
  <c r="H235" i="2"/>
  <c r="D235" i="2"/>
  <c r="C235" i="2"/>
  <c r="I234" i="2"/>
  <c r="H234" i="2"/>
  <c r="D234" i="2"/>
  <c r="C234" i="2"/>
  <c r="I233" i="2"/>
  <c r="H233" i="2"/>
  <c r="D233" i="2"/>
  <c r="C233" i="2"/>
  <c r="I232" i="2"/>
  <c r="H232" i="2"/>
  <c r="D232" i="2"/>
  <c r="C232" i="2"/>
  <c r="I231" i="2"/>
  <c r="H231" i="2"/>
  <c r="D231" i="2"/>
  <c r="C231" i="2"/>
  <c r="I230" i="2"/>
  <c r="H230" i="2"/>
  <c r="D230" i="2"/>
  <c r="C230" i="2"/>
  <c r="I229" i="2"/>
  <c r="H229" i="2"/>
  <c r="D229" i="2"/>
  <c r="C229" i="2"/>
  <c r="I228" i="2"/>
  <c r="H228" i="2"/>
  <c r="D228" i="2"/>
  <c r="C228" i="2"/>
  <c r="I227" i="2"/>
  <c r="H227" i="2"/>
  <c r="D227" i="2"/>
  <c r="C227" i="2"/>
  <c r="I226" i="2"/>
  <c r="H226" i="2"/>
  <c r="D226" i="2"/>
  <c r="C226" i="2"/>
  <c r="I225" i="2"/>
  <c r="H225" i="2"/>
  <c r="D225" i="2"/>
  <c r="C225" i="2"/>
  <c r="I224" i="2"/>
  <c r="H224" i="2"/>
  <c r="D224" i="2"/>
  <c r="C224" i="2"/>
  <c r="I223" i="2"/>
  <c r="H223" i="2"/>
  <c r="D223" i="2"/>
  <c r="C223" i="2"/>
  <c r="I222" i="2"/>
  <c r="H222" i="2"/>
  <c r="D222" i="2"/>
  <c r="C222" i="2"/>
  <c r="I221" i="2"/>
  <c r="H221" i="2"/>
  <c r="D221" i="2"/>
  <c r="C221" i="2"/>
  <c r="I220" i="2"/>
  <c r="H220" i="2"/>
  <c r="D220" i="2"/>
  <c r="C220" i="2"/>
  <c r="I219" i="2"/>
  <c r="H219" i="2"/>
  <c r="D219" i="2"/>
  <c r="C219" i="2"/>
  <c r="I218" i="2"/>
  <c r="H218" i="2"/>
  <c r="D218" i="2"/>
  <c r="C218" i="2"/>
  <c r="I217" i="2"/>
  <c r="H217" i="2"/>
  <c r="D217" i="2"/>
  <c r="C217" i="2"/>
  <c r="I216" i="2"/>
  <c r="H216" i="2"/>
  <c r="D216" i="2"/>
  <c r="C216" i="2"/>
  <c r="I215" i="2"/>
  <c r="H215" i="2"/>
  <c r="D215" i="2"/>
  <c r="C215" i="2"/>
  <c r="I214" i="2"/>
  <c r="H214" i="2"/>
  <c r="D214" i="2"/>
  <c r="C214" i="2"/>
  <c r="I213" i="2"/>
  <c r="H213" i="2"/>
  <c r="D213" i="2"/>
  <c r="C213" i="2"/>
  <c r="I212" i="2"/>
  <c r="H212" i="2"/>
  <c r="D212" i="2"/>
  <c r="C212" i="2"/>
  <c r="I211" i="2"/>
  <c r="H211" i="2"/>
  <c r="D211" i="2"/>
  <c r="C211" i="2"/>
  <c r="I210" i="2"/>
  <c r="H210" i="2"/>
  <c r="D210" i="2"/>
  <c r="C210" i="2"/>
  <c r="I209" i="2"/>
  <c r="H209" i="2"/>
  <c r="D209" i="2"/>
  <c r="C209" i="2"/>
  <c r="I208" i="2"/>
  <c r="H208" i="2"/>
  <c r="D208" i="2"/>
  <c r="C208" i="2"/>
  <c r="I207" i="2"/>
  <c r="H207" i="2"/>
  <c r="D207" i="2"/>
  <c r="C207" i="2"/>
  <c r="I206" i="2"/>
  <c r="H206" i="2"/>
  <c r="D206" i="2"/>
  <c r="C206" i="2"/>
  <c r="I205" i="2"/>
  <c r="H205" i="2"/>
  <c r="D205" i="2"/>
  <c r="C205" i="2"/>
  <c r="I204" i="2"/>
  <c r="H204" i="2"/>
  <c r="D204" i="2"/>
  <c r="C204" i="2"/>
  <c r="I203" i="2"/>
  <c r="H203" i="2"/>
  <c r="D203" i="2"/>
  <c r="C203" i="2"/>
  <c r="I202" i="2"/>
  <c r="H202" i="2"/>
  <c r="D202" i="2"/>
  <c r="C202" i="2"/>
  <c r="I201" i="2"/>
  <c r="H201" i="2"/>
  <c r="D201" i="2"/>
  <c r="C201" i="2"/>
  <c r="I200" i="2"/>
  <c r="H200" i="2"/>
  <c r="D200" i="2"/>
  <c r="C200" i="2"/>
  <c r="I199" i="2"/>
  <c r="H199" i="2"/>
  <c r="D199" i="2"/>
  <c r="C199" i="2"/>
  <c r="I198" i="2"/>
  <c r="H198" i="2"/>
  <c r="D198" i="2"/>
  <c r="C198" i="2"/>
  <c r="I197" i="2"/>
  <c r="H197" i="2"/>
  <c r="D197" i="2"/>
  <c r="C197" i="2"/>
  <c r="I196" i="2"/>
  <c r="H196" i="2"/>
  <c r="D196" i="2"/>
  <c r="C196" i="2"/>
  <c r="I195" i="2"/>
  <c r="H195" i="2"/>
  <c r="D195" i="2"/>
  <c r="C195" i="2"/>
  <c r="I194" i="2"/>
  <c r="H194" i="2"/>
  <c r="D194" i="2"/>
  <c r="C194" i="2"/>
  <c r="I193" i="2"/>
  <c r="H193" i="2"/>
  <c r="D193" i="2"/>
  <c r="C193" i="2"/>
  <c r="I192" i="2"/>
  <c r="H192" i="2"/>
  <c r="D192" i="2"/>
  <c r="C192" i="2"/>
  <c r="I191" i="2"/>
  <c r="H191" i="2"/>
  <c r="D191" i="2"/>
  <c r="C191" i="2"/>
  <c r="I190" i="2"/>
  <c r="H190" i="2"/>
  <c r="D190" i="2"/>
  <c r="C190" i="2"/>
  <c r="I189" i="2"/>
  <c r="H189" i="2"/>
  <c r="D189" i="2"/>
  <c r="C189" i="2"/>
  <c r="I188" i="2"/>
  <c r="H188" i="2"/>
  <c r="D188" i="2"/>
  <c r="C188" i="2"/>
  <c r="I187" i="2"/>
  <c r="H187" i="2"/>
  <c r="D187" i="2"/>
  <c r="C187" i="2"/>
  <c r="I186" i="2"/>
  <c r="H186" i="2"/>
  <c r="D186" i="2"/>
  <c r="C186" i="2"/>
  <c r="I185" i="2"/>
  <c r="H185" i="2"/>
  <c r="D185" i="2"/>
  <c r="C185" i="2"/>
  <c r="I184" i="2"/>
  <c r="H184" i="2"/>
  <c r="D184" i="2"/>
  <c r="C184" i="2"/>
  <c r="I183" i="2"/>
  <c r="H183" i="2"/>
  <c r="D183" i="2"/>
  <c r="C183" i="2"/>
  <c r="I182" i="2"/>
  <c r="H182" i="2"/>
  <c r="D182" i="2"/>
  <c r="C182" i="2"/>
  <c r="I181" i="2"/>
  <c r="H181" i="2"/>
  <c r="D181" i="2"/>
  <c r="C181" i="2"/>
  <c r="I180" i="2"/>
  <c r="H180" i="2"/>
  <c r="D180" i="2"/>
  <c r="C180" i="2"/>
  <c r="I179" i="2"/>
  <c r="H179" i="2"/>
  <c r="D179" i="2"/>
  <c r="C179" i="2"/>
  <c r="I178" i="2"/>
  <c r="H178" i="2"/>
  <c r="D178" i="2"/>
  <c r="C178" i="2"/>
  <c r="I177" i="2"/>
  <c r="H177" i="2"/>
  <c r="D177" i="2"/>
  <c r="C177" i="2"/>
  <c r="I176" i="2"/>
  <c r="H176" i="2"/>
  <c r="D176" i="2"/>
  <c r="C176" i="2"/>
  <c r="I175" i="2"/>
  <c r="H175" i="2"/>
  <c r="D175" i="2"/>
  <c r="C175" i="2"/>
  <c r="I174" i="2"/>
  <c r="H174" i="2"/>
  <c r="D174" i="2"/>
  <c r="C174" i="2"/>
  <c r="I173" i="2"/>
  <c r="H173" i="2"/>
  <c r="D173" i="2"/>
  <c r="C173" i="2"/>
  <c r="I172" i="2"/>
  <c r="H172" i="2"/>
  <c r="D172" i="2"/>
  <c r="C172" i="2"/>
  <c r="I171" i="2"/>
  <c r="H171" i="2"/>
  <c r="D171" i="2"/>
  <c r="C171" i="2"/>
  <c r="I170" i="2"/>
  <c r="H170" i="2"/>
  <c r="D170" i="2"/>
  <c r="C170" i="2"/>
  <c r="I169" i="2"/>
  <c r="H169" i="2"/>
  <c r="D169" i="2"/>
  <c r="C169" i="2"/>
  <c r="I168" i="2"/>
  <c r="H168" i="2"/>
  <c r="D168" i="2"/>
  <c r="C168" i="2"/>
  <c r="I167" i="2"/>
  <c r="H167" i="2"/>
  <c r="D167" i="2"/>
  <c r="C167" i="2"/>
  <c r="I166" i="2"/>
  <c r="H166" i="2"/>
  <c r="D166" i="2"/>
  <c r="C166" i="2"/>
  <c r="I165" i="2"/>
  <c r="H165" i="2"/>
  <c r="D165" i="2"/>
  <c r="C165" i="2"/>
  <c r="I164" i="2"/>
  <c r="H164" i="2"/>
  <c r="D164" i="2"/>
  <c r="C164" i="2"/>
  <c r="I163" i="2"/>
  <c r="H163" i="2"/>
  <c r="D163" i="2"/>
  <c r="C163" i="2"/>
  <c r="I162" i="2"/>
  <c r="H162" i="2"/>
  <c r="D162" i="2"/>
  <c r="C162" i="2"/>
  <c r="I161" i="2"/>
  <c r="H161" i="2"/>
  <c r="D161" i="2"/>
  <c r="C161" i="2"/>
  <c r="I160" i="2"/>
  <c r="H160" i="2"/>
  <c r="D160" i="2"/>
  <c r="C160" i="2"/>
  <c r="I159" i="2"/>
  <c r="H159" i="2"/>
  <c r="D159" i="2"/>
  <c r="C159" i="2"/>
  <c r="I158" i="2"/>
  <c r="H158" i="2"/>
  <c r="D158" i="2"/>
  <c r="C158" i="2"/>
  <c r="I157" i="2"/>
  <c r="H157" i="2"/>
  <c r="D157" i="2"/>
  <c r="C157" i="2"/>
  <c r="I156" i="2"/>
  <c r="H156" i="2"/>
  <c r="D156" i="2"/>
  <c r="C156" i="2"/>
  <c r="I155" i="2"/>
  <c r="H155" i="2"/>
  <c r="D155" i="2"/>
  <c r="C155" i="2"/>
  <c r="I154" i="2"/>
  <c r="H154" i="2"/>
  <c r="D154" i="2"/>
  <c r="C154" i="2"/>
  <c r="I153" i="2"/>
  <c r="H153" i="2"/>
  <c r="D153" i="2"/>
  <c r="C153" i="2"/>
  <c r="I152" i="2"/>
  <c r="H152" i="2"/>
  <c r="D152" i="2"/>
  <c r="C152" i="2"/>
  <c r="I151" i="2"/>
  <c r="H151" i="2"/>
  <c r="D151" i="2"/>
  <c r="C151" i="2"/>
  <c r="I150" i="2"/>
  <c r="H150" i="2"/>
  <c r="D150" i="2"/>
  <c r="C150" i="2"/>
  <c r="I149" i="2"/>
  <c r="H149" i="2"/>
  <c r="D149" i="2"/>
  <c r="C149" i="2"/>
  <c r="I148" i="2"/>
  <c r="H148" i="2"/>
  <c r="D148" i="2"/>
  <c r="C148" i="2"/>
  <c r="I147" i="2"/>
  <c r="H147" i="2"/>
  <c r="D147" i="2"/>
  <c r="C147" i="2"/>
  <c r="I146" i="2"/>
  <c r="H146" i="2"/>
  <c r="D146" i="2"/>
  <c r="C146" i="2"/>
  <c r="I145" i="2"/>
  <c r="H145" i="2"/>
  <c r="D145" i="2"/>
  <c r="C145" i="2"/>
  <c r="I144" i="2"/>
  <c r="H144" i="2"/>
  <c r="D144" i="2"/>
  <c r="C144" i="2"/>
  <c r="I143" i="2"/>
  <c r="H143" i="2"/>
  <c r="D143" i="2"/>
  <c r="C143" i="2"/>
  <c r="I142" i="2"/>
  <c r="H142" i="2"/>
  <c r="D142" i="2"/>
  <c r="C142" i="2"/>
  <c r="I141" i="2"/>
  <c r="H141" i="2"/>
  <c r="D141" i="2"/>
  <c r="C141" i="2"/>
  <c r="I140" i="2"/>
  <c r="H140" i="2"/>
  <c r="D140" i="2"/>
  <c r="C140" i="2"/>
  <c r="I139" i="2"/>
  <c r="H139" i="2"/>
  <c r="D139" i="2"/>
  <c r="C139" i="2"/>
  <c r="I138" i="2"/>
  <c r="H138" i="2"/>
  <c r="D138" i="2"/>
  <c r="C138" i="2"/>
  <c r="I137" i="2"/>
  <c r="H137" i="2"/>
  <c r="D137" i="2"/>
  <c r="C137" i="2"/>
  <c r="I136" i="2"/>
  <c r="H136" i="2"/>
  <c r="D136" i="2"/>
  <c r="C136" i="2"/>
  <c r="I135" i="2"/>
  <c r="H135" i="2"/>
  <c r="D135" i="2"/>
  <c r="C135" i="2"/>
  <c r="I134" i="2"/>
  <c r="H134" i="2"/>
  <c r="D134" i="2"/>
  <c r="C134" i="2"/>
  <c r="I133" i="2"/>
  <c r="H133" i="2"/>
  <c r="D133" i="2"/>
  <c r="C133" i="2"/>
  <c r="I132" i="2"/>
  <c r="H132" i="2"/>
  <c r="D132" i="2"/>
  <c r="C132" i="2"/>
  <c r="I131" i="2"/>
  <c r="H131" i="2"/>
  <c r="D131" i="2"/>
  <c r="C131" i="2"/>
  <c r="I130" i="2"/>
  <c r="H130" i="2"/>
  <c r="D130" i="2"/>
  <c r="C130" i="2"/>
  <c r="I129" i="2"/>
  <c r="H129" i="2"/>
  <c r="D129" i="2"/>
  <c r="C129" i="2"/>
  <c r="I128" i="2"/>
  <c r="H128" i="2"/>
  <c r="D128" i="2"/>
  <c r="C128" i="2"/>
  <c r="I127" i="2"/>
  <c r="H127" i="2"/>
  <c r="D127" i="2"/>
  <c r="C127" i="2"/>
  <c r="I126" i="2"/>
  <c r="H126" i="2"/>
  <c r="D126" i="2"/>
  <c r="C126" i="2"/>
  <c r="I125" i="2"/>
  <c r="H125" i="2"/>
  <c r="D125" i="2"/>
  <c r="C125" i="2"/>
  <c r="I124" i="2"/>
  <c r="H124" i="2"/>
  <c r="D124" i="2"/>
  <c r="C124" i="2"/>
  <c r="I123" i="2"/>
  <c r="H123" i="2"/>
  <c r="D123" i="2"/>
  <c r="C123" i="2"/>
  <c r="I122" i="2"/>
  <c r="H122" i="2"/>
  <c r="D122" i="2"/>
  <c r="C122" i="2"/>
  <c r="I121" i="2"/>
  <c r="H121" i="2"/>
  <c r="D121" i="2"/>
  <c r="C121" i="2"/>
  <c r="I120" i="2"/>
  <c r="H120" i="2"/>
  <c r="D120" i="2"/>
  <c r="C120" i="2"/>
  <c r="I119" i="2"/>
  <c r="H119" i="2"/>
  <c r="D119" i="2"/>
  <c r="C119" i="2"/>
  <c r="I118" i="2"/>
  <c r="H118" i="2"/>
  <c r="D118" i="2"/>
  <c r="C118" i="2"/>
  <c r="I117" i="2"/>
  <c r="H117" i="2"/>
  <c r="D117" i="2"/>
  <c r="C117" i="2"/>
  <c r="I116" i="2"/>
  <c r="H116" i="2"/>
  <c r="D116" i="2"/>
  <c r="C116" i="2"/>
  <c r="I115" i="2"/>
  <c r="H115" i="2"/>
  <c r="D115" i="2"/>
  <c r="C115" i="2"/>
  <c r="I114" i="2"/>
  <c r="H114" i="2"/>
  <c r="D114" i="2"/>
  <c r="C114" i="2"/>
  <c r="I113" i="2"/>
  <c r="H113" i="2"/>
  <c r="D113" i="2"/>
  <c r="C113" i="2"/>
  <c r="I112" i="2"/>
  <c r="H112" i="2"/>
  <c r="D112" i="2"/>
  <c r="C112" i="2"/>
  <c r="I111" i="2"/>
  <c r="H111" i="2"/>
  <c r="D111" i="2"/>
  <c r="C111" i="2"/>
  <c r="I110" i="2"/>
  <c r="H110" i="2"/>
  <c r="D110" i="2"/>
  <c r="C110" i="2"/>
  <c r="I109" i="2"/>
  <c r="H109" i="2"/>
  <c r="D109" i="2"/>
  <c r="C109" i="2"/>
  <c r="I108" i="2"/>
  <c r="H108" i="2"/>
  <c r="D108" i="2"/>
  <c r="C108" i="2"/>
  <c r="I107" i="2"/>
  <c r="H107" i="2"/>
  <c r="D107" i="2"/>
  <c r="C107" i="2"/>
  <c r="I106" i="2"/>
  <c r="H106" i="2"/>
  <c r="D106" i="2"/>
  <c r="C106" i="2"/>
  <c r="I105" i="2"/>
  <c r="H105" i="2"/>
  <c r="D105" i="2"/>
  <c r="C105" i="2"/>
  <c r="I104" i="2"/>
  <c r="H104" i="2"/>
  <c r="D104" i="2"/>
  <c r="C104" i="2"/>
  <c r="I103" i="2"/>
  <c r="H103" i="2"/>
  <c r="D103" i="2"/>
  <c r="C103" i="2"/>
  <c r="I102" i="2"/>
  <c r="H102" i="2"/>
  <c r="D102" i="2"/>
  <c r="C102" i="2"/>
  <c r="I101" i="2"/>
  <c r="H101" i="2"/>
  <c r="D101" i="2"/>
  <c r="C101" i="2"/>
  <c r="I100" i="2"/>
  <c r="H100" i="2"/>
  <c r="D100" i="2"/>
  <c r="C100" i="2"/>
  <c r="I99" i="2"/>
  <c r="H99" i="2"/>
  <c r="D99" i="2"/>
  <c r="C99" i="2"/>
  <c r="I98" i="2"/>
  <c r="H98" i="2"/>
  <c r="D98" i="2"/>
  <c r="C98" i="2"/>
  <c r="I97" i="2"/>
  <c r="H97" i="2"/>
  <c r="D97" i="2"/>
  <c r="C97" i="2"/>
  <c r="I96" i="2"/>
  <c r="H96" i="2"/>
  <c r="D96" i="2"/>
  <c r="C96" i="2"/>
  <c r="I95" i="2"/>
  <c r="H95" i="2"/>
  <c r="D95" i="2"/>
  <c r="C95" i="2"/>
  <c r="I94" i="2"/>
  <c r="H94" i="2"/>
  <c r="D94" i="2"/>
  <c r="C94" i="2"/>
  <c r="I93" i="2"/>
  <c r="H93" i="2"/>
  <c r="D93" i="2"/>
  <c r="C93" i="2"/>
  <c r="I92" i="2"/>
  <c r="H92" i="2"/>
  <c r="D92" i="2"/>
  <c r="C92" i="2"/>
  <c r="I91" i="2"/>
  <c r="H91" i="2"/>
  <c r="D91" i="2"/>
  <c r="C91" i="2"/>
  <c r="I90" i="2"/>
  <c r="H90" i="2"/>
  <c r="D90" i="2"/>
  <c r="C90" i="2"/>
  <c r="I89" i="2"/>
  <c r="H89" i="2"/>
  <c r="D89" i="2"/>
  <c r="C89" i="2"/>
  <c r="I88" i="2"/>
  <c r="H88" i="2"/>
  <c r="D88" i="2"/>
  <c r="C88" i="2"/>
  <c r="I87" i="2"/>
  <c r="H87" i="2"/>
  <c r="D87" i="2"/>
  <c r="C87" i="2"/>
  <c r="I86" i="2"/>
  <c r="H86" i="2"/>
  <c r="D86" i="2"/>
  <c r="C86" i="2"/>
  <c r="I85" i="2"/>
  <c r="H85" i="2"/>
  <c r="D85" i="2"/>
  <c r="C85" i="2"/>
  <c r="I84" i="2"/>
  <c r="H84" i="2"/>
  <c r="D84" i="2"/>
  <c r="C84" i="2"/>
  <c r="I83" i="2"/>
  <c r="H83" i="2"/>
  <c r="D83" i="2"/>
  <c r="C83" i="2"/>
  <c r="I82" i="2"/>
  <c r="H82" i="2"/>
  <c r="D82" i="2"/>
  <c r="C82" i="2"/>
  <c r="I81" i="2"/>
  <c r="H81" i="2"/>
  <c r="D81" i="2"/>
  <c r="C81" i="2"/>
  <c r="I80" i="2"/>
  <c r="H80" i="2"/>
  <c r="D80" i="2"/>
  <c r="C80" i="2"/>
  <c r="I79" i="2"/>
  <c r="H79" i="2"/>
  <c r="D79" i="2"/>
  <c r="C79" i="2"/>
  <c r="I78" i="2"/>
  <c r="H78" i="2"/>
  <c r="D78" i="2"/>
  <c r="C78" i="2"/>
  <c r="I77" i="2"/>
  <c r="H77" i="2"/>
  <c r="D77" i="2"/>
  <c r="C77" i="2"/>
  <c r="I76" i="2"/>
  <c r="H76" i="2"/>
  <c r="D76" i="2"/>
  <c r="C76" i="2"/>
  <c r="I75" i="2"/>
  <c r="H75" i="2"/>
  <c r="D75" i="2"/>
  <c r="C75" i="2"/>
  <c r="I74" i="2"/>
  <c r="H74" i="2"/>
  <c r="D74" i="2"/>
  <c r="C74" i="2"/>
  <c r="I73" i="2"/>
  <c r="H73" i="2"/>
  <c r="D73" i="2"/>
  <c r="C73" i="2"/>
  <c r="I72" i="2"/>
  <c r="H72" i="2"/>
  <c r="D72" i="2"/>
  <c r="C72" i="2"/>
  <c r="I71" i="2"/>
  <c r="H71" i="2"/>
  <c r="D71" i="2"/>
  <c r="C71" i="2"/>
  <c r="I70" i="2"/>
  <c r="H70" i="2"/>
  <c r="D70" i="2"/>
  <c r="C70" i="2"/>
  <c r="I69" i="2"/>
  <c r="H69" i="2"/>
  <c r="D69" i="2"/>
  <c r="C69" i="2"/>
  <c r="I68" i="2"/>
  <c r="H68" i="2"/>
  <c r="D68" i="2"/>
  <c r="C68" i="2"/>
  <c r="I67" i="2"/>
  <c r="H67" i="2"/>
  <c r="D67" i="2"/>
  <c r="C67" i="2"/>
  <c r="I66" i="2"/>
  <c r="H66" i="2"/>
  <c r="D66" i="2"/>
  <c r="C66" i="2"/>
  <c r="I65" i="2"/>
  <c r="H65" i="2"/>
  <c r="D65" i="2"/>
  <c r="C65" i="2"/>
  <c r="I64" i="2"/>
  <c r="H64" i="2"/>
  <c r="D64" i="2"/>
  <c r="C64" i="2"/>
  <c r="I63" i="2"/>
  <c r="H63" i="2"/>
  <c r="D63" i="2"/>
  <c r="C63" i="2"/>
  <c r="I62" i="2"/>
  <c r="H62" i="2"/>
  <c r="D62" i="2"/>
  <c r="C62" i="2"/>
  <c r="I61" i="2"/>
  <c r="H61" i="2"/>
  <c r="D61" i="2"/>
  <c r="C61" i="2"/>
  <c r="I60" i="2"/>
  <c r="H60" i="2"/>
  <c r="D60" i="2"/>
  <c r="C60" i="2"/>
  <c r="I59" i="2"/>
  <c r="H59" i="2"/>
  <c r="D59" i="2"/>
  <c r="C59" i="2"/>
  <c r="I58" i="2"/>
  <c r="H58" i="2"/>
  <c r="D58" i="2"/>
  <c r="C58" i="2"/>
  <c r="I57" i="2"/>
  <c r="H57" i="2"/>
  <c r="D57" i="2"/>
  <c r="C57" i="2"/>
  <c r="I56" i="2"/>
  <c r="H56" i="2"/>
  <c r="D56" i="2"/>
  <c r="C56" i="2"/>
  <c r="I55" i="2"/>
  <c r="H55" i="2"/>
  <c r="D55" i="2"/>
  <c r="C55" i="2"/>
  <c r="I54" i="2"/>
  <c r="H54" i="2"/>
  <c r="D54" i="2"/>
  <c r="C54" i="2"/>
  <c r="H53" i="2"/>
  <c r="C53" i="2"/>
  <c r="H52" i="2"/>
  <c r="C52" i="2"/>
  <c r="H51" i="2"/>
  <c r="C51" i="2"/>
  <c r="H50" i="2"/>
  <c r="C50" i="2"/>
  <c r="H49" i="2"/>
  <c r="C49" i="2"/>
  <c r="H48" i="2"/>
  <c r="C48" i="2"/>
  <c r="H47" i="2"/>
  <c r="C47" i="2"/>
  <c r="H46" i="2"/>
  <c r="C46" i="2"/>
  <c r="H45" i="2"/>
  <c r="C45" i="2"/>
  <c r="H44" i="2"/>
  <c r="C44" i="2"/>
  <c r="H43" i="2"/>
  <c r="C43" i="2"/>
  <c r="H42" i="2"/>
  <c r="C42" i="2"/>
  <c r="H41" i="2"/>
  <c r="C41" i="2"/>
  <c r="H40" i="2"/>
  <c r="C40" i="2"/>
  <c r="H39" i="2"/>
  <c r="C39" i="2"/>
  <c r="H38" i="2"/>
  <c r="C38" i="2"/>
  <c r="H37" i="2"/>
  <c r="C37" i="2"/>
  <c r="H36" i="2"/>
  <c r="C36" i="2"/>
  <c r="H35" i="2"/>
  <c r="C35" i="2"/>
  <c r="H34" i="2"/>
  <c r="C34" i="2"/>
  <c r="H33" i="2"/>
  <c r="C33" i="2"/>
  <c r="H32" i="2"/>
  <c r="C32" i="2"/>
  <c r="H31" i="2"/>
  <c r="C31" i="2"/>
  <c r="H30" i="2"/>
  <c r="C30" i="2"/>
  <c r="H29" i="2"/>
  <c r="C29" i="2"/>
  <c r="H28" i="2"/>
  <c r="C28" i="2"/>
  <c r="H27" i="2"/>
  <c r="C27" i="2"/>
  <c r="H26" i="2"/>
  <c r="C26" i="2"/>
  <c r="H25" i="2"/>
  <c r="C25" i="2"/>
  <c r="H24" i="2"/>
  <c r="C24" i="2"/>
  <c r="H23" i="2"/>
  <c r="C23" i="2"/>
  <c r="H22" i="2"/>
  <c r="C22" i="2"/>
  <c r="H21" i="2"/>
  <c r="C21" i="2"/>
  <c r="H20" i="2"/>
  <c r="C20" i="2"/>
  <c r="H19" i="2"/>
  <c r="C19" i="2"/>
  <c r="H18" i="2"/>
  <c r="C18" i="2"/>
  <c r="H17" i="2"/>
  <c r="C17" i="2"/>
  <c r="H16" i="2"/>
  <c r="C16" i="2"/>
  <c r="H15" i="2"/>
  <c r="C15" i="2"/>
  <c r="H14" i="2"/>
  <c r="C14" i="2"/>
  <c r="H13" i="2"/>
  <c r="C13" i="2"/>
  <c r="H12" i="2"/>
  <c r="C12" i="2"/>
  <c r="H11" i="2"/>
  <c r="C11" i="2"/>
  <c r="H10" i="2"/>
  <c r="C10" i="2"/>
  <c r="H9" i="2"/>
  <c r="C9" i="2"/>
  <c r="H8" i="2"/>
  <c r="C8" i="2"/>
  <c r="H7" i="2"/>
  <c r="C7" i="2"/>
  <c r="H6" i="2"/>
  <c r="C6" i="2"/>
  <c r="H5" i="2"/>
  <c r="C5" i="2"/>
  <c r="H4" i="2"/>
  <c r="C4" i="2"/>
  <c r="H3" i="2"/>
  <c r="C3" i="2"/>
  <c r="I1213" i="1"/>
  <c r="H1213" i="1"/>
  <c r="D1213" i="1"/>
  <c r="C1213" i="1"/>
  <c r="I1212" i="1"/>
  <c r="H1212" i="1"/>
  <c r="D1212" i="1"/>
  <c r="C1212" i="1"/>
  <c r="I1211" i="1"/>
  <c r="H1211" i="1"/>
  <c r="D1211" i="1"/>
  <c r="C1211" i="1"/>
  <c r="I1210" i="1"/>
  <c r="H1210" i="1"/>
  <c r="D1210" i="1"/>
  <c r="C1210" i="1"/>
  <c r="I1209" i="1"/>
  <c r="H1209" i="1"/>
  <c r="D1209" i="1"/>
  <c r="C1209" i="1"/>
  <c r="I1208" i="1"/>
  <c r="H1208" i="1"/>
  <c r="D1208" i="1"/>
  <c r="C1208" i="1"/>
  <c r="I1207" i="1"/>
  <c r="H1207" i="1"/>
  <c r="D1207" i="1"/>
  <c r="C1207" i="1"/>
  <c r="I1206" i="1"/>
  <c r="H1206" i="1"/>
  <c r="D1206" i="1"/>
  <c r="C1206" i="1"/>
  <c r="I1205" i="1"/>
  <c r="H1205" i="1"/>
  <c r="D1205" i="1"/>
  <c r="C1205" i="1"/>
  <c r="I1204" i="1"/>
  <c r="H1204" i="1"/>
  <c r="D1204" i="1"/>
  <c r="C1204" i="1"/>
  <c r="I1203" i="1"/>
  <c r="H1203" i="1"/>
  <c r="D1203" i="1"/>
  <c r="C1203" i="1"/>
  <c r="I1202" i="1"/>
  <c r="H1202" i="1"/>
  <c r="D1202" i="1"/>
  <c r="C1202" i="1"/>
  <c r="I1201" i="1"/>
  <c r="H1201" i="1"/>
  <c r="D1201" i="1"/>
  <c r="C1201" i="1"/>
  <c r="I1200" i="1"/>
  <c r="H1200" i="1"/>
  <c r="D1200" i="1"/>
  <c r="C1200" i="1"/>
  <c r="I1199" i="1"/>
  <c r="H1199" i="1"/>
  <c r="D1199" i="1"/>
  <c r="C1199" i="1"/>
  <c r="I1198" i="1"/>
  <c r="H1198" i="1"/>
  <c r="D1198" i="1"/>
  <c r="C1198" i="1"/>
  <c r="I1197" i="1"/>
  <c r="H1197" i="1"/>
  <c r="D1197" i="1"/>
  <c r="C1197" i="1"/>
  <c r="I1196" i="1"/>
  <c r="H1196" i="1"/>
  <c r="D1196" i="1"/>
  <c r="C1196" i="1"/>
  <c r="I1195" i="1"/>
  <c r="H1195" i="1"/>
  <c r="D1195" i="1"/>
  <c r="C1195" i="1"/>
  <c r="I1194" i="1"/>
  <c r="H1194" i="1"/>
  <c r="D1194" i="1"/>
  <c r="C1194" i="1"/>
  <c r="I1193" i="1"/>
  <c r="H1193" i="1"/>
  <c r="D1193" i="1"/>
  <c r="C1193" i="1"/>
  <c r="I1192" i="1"/>
  <c r="H1192" i="1"/>
  <c r="D1192" i="1"/>
  <c r="C1192" i="1"/>
  <c r="I1191" i="1"/>
  <c r="H1191" i="1"/>
  <c r="D1191" i="1"/>
  <c r="C1191" i="1"/>
  <c r="I1190" i="1"/>
  <c r="H1190" i="1"/>
  <c r="D1190" i="1"/>
  <c r="C1190" i="1"/>
  <c r="I1189" i="1"/>
  <c r="H1189" i="1"/>
  <c r="D1189" i="1"/>
  <c r="C1189" i="1"/>
  <c r="I1188" i="1"/>
  <c r="H1188" i="1"/>
  <c r="D1188" i="1"/>
  <c r="C1188" i="1"/>
  <c r="I1187" i="1"/>
  <c r="H1187" i="1"/>
  <c r="D1187" i="1"/>
  <c r="C1187" i="1"/>
  <c r="I1186" i="1"/>
  <c r="H1186" i="1"/>
  <c r="D1186" i="1"/>
  <c r="C1186" i="1"/>
  <c r="I1185" i="1"/>
  <c r="H1185" i="1"/>
  <c r="D1185" i="1"/>
  <c r="C1185" i="1"/>
  <c r="I1184" i="1"/>
  <c r="H1184" i="1"/>
  <c r="D1184" i="1"/>
  <c r="C1184" i="1"/>
  <c r="I1183" i="1"/>
  <c r="H1183" i="1"/>
  <c r="D1183" i="1"/>
  <c r="C1183" i="1"/>
  <c r="I1182" i="1"/>
  <c r="H1182" i="1"/>
  <c r="D1182" i="1"/>
  <c r="C1182" i="1"/>
  <c r="I1181" i="1"/>
  <c r="H1181" i="1"/>
  <c r="D1181" i="1"/>
  <c r="C1181" i="1"/>
  <c r="I1180" i="1"/>
  <c r="H1180" i="1"/>
  <c r="D1180" i="1"/>
  <c r="C1180" i="1"/>
  <c r="I1179" i="1"/>
  <c r="H1179" i="1"/>
  <c r="D1179" i="1"/>
  <c r="C1179" i="1"/>
  <c r="I1178" i="1"/>
  <c r="H1178" i="1"/>
  <c r="D1178" i="1"/>
  <c r="C1178" i="1"/>
  <c r="I1177" i="1"/>
  <c r="H1177" i="1"/>
  <c r="D1177" i="1"/>
  <c r="C1177" i="1"/>
  <c r="I1176" i="1"/>
  <c r="H1176" i="1"/>
  <c r="D1176" i="1"/>
  <c r="C1176" i="1"/>
  <c r="I1175" i="1"/>
  <c r="H1175" i="1"/>
  <c r="D1175" i="1"/>
  <c r="C1175" i="1"/>
  <c r="I1174" i="1"/>
  <c r="H1174" i="1"/>
  <c r="D1174" i="1"/>
  <c r="C1174" i="1"/>
  <c r="I1173" i="1"/>
  <c r="H1173" i="1"/>
  <c r="D1173" i="1"/>
  <c r="C1173" i="1"/>
  <c r="I1172" i="1"/>
  <c r="H1172" i="1"/>
  <c r="D1172" i="1"/>
  <c r="C1172" i="1"/>
  <c r="I1171" i="1"/>
  <c r="H1171" i="1"/>
  <c r="D1171" i="1"/>
  <c r="C1171" i="1"/>
  <c r="I1170" i="1"/>
  <c r="H1170" i="1"/>
  <c r="D1170" i="1"/>
  <c r="C1170" i="1"/>
  <c r="I1169" i="1"/>
  <c r="H1169" i="1"/>
  <c r="D1169" i="1"/>
  <c r="C1169" i="1"/>
  <c r="I1168" i="1"/>
  <c r="H1168" i="1"/>
  <c r="D1168" i="1"/>
  <c r="C1168" i="1"/>
  <c r="I1167" i="1"/>
  <c r="H1167" i="1"/>
  <c r="D1167" i="1"/>
  <c r="C1167" i="1"/>
  <c r="I1166" i="1"/>
  <c r="H1166" i="1"/>
  <c r="D1166" i="1"/>
  <c r="C1166" i="1"/>
  <c r="I1165" i="1"/>
  <c r="H1165" i="1"/>
  <c r="D1165" i="1"/>
  <c r="C1165" i="1"/>
  <c r="I1164" i="1"/>
  <c r="H1164" i="1"/>
  <c r="D1164" i="1"/>
  <c r="C1164" i="1"/>
  <c r="I1163" i="1"/>
  <c r="H1163" i="1"/>
  <c r="D1163" i="1"/>
  <c r="C1163" i="1"/>
  <c r="I1162" i="1"/>
  <c r="H1162" i="1"/>
  <c r="D1162" i="1"/>
  <c r="C1162" i="1"/>
  <c r="I1161" i="1"/>
  <c r="H1161" i="1"/>
  <c r="D1161" i="1"/>
  <c r="C1161" i="1"/>
  <c r="I1160" i="1"/>
  <c r="H1160" i="1"/>
  <c r="D1160" i="1"/>
  <c r="C1160" i="1"/>
  <c r="I1159" i="1"/>
  <c r="H1159" i="1"/>
  <c r="D1159" i="1"/>
  <c r="C1159" i="1"/>
  <c r="I1158" i="1"/>
  <c r="H1158" i="1"/>
  <c r="D1158" i="1"/>
  <c r="C1158" i="1"/>
  <c r="I1157" i="1"/>
  <c r="H1157" i="1"/>
  <c r="D1157" i="1"/>
  <c r="C1157" i="1"/>
  <c r="I1156" i="1"/>
  <c r="H1156" i="1"/>
  <c r="D1156" i="1"/>
  <c r="C1156" i="1"/>
  <c r="I1155" i="1"/>
  <c r="H1155" i="1"/>
  <c r="D1155" i="1"/>
  <c r="C1155" i="1"/>
  <c r="I1154" i="1"/>
  <c r="H1154" i="1"/>
  <c r="D1154" i="1"/>
  <c r="C1154" i="1"/>
  <c r="I1153" i="1"/>
  <c r="H1153" i="1"/>
  <c r="D1153" i="1"/>
  <c r="C1153" i="1"/>
  <c r="I1152" i="1"/>
  <c r="H1152" i="1"/>
  <c r="D1152" i="1"/>
  <c r="C1152" i="1"/>
  <c r="I1151" i="1"/>
  <c r="H1151" i="1"/>
  <c r="D1151" i="1"/>
  <c r="C1151" i="1"/>
  <c r="I1150" i="1"/>
  <c r="H1150" i="1"/>
  <c r="D1150" i="1"/>
  <c r="C1150" i="1"/>
  <c r="I1149" i="1"/>
  <c r="H1149" i="1"/>
  <c r="D1149" i="1"/>
  <c r="C1149" i="1"/>
  <c r="I1148" i="1"/>
  <c r="H1148" i="1"/>
  <c r="D1148" i="1"/>
  <c r="C1148" i="1"/>
  <c r="I1147" i="1"/>
  <c r="H1147" i="1"/>
  <c r="D1147" i="1"/>
  <c r="C1147" i="1"/>
  <c r="I1146" i="1"/>
  <c r="H1146" i="1"/>
  <c r="D1146" i="1"/>
  <c r="C1146" i="1"/>
  <c r="I1145" i="1"/>
  <c r="H1145" i="1"/>
  <c r="D1145" i="1"/>
  <c r="C1145" i="1"/>
  <c r="I1144" i="1"/>
  <c r="H1144" i="1"/>
  <c r="D1144" i="1"/>
  <c r="C1144" i="1"/>
  <c r="I1143" i="1"/>
  <c r="H1143" i="1"/>
  <c r="D1143" i="1"/>
  <c r="C1143" i="1"/>
  <c r="I1142" i="1"/>
  <c r="H1142" i="1"/>
  <c r="D1142" i="1"/>
  <c r="C1142" i="1"/>
  <c r="I1141" i="1"/>
  <c r="H1141" i="1"/>
  <c r="D1141" i="1"/>
  <c r="C1141" i="1"/>
  <c r="I1140" i="1"/>
  <c r="H1140" i="1"/>
  <c r="D1140" i="1"/>
  <c r="C1140" i="1"/>
  <c r="I1139" i="1"/>
  <c r="H1139" i="1"/>
  <c r="D1139" i="1"/>
  <c r="C1139" i="1"/>
  <c r="I1138" i="1"/>
  <c r="H1138" i="1"/>
  <c r="D1138" i="1"/>
  <c r="C1138" i="1"/>
  <c r="I1137" i="1"/>
  <c r="H1137" i="1"/>
  <c r="D1137" i="1"/>
  <c r="C1137" i="1"/>
  <c r="I1136" i="1"/>
  <c r="H1136" i="1"/>
  <c r="D1136" i="1"/>
  <c r="C1136" i="1"/>
  <c r="I1135" i="1"/>
  <c r="H1135" i="1"/>
  <c r="D1135" i="1"/>
  <c r="C1135" i="1"/>
  <c r="I1134" i="1"/>
  <c r="H1134" i="1"/>
  <c r="D1134" i="1"/>
  <c r="C1134" i="1"/>
  <c r="I1133" i="1"/>
  <c r="H1133" i="1"/>
  <c r="D1133" i="1"/>
  <c r="C1133" i="1"/>
  <c r="I1132" i="1"/>
  <c r="H1132" i="1"/>
  <c r="D1132" i="1"/>
  <c r="C1132" i="1"/>
  <c r="I1131" i="1"/>
  <c r="H1131" i="1"/>
  <c r="D1131" i="1"/>
  <c r="C1131" i="1"/>
  <c r="I1130" i="1"/>
  <c r="H1130" i="1"/>
  <c r="D1130" i="1"/>
  <c r="C1130" i="1"/>
  <c r="I1129" i="1"/>
  <c r="H1129" i="1"/>
  <c r="D1129" i="1"/>
  <c r="C1129" i="1"/>
  <c r="I1128" i="1"/>
  <c r="H1128" i="1"/>
  <c r="D1128" i="1"/>
  <c r="C1128" i="1"/>
  <c r="I1127" i="1"/>
  <c r="H1127" i="1"/>
  <c r="D1127" i="1"/>
  <c r="C1127" i="1"/>
  <c r="I1126" i="1"/>
  <c r="H1126" i="1"/>
  <c r="D1126" i="1"/>
  <c r="C1126" i="1"/>
  <c r="I1125" i="1"/>
  <c r="H1125" i="1"/>
  <c r="D1125" i="1"/>
  <c r="C1125" i="1"/>
  <c r="I1124" i="1"/>
  <c r="H1124" i="1"/>
  <c r="D1124" i="1"/>
  <c r="C1124" i="1"/>
  <c r="I1123" i="1"/>
  <c r="H1123" i="1"/>
  <c r="D1123" i="1"/>
  <c r="C1123" i="1"/>
  <c r="I1122" i="1"/>
  <c r="H1122" i="1"/>
  <c r="D1122" i="1"/>
  <c r="C1122" i="1"/>
  <c r="I1121" i="1"/>
  <c r="H1121" i="1"/>
  <c r="D1121" i="1"/>
  <c r="C1121" i="1"/>
  <c r="I1120" i="1"/>
  <c r="H1120" i="1"/>
  <c r="D1120" i="1"/>
  <c r="C1120" i="1"/>
  <c r="I1119" i="1"/>
  <c r="H1119" i="1"/>
  <c r="D1119" i="1"/>
  <c r="C1119" i="1"/>
  <c r="I1118" i="1"/>
  <c r="H1118" i="1"/>
  <c r="D1118" i="1"/>
  <c r="C1118" i="1"/>
  <c r="I1117" i="1"/>
  <c r="H1117" i="1"/>
  <c r="D1117" i="1"/>
  <c r="C1117" i="1"/>
  <c r="I1116" i="1"/>
  <c r="H1116" i="1"/>
  <c r="D1116" i="1"/>
  <c r="C1116" i="1"/>
  <c r="I1115" i="1"/>
  <c r="H1115" i="1"/>
  <c r="D1115" i="1"/>
  <c r="C1115" i="1"/>
  <c r="I1114" i="1"/>
  <c r="H1114" i="1"/>
  <c r="D1114" i="1"/>
  <c r="C1114" i="1"/>
  <c r="I1113" i="1"/>
  <c r="H1113" i="1"/>
  <c r="D1113" i="1"/>
  <c r="C1113" i="1"/>
  <c r="I1112" i="1"/>
  <c r="H1112" i="1"/>
  <c r="D1112" i="1"/>
  <c r="C1112" i="1"/>
  <c r="I1111" i="1"/>
  <c r="H1111" i="1"/>
  <c r="D1111" i="1"/>
  <c r="C1111" i="1"/>
  <c r="I1110" i="1"/>
  <c r="H1110" i="1"/>
  <c r="D1110" i="1"/>
  <c r="C1110" i="1"/>
  <c r="I1109" i="1"/>
  <c r="H1109" i="1"/>
  <c r="D1109" i="1"/>
  <c r="C1109" i="1"/>
  <c r="I1108" i="1"/>
  <c r="H1108" i="1"/>
  <c r="D1108" i="1"/>
  <c r="C1108" i="1"/>
  <c r="I1107" i="1"/>
  <c r="H1107" i="1"/>
  <c r="D1107" i="1"/>
  <c r="C1107" i="1"/>
  <c r="I1106" i="1"/>
  <c r="H1106" i="1"/>
  <c r="D1106" i="1"/>
  <c r="C1106" i="1"/>
  <c r="I1105" i="1"/>
  <c r="H1105" i="1"/>
  <c r="D1105" i="1"/>
  <c r="C1105" i="1"/>
  <c r="I1104" i="1"/>
  <c r="H1104" i="1"/>
  <c r="D1104" i="1"/>
  <c r="C1104" i="1"/>
  <c r="I1103" i="1"/>
  <c r="H1103" i="1"/>
  <c r="D1103" i="1"/>
  <c r="C1103" i="1"/>
  <c r="I1102" i="1"/>
  <c r="H1102" i="1"/>
  <c r="D1102" i="1"/>
  <c r="C1102" i="1"/>
  <c r="I1101" i="1"/>
  <c r="H1101" i="1"/>
  <c r="D1101" i="1"/>
  <c r="C1101" i="1"/>
  <c r="I1100" i="1"/>
  <c r="H1100" i="1"/>
  <c r="D1100" i="1"/>
  <c r="C1100" i="1"/>
  <c r="I1099" i="1"/>
  <c r="H1099" i="1"/>
  <c r="D1099" i="1"/>
  <c r="C1099" i="1"/>
  <c r="I1098" i="1"/>
  <c r="H1098" i="1"/>
  <c r="D1098" i="1"/>
  <c r="C1098" i="1"/>
  <c r="I1097" i="1"/>
  <c r="H1097" i="1"/>
  <c r="D1097" i="1"/>
  <c r="C1097" i="1"/>
  <c r="I1096" i="1"/>
  <c r="H1096" i="1"/>
  <c r="D1096" i="1"/>
  <c r="C1096" i="1"/>
  <c r="I1095" i="1"/>
  <c r="H1095" i="1"/>
  <c r="D1095" i="1"/>
  <c r="C1095" i="1"/>
  <c r="I1094" i="1"/>
  <c r="H1094" i="1"/>
  <c r="D1094" i="1"/>
  <c r="C1094" i="1"/>
  <c r="I1093" i="1"/>
  <c r="H1093" i="1"/>
  <c r="D1093" i="1"/>
  <c r="C1093" i="1"/>
  <c r="I1092" i="1"/>
  <c r="H1092" i="1"/>
  <c r="D1092" i="1"/>
  <c r="C1092" i="1"/>
  <c r="I1091" i="1"/>
  <c r="H1091" i="1"/>
  <c r="D1091" i="1"/>
  <c r="C1091" i="1"/>
  <c r="I1090" i="1"/>
  <c r="H1090" i="1"/>
  <c r="D1090" i="1"/>
  <c r="C1090" i="1"/>
  <c r="I1089" i="1"/>
  <c r="H1089" i="1"/>
  <c r="D1089" i="1"/>
  <c r="C1089" i="1"/>
  <c r="I1088" i="1"/>
  <c r="H1088" i="1"/>
  <c r="D1088" i="1"/>
  <c r="C1088" i="1"/>
  <c r="I1087" i="1"/>
  <c r="H1087" i="1"/>
  <c r="D1087" i="1"/>
  <c r="C1087" i="1"/>
  <c r="I1086" i="1"/>
  <c r="H1086" i="1"/>
  <c r="D1086" i="1"/>
  <c r="C1086" i="1"/>
  <c r="I1085" i="1"/>
  <c r="H1085" i="1"/>
  <c r="D1085" i="1"/>
  <c r="C1085" i="1"/>
  <c r="I1084" i="1"/>
  <c r="H1084" i="1"/>
  <c r="D1084" i="1"/>
  <c r="C1084" i="1"/>
  <c r="I1083" i="1"/>
  <c r="H1083" i="1"/>
  <c r="D1083" i="1"/>
  <c r="C1083" i="1"/>
  <c r="I1082" i="1"/>
  <c r="H1082" i="1"/>
  <c r="D1082" i="1"/>
  <c r="C1082" i="1"/>
  <c r="I1081" i="1"/>
  <c r="H1081" i="1"/>
  <c r="D1081" i="1"/>
  <c r="C1081" i="1"/>
  <c r="I1080" i="1"/>
  <c r="H1080" i="1"/>
  <c r="D1080" i="1"/>
  <c r="C1080" i="1"/>
  <c r="I1079" i="1"/>
  <c r="H1079" i="1"/>
  <c r="D1079" i="1"/>
  <c r="C1079" i="1"/>
  <c r="I1078" i="1"/>
  <c r="H1078" i="1"/>
  <c r="D1078" i="1"/>
  <c r="C1078" i="1"/>
  <c r="I1077" i="1"/>
  <c r="H1077" i="1"/>
  <c r="D1077" i="1"/>
  <c r="C1077" i="1"/>
  <c r="I1076" i="1"/>
  <c r="H1076" i="1"/>
  <c r="D1076" i="1"/>
  <c r="C1076" i="1"/>
  <c r="I1075" i="1"/>
  <c r="H1075" i="1"/>
  <c r="D1075" i="1"/>
  <c r="C1075" i="1"/>
  <c r="I1074" i="1"/>
  <c r="H1074" i="1"/>
  <c r="D1074" i="1"/>
  <c r="C1074" i="1"/>
  <c r="I1073" i="1"/>
  <c r="H1073" i="1"/>
  <c r="D1073" i="1"/>
  <c r="C1073" i="1"/>
  <c r="I1072" i="1"/>
  <c r="H1072" i="1"/>
  <c r="D1072" i="1"/>
  <c r="C1072" i="1"/>
  <c r="I1071" i="1"/>
  <c r="H1071" i="1"/>
  <c r="D1071" i="1"/>
  <c r="C1071" i="1"/>
  <c r="I1070" i="1"/>
  <c r="H1070" i="1"/>
  <c r="D1070" i="1"/>
  <c r="C1070" i="1"/>
  <c r="I1069" i="1"/>
  <c r="H1069" i="1"/>
  <c r="D1069" i="1"/>
  <c r="C1069" i="1"/>
  <c r="I1068" i="1"/>
  <c r="H1068" i="1"/>
  <c r="D1068" i="1"/>
  <c r="C1068" i="1"/>
  <c r="I1067" i="1"/>
  <c r="H1067" i="1"/>
  <c r="D1067" i="1"/>
  <c r="C1067" i="1"/>
  <c r="I1066" i="1"/>
  <c r="H1066" i="1"/>
  <c r="D1066" i="1"/>
  <c r="C1066" i="1"/>
  <c r="I1065" i="1"/>
  <c r="H1065" i="1"/>
  <c r="D1065" i="1"/>
  <c r="C1065" i="1"/>
  <c r="I1064" i="1"/>
  <c r="H1064" i="1"/>
  <c r="D1064" i="1"/>
  <c r="C1064" i="1"/>
  <c r="I1063" i="1"/>
  <c r="H1063" i="1"/>
  <c r="D1063" i="1"/>
  <c r="C1063" i="1"/>
  <c r="I1062" i="1"/>
  <c r="H1062" i="1"/>
  <c r="D1062" i="1"/>
  <c r="C1062" i="1"/>
  <c r="I1061" i="1"/>
  <c r="H1061" i="1"/>
  <c r="D1061" i="1"/>
  <c r="C1061" i="1"/>
  <c r="I1060" i="1"/>
  <c r="H1060" i="1"/>
  <c r="D1060" i="1"/>
  <c r="C1060" i="1"/>
  <c r="I1059" i="1"/>
  <c r="H1059" i="1"/>
  <c r="D1059" i="1"/>
  <c r="C1059" i="1"/>
  <c r="I1058" i="1"/>
  <c r="H1058" i="1"/>
  <c r="D1058" i="1"/>
  <c r="C1058" i="1"/>
  <c r="I1057" i="1"/>
  <c r="H1057" i="1"/>
  <c r="D1057" i="1"/>
  <c r="C1057" i="1"/>
  <c r="I1056" i="1"/>
  <c r="H1056" i="1"/>
  <c r="D1056" i="1"/>
  <c r="C1056" i="1"/>
  <c r="I1055" i="1"/>
  <c r="H1055" i="1"/>
  <c r="D1055" i="1"/>
  <c r="C1055" i="1"/>
  <c r="I1054" i="1"/>
  <c r="H1054" i="1"/>
  <c r="D1054" i="1"/>
  <c r="C1054" i="1"/>
  <c r="I1053" i="1"/>
  <c r="H1053" i="1"/>
  <c r="D1053" i="1"/>
  <c r="C1053" i="1"/>
  <c r="I1052" i="1"/>
  <c r="H1052" i="1"/>
  <c r="D1052" i="1"/>
  <c r="C1052" i="1"/>
  <c r="I1051" i="1"/>
  <c r="H1051" i="1"/>
  <c r="D1051" i="1"/>
  <c r="C1051" i="1"/>
  <c r="I1050" i="1"/>
  <c r="H1050" i="1"/>
  <c r="D1050" i="1"/>
  <c r="C1050" i="1"/>
  <c r="I1049" i="1"/>
  <c r="H1049" i="1"/>
  <c r="D1049" i="1"/>
  <c r="C1049" i="1"/>
  <c r="I1048" i="1"/>
  <c r="H1048" i="1"/>
  <c r="D1048" i="1"/>
  <c r="C1048" i="1"/>
  <c r="I1047" i="1"/>
  <c r="H1047" i="1"/>
  <c r="D1047" i="1"/>
  <c r="C1047" i="1"/>
  <c r="I1046" i="1"/>
  <c r="H1046" i="1"/>
  <c r="D1046" i="1"/>
  <c r="C1046" i="1"/>
  <c r="I1045" i="1"/>
  <c r="H1045" i="1"/>
  <c r="D1045" i="1"/>
  <c r="C1045" i="1"/>
  <c r="I1044" i="1"/>
  <c r="H1044" i="1"/>
  <c r="D1044" i="1"/>
  <c r="C1044" i="1"/>
  <c r="I1043" i="1"/>
  <c r="H1043" i="1"/>
  <c r="D1043" i="1"/>
  <c r="C1043" i="1"/>
  <c r="I1042" i="1"/>
  <c r="H1042" i="1"/>
  <c r="D1042" i="1"/>
  <c r="C1042" i="1"/>
  <c r="I1041" i="1"/>
  <c r="H1041" i="1"/>
  <c r="D1041" i="1"/>
  <c r="C1041" i="1"/>
  <c r="I1040" i="1"/>
  <c r="H1040" i="1"/>
  <c r="D1040" i="1"/>
  <c r="C1040" i="1"/>
  <c r="I1039" i="1"/>
  <c r="H1039" i="1"/>
  <c r="D1039" i="1"/>
  <c r="C1039" i="1"/>
  <c r="I1038" i="1"/>
  <c r="H1038" i="1"/>
  <c r="D1038" i="1"/>
  <c r="C1038" i="1"/>
  <c r="I1037" i="1"/>
  <c r="H1037" i="1"/>
  <c r="D1037" i="1"/>
  <c r="C1037" i="1"/>
  <c r="I1036" i="1"/>
  <c r="H1036" i="1"/>
  <c r="D1036" i="1"/>
  <c r="C1036" i="1"/>
  <c r="I1035" i="1"/>
  <c r="H1035" i="1"/>
  <c r="D1035" i="1"/>
  <c r="C1035" i="1"/>
  <c r="I1034" i="1"/>
  <c r="H1034" i="1"/>
  <c r="D1034" i="1"/>
  <c r="C1034" i="1"/>
  <c r="I1033" i="1"/>
  <c r="H1033" i="1"/>
  <c r="D1033" i="1"/>
  <c r="C1033" i="1"/>
  <c r="I1032" i="1"/>
  <c r="H1032" i="1"/>
  <c r="D1032" i="1"/>
  <c r="C1032" i="1"/>
  <c r="I1031" i="1"/>
  <c r="H1031" i="1"/>
  <c r="D1031" i="1"/>
  <c r="C1031" i="1"/>
  <c r="I1030" i="1"/>
  <c r="H1030" i="1"/>
  <c r="D1030" i="1"/>
  <c r="C1030" i="1"/>
  <c r="I1029" i="1"/>
  <c r="H1029" i="1"/>
  <c r="D1029" i="1"/>
  <c r="C1029" i="1"/>
  <c r="I1028" i="1"/>
  <c r="H1028" i="1"/>
  <c r="D1028" i="1"/>
  <c r="C1028" i="1"/>
  <c r="I1027" i="1"/>
  <c r="H1027" i="1"/>
  <c r="D1027" i="1"/>
  <c r="C1027" i="1"/>
  <c r="I1026" i="1"/>
  <c r="H1026" i="1"/>
  <c r="D1026" i="1"/>
  <c r="C1026" i="1"/>
  <c r="I1025" i="1"/>
  <c r="H1025" i="1"/>
  <c r="D1025" i="1"/>
  <c r="C1025" i="1"/>
  <c r="I1024" i="1"/>
  <c r="H1024" i="1"/>
  <c r="D1024" i="1"/>
  <c r="C1024" i="1"/>
  <c r="I1023" i="1"/>
  <c r="H1023" i="1"/>
  <c r="D1023" i="1"/>
  <c r="C1023" i="1"/>
  <c r="I1022" i="1"/>
  <c r="H1022" i="1"/>
  <c r="D1022" i="1"/>
  <c r="C1022" i="1"/>
  <c r="I1021" i="1"/>
  <c r="H1021" i="1"/>
  <c r="D1021" i="1"/>
  <c r="C1021" i="1"/>
  <c r="I1020" i="1"/>
  <c r="H1020" i="1"/>
  <c r="D1020" i="1"/>
  <c r="C1020" i="1"/>
  <c r="I1019" i="1"/>
  <c r="H1019" i="1"/>
  <c r="D1019" i="1"/>
  <c r="C1019" i="1"/>
  <c r="I1018" i="1"/>
  <c r="H1018" i="1"/>
  <c r="D1018" i="1"/>
  <c r="C1018" i="1"/>
  <c r="I1017" i="1"/>
  <c r="H1017" i="1"/>
  <c r="D1017" i="1"/>
  <c r="C1017" i="1"/>
  <c r="I1016" i="1"/>
  <c r="H1016" i="1"/>
  <c r="D1016" i="1"/>
  <c r="C1016" i="1"/>
  <c r="I1015" i="1"/>
  <c r="H1015" i="1"/>
  <c r="D1015" i="1"/>
  <c r="C1015" i="1"/>
  <c r="I1014" i="1"/>
  <c r="H1014" i="1"/>
  <c r="D1014" i="1"/>
  <c r="C1014" i="1"/>
  <c r="I1013" i="1"/>
  <c r="H1013" i="1"/>
  <c r="D1013" i="1"/>
  <c r="C1013" i="1"/>
  <c r="I1012" i="1"/>
  <c r="H1012" i="1"/>
  <c r="D1012" i="1"/>
  <c r="C1012" i="1"/>
  <c r="I1011" i="1"/>
  <c r="H1011" i="1"/>
  <c r="D1011" i="1"/>
  <c r="C1011" i="1"/>
  <c r="I1010" i="1"/>
  <c r="H1010" i="1"/>
  <c r="D1010" i="1"/>
  <c r="C1010" i="1"/>
  <c r="I1009" i="1"/>
  <c r="H1009" i="1"/>
  <c r="D1009" i="1"/>
  <c r="C1009" i="1"/>
  <c r="I1008" i="1"/>
  <c r="H1008" i="1"/>
  <c r="D1008" i="1"/>
  <c r="C1008" i="1"/>
  <c r="I1007" i="1"/>
  <c r="H1007" i="1"/>
  <c r="D1007" i="1"/>
  <c r="C1007" i="1"/>
  <c r="I1006" i="1"/>
  <c r="H1006" i="1"/>
  <c r="D1006" i="1"/>
  <c r="C1006" i="1"/>
  <c r="I1005" i="1"/>
  <c r="H1005" i="1"/>
  <c r="D1005" i="1"/>
  <c r="C1005" i="1"/>
  <c r="I1004" i="1"/>
  <c r="H1004" i="1"/>
  <c r="D1004" i="1"/>
  <c r="C1004" i="1"/>
  <c r="I1003" i="1"/>
  <c r="H1003" i="1"/>
  <c r="D1003" i="1"/>
  <c r="C1003" i="1"/>
  <c r="I1002" i="1"/>
  <c r="H1002" i="1"/>
  <c r="D1002" i="1"/>
  <c r="C1002" i="1"/>
  <c r="I1001" i="1"/>
  <c r="H1001" i="1"/>
  <c r="D1001" i="1"/>
  <c r="C1001" i="1"/>
  <c r="I1000" i="1"/>
  <c r="H1000" i="1"/>
  <c r="D1000" i="1"/>
  <c r="C1000" i="1"/>
  <c r="I999" i="1"/>
  <c r="H999" i="1"/>
  <c r="D999" i="1"/>
  <c r="C999" i="1"/>
  <c r="I998" i="1"/>
  <c r="H998" i="1"/>
  <c r="D998" i="1"/>
  <c r="C998" i="1"/>
  <c r="I997" i="1"/>
  <c r="H997" i="1"/>
  <c r="D997" i="1"/>
  <c r="C997" i="1"/>
  <c r="I996" i="1"/>
  <c r="H996" i="1"/>
  <c r="D996" i="1"/>
  <c r="C996" i="1"/>
  <c r="I995" i="1"/>
  <c r="H995" i="1"/>
  <c r="D995" i="1"/>
  <c r="C995" i="1"/>
  <c r="I994" i="1"/>
  <c r="H994" i="1"/>
  <c r="D994" i="1"/>
  <c r="C994" i="1"/>
  <c r="I993" i="1"/>
  <c r="H993" i="1"/>
  <c r="D993" i="1"/>
  <c r="C993" i="1"/>
  <c r="I992" i="1"/>
  <c r="H992" i="1"/>
  <c r="D992" i="1"/>
  <c r="C992" i="1"/>
  <c r="I991" i="1"/>
  <c r="H991" i="1"/>
  <c r="D991" i="1"/>
  <c r="C991" i="1"/>
  <c r="I990" i="1"/>
  <c r="H990" i="1"/>
  <c r="D990" i="1"/>
  <c r="C990" i="1"/>
  <c r="I989" i="1"/>
  <c r="H989" i="1"/>
  <c r="D989" i="1"/>
  <c r="C989" i="1"/>
  <c r="I988" i="1"/>
  <c r="H988" i="1"/>
  <c r="D988" i="1"/>
  <c r="C988" i="1"/>
  <c r="I987" i="1"/>
  <c r="H987" i="1"/>
  <c r="D987" i="1"/>
  <c r="C987" i="1"/>
  <c r="I986" i="1"/>
  <c r="H986" i="1"/>
  <c r="D986" i="1"/>
  <c r="C986" i="1"/>
  <c r="I985" i="1"/>
  <c r="H985" i="1"/>
  <c r="D985" i="1"/>
  <c r="C985" i="1"/>
  <c r="I984" i="1"/>
  <c r="H984" i="1"/>
  <c r="D984" i="1"/>
  <c r="C984" i="1"/>
  <c r="I983" i="1"/>
  <c r="H983" i="1"/>
  <c r="D983" i="1"/>
  <c r="C983" i="1"/>
  <c r="I982" i="1"/>
  <c r="H982" i="1"/>
  <c r="D982" i="1"/>
  <c r="C982" i="1"/>
  <c r="I981" i="1"/>
  <c r="H981" i="1"/>
  <c r="D981" i="1"/>
  <c r="C981" i="1"/>
  <c r="I980" i="1"/>
  <c r="H980" i="1"/>
  <c r="D980" i="1"/>
  <c r="C980" i="1"/>
  <c r="I979" i="1"/>
  <c r="H979" i="1"/>
  <c r="D979" i="1"/>
  <c r="C979" i="1"/>
  <c r="I978" i="1"/>
  <c r="H978" i="1"/>
  <c r="D978" i="1"/>
  <c r="C978" i="1"/>
  <c r="I977" i="1"/>
  <c r="H977" i="1"/>
  <c r="D977" i="1"/>
  <c r="C977" i="1"/>
  <c r="I976" i="1"/>
  <c r="H976" i="1"/>
  <c r="D976" i="1"/>
  <c r="C976" i="1"/>
  <c r="I975" i="1"/>
  <c r="H975" i="1"/>
  <c r="D975" i="1"/>
  <c r="C975" i="1"/>
  <c r="I974" i="1"/>
  <c r="H974" i="1"/>
  <c r="D974" i="1"/>
  <c r="C974" i="1"/>
  <c r="I973" i="1"/>
  <c r="H973" i="1"/>
  <c r="D973" i="1"/>
  <c r="C973" i="1"/>
  <c r="I972" i="1"/>
  <c r="H972" i="1"/>
  <c r="D972" i="1"/>
  <c r="C972" i="1"/>
  <c r="I971" i="1"/>
  <c r="H971" i="1"/>
  <c r="D971" i="1"/>
  <c r="C971" i="1"/>
  <c r="I970" i="1"/>
  <c r="H970" i="1"/>
  <c r="D970" i="1"/>
  <c r="C970" i="1"/>
  <c r="I969" i="1"/>
  <c r="H969" i="1"/>
  <c r="D969" i="1"/>
  <c r="C969" i="1"/>
  <c r="I968" i="1"/>
  <c r="H968" i="1"/>
  <c r="D968" i="1"/>
  <c r="C968" i="1"/>
  <c r="I967" i="1"/>
  <c r="H967" i="1"/>
  <c r="D967" i="1"/>
  <c r="C967" i="1"/>
  <c r="I966" i="1"/>
  <c r="H966" i="1"/>
  <c r="D966" i="1"/>
  <c r="C966" i="1"/>
  <c r="I965" i="1"/>
  <c r="H965" i="1"/>
  <c r="D965" i="1"/>
  <c r="C965" i="1"/>
  <c r="I964" i="1"/>
  <c r="H964" i="1"/>
  <c r="D964" i="1"/>
  <c r="C964" i="1"/>
  <c r="I963" i="1"/>
  <c r="H963" i="1"/>
  <c r="D963" i="1"/>
  <c r="C963" i="1"/>
  <c r="I962" i="1"/>
  <c r="H962" i="1"/>
  <c r="D962" i="1"/>
  <c r="C962" i="1"/>
  <c r="I961" i="1"/>
  <c r="H961" i="1"/>
  <c r="D961" i="1"/>
  <c r="C961" i="1"/>
  <c r="I960" i="1"/>
  <c r="H960" i="1"/>
  <c r="D960" i="1"/>
  <c r="C960" i="1"/>
  <c r="I959" i="1"/>
  <c r="H959" i="1"/>
  <c r="D959" i="1"/>
  <c r="C959" i="1"/>
  <c r="I958" i="1"/>
  <c r="H958" i="1"/>
  <c r="D958" i="1"/>
  <c r="C958" i="1"/>
  <c r="I957" i="1"/>
  <c r="H957" i="1"/>
  <c r="D957" i="1"/>
  <c r="C957" i="1"/>
  <c r="I956" i="1"/>
  <c r="H956" i="1"/>
  <c r="D956" i="1"/>
  <c r="C956" i="1"/>
  <c r="I955" i="1"/>
  <c r="H955" i="1"/>
  <c r="D955" i="1"/>
  <c r="C955" i="1"/>
  <c r="I954" i="1"/>
  <c r="H954" i="1"/>
  <c r="D954" i="1"/>
  <c r="C954" i="1"/>
  <c r="I953" i="1"/>
  <c r="H953" i="1"/>
  <c r="D953" i="1"/>
  <c r="C953" i="1"/>
  <c r="I952" i="1"/>
  <c r="H952" i="1"/>
  <c r="D952" i="1"/>
  <c r="C952" i="1"/>
  <c r="I951" i="1"/>
  <c r="H951" i="1"/>
  <c r="D951" i="1"/>
  <c r="C951" i="1"/>
  <c r="I950" i="1"/>
  <c r="H950" i="1"/>
  <c r="D950" i="1"/>
  <c r="C950" i="1"/>
  <c r="I949" i="1"/>
  <c r="H949" i="1"/>
  <c r="D949" i="1"/>
  <c r="C949" i="1"/>
  <c r="I948" i="1"/>
  <c r="H948" i="1"/>
  <c r="D948" i="1"/>
  <c r="C948" i="1"/>
  <c r="I947" i="1"/>
  <c r="H947" i="1"/>
  <c r="D947" i="1"/>
  <c r="C947" i="1"/>
  <c r="I946" i="1"/>
  <c r="H946" i="1"/>
  <c r="D946" i="1"/>
  <c r="C946" i="1"/>
  <c r="I945" i="1"/>
  <c r="H945" i="1"/>
  <c r="D945" i="1"/>
  <c r="C945" i="1"/>
  <c r="I944" i="1"/>
  <c r="H944" i="1"/>
  <c r="D944" i="1"/>
  <c r="C944" i="1"/>
  <c r="I943" i="1"/>
  <c r="H943" i="1"/>
  <c r="D943" i="1"/>
  <c r="C943" i="1"/>
  <c r="I942" i="1"/>
  <c r="H942" i="1"/>
  <c r="D942" i="1"/>
  <c r="C942" i="1"/>
  <c r="I941" i="1"/>
  <c r="H941" i="1"/>
  <c r="D941" i="1"/>
  <c r="C941" i="1"/>
  <c r="I940" i="1"/>
  <c r="H940" i="1"/>
  <c r="D940" i="1"/>
  <c r="C940" i="1"/>
  <c r="I939" i="1"/>
  <c r="H939" i="1"/>
  <c r="D939" i="1"/>
  <c r="C939" i="1"/>
  <c r="I938" i="1"/>
  <c r="H938" i="1"/>
  <c r="D938" i="1"/>
  <c r="C938" i="1"/>
  <c r="I937" i="1"/>
  <c r="H937" i="1"/>
  <c r="D937" i="1"/>
  <c r="C937" i="1"/>
  <c r="I936" i="1"/>
  <c r="H936" i="1"/>
  <c r="D936" i="1"/>
  <c r="C936" i="1"/>
  <c r="I935" i="1"/>
  <c r="H935" i="1"/>
  <c r="D935" i="1"/>
  <c r="C935" i="1"/>
  <c r="I934" i="1"/>
  <c r="H934" i="1"/>
  <c r="D934" i="1"/>
  <c r="C934" i="1"/>
  <c r="I933" i="1"/>
  <c r="H933" i="1"/>
  <c r="D933" i="1"/>
  <c r="C933" i="1"/>
  <c r="I932" i="1"/>
  <c r="H932" i="1"/>
  <c r="D932" i="1"/>
  <c r="C932" i="1"/>
  <c r="I931" i="1"/>
  <c r="H931" i="1"/>
  <c r="D931" i="1"/>
  <c r="C931" i="1"/>
  <c r="I930" i="1"/>
  <c r="H930" i="1"/>
  <c r="D930" i="1"/>
  <c r="C930" i="1"/>
  <c r="I929" i="1"/>
  <c r="H929" i="1"/>
  <c r="D929" i="1"/>
  <c r="C929" i="1"/>
  <c r="I928" i="1"/>
  <c r="H928" i="1"/>
  <c r="D928" i="1"/>
  <c r="C928" i="1"/>
  <c r="I927" i="1"/>
  <c r="H927" i="1"/>
  <c r="D927" i="1"/>
  <c r="C927" i="1"/>
  <c r="I926" i="1"/>
  <c r="H926" i="1"/>
  <c r="D926" i="1"/>
  <c r="C926" i="1"/>
  <c r="I925" i="1"/>
  <c r="H925" i="1"/>
  <c r="D925" i="1"/>
  <c r="C925" i="1"/>
  <c r="I924" i="1"/>
  <c r="H924" i="1"/>
  <c r="D924" i="1"/>
  <c r="C924" i="1"/>
  <c r="I923" i="1"/>
  <c r="H923" i="1"/>
  <c r="D923" i="1"/>
  <c r="C923" i="1"/>
  <c r="I922" i="1"/>
  <c r="H922" i="1"/>
  <c r="D922" i="1"/>
  <c r="C922" i="1"/>
  <c r="I921" i="1"/>
  <c r="H921" i="1"/>
  <c r="D921" i="1"/>
  <c r="C921" i="1"/>
  <c r="I920" i="1"/>
  <c r="H920" i="1"/>
  <c r="D920" i="1"/>
  <c r="C920" i="1"/>
  <c r="I919" i="1"/>
  <c r="H919" i="1"/>
  <c r="D919" i="1"/>
  <c r="C919" i="1"/>
  <c r="I918" i="1"/>
  <c r="H918" i="1"/>
  <c r="D918" i="1"/>
  <c r="C918" i="1"/>
  <c r="I917" i="1"/>
  <c r="H917" i="1"/>
  <c r="D917" i="1"/>
  <c r="C917" i="1"/>
  <c r="I916" i="1"/>
  <c r="H916" i="1"/>
  <c r="D916" i="1"/>
  <c r="C916" i="1"/>
  <c r="I915" i="1"/>
  <c r="H915" i="1"/>
  <c r="D915" i="1"/>
  <c r="C915" i="1"/>
  <c r="I914" i="1"/>
  <c r="H914" i="1"/>
  <c r="D914" i="1"/>
  <c r="C914" i="1"/>
  <c r="I913" i="1"/>
  <c r="H913" i="1"/>
  <c r="D913" i="1"/>
  <c r="C913" i="1"/>
  <c r="I912" i="1"/>
  <c r="H912" i="1"/>
  <c r="D912" i="1"/>
  <c r="C912" i="1"/>
  <c r="I911" i="1"/>
  <c r="H911" i="1"/>
  <c r="D911" i="1"/>
  <c r="C911" i="1"/>
  <c r="I910" i="1"/>
  <c r="H910" i="1"/>
  <c r="D910" i="1"/>
  <c r="C910" i="1"/>
  <c r="I909" i="1"/>
  <c r="H909" i="1"/>
  <c r="D909" i="1"/>
  <c r="C909" i="1"/>
  <c r="I908" i="1"/>
  <c r="H908" i="1"/>
  <c r="D908" i="1"/>
  <c r="C908" i="1"/>
  <c r="I907" i="1"/>
  <c r="H907" i="1"/>
  <c r="D907" i="1"/>
  <c r="C907" i="1"/>
  <c r="I906" i="1"/>
  <c r="H906" i="1"/>
  <c r="D906" i="1"/>
  <c r="C906" i="1"/>
  <c r="I905" i="1"/>
  <c r="H905" i="1"/>
  <c r="D905" i="1"/>
  <c r="C905" i="1"/>
  <c r="I904" i="1"/>
  <c r="H904" i="1"/>
  <c r="D904" i="1"/>
  <c r="C904" i="1"/>
  <c r="I903" i="1"/>
  <c r="H903" i="1"/>
  <c r="D903" i="1"/>
  <c r="C903" i="1"/>
  <c r="I902" i="1"/>
  <c r="H902" i="1"/>
  <c r="D902" i="1"/>
  <c r="C902" i="1"/>
  <c r="I901" i="1"/>
  <c r="H901" i="1"/>
  <c r="D901" i="1"/>
  <c r="C901" i="1"/>
  <c r="I900" i="1"/>
  <c r="H900" i="1"/>
  <c r="D900" i="1"/>
  <c r="C900" i="1"/>
  <c r="I899" i="1"/>
  <c r="H899" i="1"/>
  <c r="D899" i="1"/>
  <c r="C899" i="1"/>
  <c r="I898" i="1"/>
  <c r="H898" i="1"/>
  <c r="D898" i="1"/>
  <c r="C898" i="1"/>
  <c r="I897" i="1"/>
  <c r="H897" i="1"/>
  <c r="D897" i="1"/>
  <c r="C897" i="1"/>
  <c r="I896" i="1"/>
  <c r="H896" i="1"/>
  <c r="D896" i="1"/>
  <c r="C896" i="1"/>
  <c r="I895" i="1"/>
  <c r="H895" i="1"/>
  <c r="D895" i="1"/>
  <c r="C895" i="1"/>
  <c r="I894" i="1"/>
  <c r="H894" i="1"/>
  <c r="D894" i="1"/>
  <c r="C894" i="1"/>
  <c r="I893" i="1"/>
  <c r="H893" i="1"/>
  <c r="D893" i="1"/>
  <c r="C893" i="1"/>
  <c r="I892" i="1"/>
  <c r="H892" i="1"/>
  <c r="D892" i="1"/>
  <c r="C892" i="1"/>
  <c r="I891" i="1"/>
  <c r="H891" i="1"/>
  <c r="D891" i="1"/>
  <c r="C891" i="1"/>
  <c r="I890" i="1"/>
  <c r="H890" i="1"/>
  <c r="D890" i="1"/>
  <c r="C890" i="1"/>
  <c r="I889" i="1"/>
  <c r="H889" i="1"/>
  <c r="D889" i="1"/>
  <c r="C889" i="1"/>
  <c r="I888" i="1"/>
  <c r="H888" i="1"/>
  <c r="D888" i="1"/>
  <c r="C888" i="1"/>
  <c r="I887" i="1"/>
  <c r="H887" i="1"/>
  <c r="D887" i="1"/>
  <c r="C887" i="1"/>
  <c r="I886" i="1"/>
  <c r="H886" i="1"/>
  <c r="D886" i="1"/>
  <c r="C886" i="1"/>
  <c r="I885" i="1"/>
  <c r="H885" i="1"/>
  <c r="D885" i="1"/>
  <c r="C885" i="1"/>
  <c r="I884" i="1"/>
  <c r="H884" i="1"/>
  <c r="D884" i="1"/>
  <c r="C884" i="1"/>
  <c r="I883" i="1"/>
  <c r="H883" i="1"/>
  <c r="D883" i="1"/>
  <c r="C883" i="1"/>
  <c r="I882" i="1"/>
  <c r="H882" i="1"/>
  <c r="D882" i="1"/>
  <c r="C882" i="1"/>
  <c r="I881" i="1"/>
  <c r="H881" i="1"/>
  <c r="D881" i="1"/>
  <c r="C881" i="1"/>
  <c r="I880" i="1"/>
  <c r="H880" i="1"/>
  <c r="D880" i="1"/>
  <c r="C880" i="1"/>
  <c r="I879" i="1"/>
  <c r="H879" i="1"/>
  <c r="D879" i="1"/>
  <c r="C879" i="1"/>
  <c r="I878" i="1"/>
  <c r="H878" i="1"/>
  <c r="D878" i="1"/>
  <c r="C878" i="1"/>
  <c r="I877" i="1"/>
  <c r="H877" i="1"/>
  <c r="D877" i="1"/>
  <c r="C877" i="1"/>
  <c r="I876" i="1"/>
  <c r="H876" i="1"/>
  <c r="D876" i="1"/>
  <c r="C876" i="1"/>
  <c r="I875" i="1"/>
  <c r="H875" i="1"/>
  <c r="D875" i="1"/>
  <c r="C875" i="1"/>
  <c r="I874" i="1"/>
  <c r="H874" i="1"/>
  <c r="D874" i="1"/>
  <c r="C874" i="1"/>
  <c r="I873" i="1"/>
  <c r="H873" i="1"/>
  <c r="D873" i="1"/>
  <c r="C873" i="1"/>
  <c r="I872" i="1"/>
  <c r="H872" i="1"/>
  <c r="D872" i="1"/>
  <c r="C872" i="1"/>
  <c r="I871" i="1"/>
  <c r="H871" i="1"/>
  <c r="D871" i="1"/>
  <c r="C871" i="1"/>
  <c r="I870" i="1"/>
  <c r="H870" i="1"/>
  <c r="D870" i="1"/>
  <c r="C870" i="1"/>
  <c r="I869" i="1"/>
  <c r="H869" i="1"/>
  <c r="D869" i="1"/>
  <c r="C869" i="1"/>
  <c r="I868" i="1"/>
  <c r="H868" i="1"/>
  <c r="D868" i="1"/>
  <c r="C868" i="1"/>
  <c r="I867" i="1"/>
  <c r="H867" i="1"/>
  <c r="D867" i="1"/>
  <c r="C867" i="1"/>
  <c r="I866" i="1"/>
  <c r="H866" i="1"/>
  <c r="D866" i="1"/>
  <c r="C866" i="1"/>
  <c r="I865" i="1"/>
  <c r="H865" i="1"/>
  <c r="D865" i="1"/>
  <c r="C865" i="1"/>
  <c r="I864" i="1"/>
  <c r="H864" i="1"/>
  <c r="D864" i="1"/>
  <c r="C864" i="1"/>
  <c r="I863" i="1"/>
  <c r="H863" i="1"/>
  <c r="D863" i="1"/>
  <c r="C863" i="1"/>
  <c r="I862" i="1"/>
  <c r="H862" i="1"/>
  <c r="D862" i="1"/>
  <c r="C862" i="1"/>
  <c r="I861" i="1"/>
  <c r="H861" i="1"/>
  <c r="D861" i="1"/>
  <c r="C861" i="1"/>
  <c r="I860" i="1"/>
  <c r="H860" i="1"/>
  <c r="D860" i="1"/>
  <c r="C860" i="1"/>
  <c r="I859" i="1"/>
  <c r="H859" i="1"/>
  <c r="D859" i="1"/>
  <c r="C859" i="1"/>
  <c r="I858" i="1"/>
  <c r="H858" i="1"/>
  <c r="D858" i="1"/>
  <c r="C858" i="1"/>
  <c r="I857" i="1"/>
  <c r="H857" i="1"/>
  <c r="D857" i="1"/>
  <c r="C857" i="1"/>
  <c r="I856" i="1"/>
  <c r="H856" i="1"/>
  <c r="D856" i="1"/>
  <c r="C856" i="1"/>
  <c r="I855" i="1"/>
  <c r="H855" i="1"/>
  <c r="D855" i="1"/>
  <c r="C855" i="1"/>
  <c r="I854" i="1"/>
  <c r="H854" i="1"/>
  <c r="D854" i="1"/>
  <c r="C854" i="1"/>
  <c r="I853" i="1"/>
  <c r="H853" i="1"/>
  <c r="D853" i="1"/>
  <c r="C853" i="1"/>
  <c r="I852" i="1"/>
  <c r="H852" i="1"/>
  <c r="D852" i="1"/>
  <c r="C852" i="1"/>
  <c r="I851" i="1"/>
  <c r="H851" i="1"/>
  <c r="D851" i="1"/>
  <c r="C851" i="1"/>
  <c r="I850" i="1"/>
  <c r="H850" i="1"/>
  <c r="D850" i="1"/>
  <c r="C850" i="1"/>
  <c r="I849" i="1"/>
  <c r="H849" i="1"/>
  <c r="D849" i="1"/>
  <c r="C849" i="1"/>
  <c r="I848" i="1"/>
  <c r="H848" i="1"/>
  <c r="D848" i="1"/>
  <c r="C848" i="1"/>
  <c r="I847" i="1"/>
  <c r="H847" i="1"/>
  <c r="D847" i="1"/>
  <c r="C847" i="1"/>
  <c r="I846" i="1"/>
  <c r="H846" i="1"/>
  <c r="D846" i="1"/>
  <c r="C846" i="1"/>
  <c r="I845" i="1"/>
  <c r="H845" i="1"/>
  <c r="D845" i="1"/>
  <c r="C845" i="1"/>
  <c r="I844" i="1"/>
  <c r="H844" i="1"/>
  <c r="D844" i="1"/>
  <c r="C844" i="1"/>
  <c r="I843" i="1"/>
  <c r="H843" i="1"/>
  <c r="D843" i="1"/>
  <c r="C843" i="1"/>
  <c r="I842" i="1"/>
  <c r="H842" i="1"/>
  <c r="D842" i="1"/>
  <c r="C842" i="1"/>
  <c r="I841" i="1"/>
  <c r="H841" i="1"/>
  <c r="D841" i="1"/>
  <c r="C841" i="1"/>
  <c r="I840" i="1"/>
  <c r="H840" i="1"/>
  <c r="D840" i="1"/>
  <c r="C840" i="1"/>
  <c r="I839" i="1"/>
  <c r="H839" i="1"/>
  <c r="D839" i="1"/>
  <c r="C839" i="1"/>
  <c r="I838" i="1"/>
  <c r="H838" i="1"/>
  <c r="D838" i="1"/>
  <c r="C838" i="1"/>
  <c r="I837" i="1"/>
  <c r="H837" i="1"/>
  <c r="D837" i="1"/>
  <c r="C837" i="1"/>
  <c r="I836" i="1"/>
  <c r="H836" i="1"/>
  <c r="D836" i="1"/>
  <c r="C836" i="1"/>
  <c r="I835" i="1"/>
  <c r="H835" i="1"/>
  <c r="D835" i="1"/>
  <c r="C835" i="1"/>
  <c r="I834" i="1"/>
  <c r="H834" i="1"/>
  <c r="D834" i="1"/>
  <c r="C834" i="1"/>
  <c r="I833" i="1"/>
  <c r="H833" i="1"/>
  <c r="D833" i="1"/>
  <c r="C833" i="1"/>
  <c r="I832" i="1"/>
  <c r="H832" i="1"/>
  <c r="D832" i="1"/>
  <c r="C832" i="1"/>
  <c r="I831" i="1"/>
  <c r="H831" i="1"/>
  <c r="D831" i="1"/>
  <c r="C831" i="1"/>
  <c r="I830" i="1"/>
  <c r="H830" i="1"/>
  <c r="D830" i="1"/>
  <c r="C830" i="1"/>
  <c r="I829" i="1"/>
  <c r="H829" i="1"/>
  <c r="D829" i="1"/>
  <c r="C829" i="1"/>
  <c r="I828" i="1"/>
  <c r="H828" i="1"/>
  <c r="D828" i="1"/>
  <c r="C828" i="1"/>
  <c r="I827" i="1"/>
  <c r="H827" i="1"/>
  <c r="D827" i="1"/>
  <c r="C827" i="1"/>
  <c r="I826" i="1"/>
  <c r="H826" i="1"/>
  <c r="D826" i="1"/>
  <c r="C826" i="1"/>
  <c r="I825" i="1"/>
  <c r="H825" i="1"/>
  <c r="D825" i="1"/>
  <c r="C825" i="1"/>
  <c r="I824" i="1"/>
  <c r="H824" i="1"/>
  <c r="D824" i="1"/>
  <c r="C824" i="1"/>
  <c r="I823" i="1"/>
  <c r="H823" i="1"/>
  <c r="D823" i="1"/>
  <c r="C823" i="1"/>
  <c r="I822" i="1"/>
  <c r="H822" i="1"/>
  <c r="D822" i="1"/>
  <c r="C822" i="1"/>
  <c r="I821" i="1"/>
  <c r="H821" i="1"/>
  <c r="D821" i="1"/>
  <c r="C821" i="1"/>
  <c r="I820" i="1"/>
  <c r="H820" i="1"/>
  <c r="D820" i="1"/>
  <c r="C820" i="1"/>
  <c r="I819" i="1"/>
  <c r="H819" i="1"/>
  <c r="D819" i="1"/>
  <c r="C819" i="1"/>
  <c r="I818" i="1"/>
  <c r="H818" i="1"/>
  <c r="D818" i="1"/>
  <c r="C818" i="1"/>
  <c r="I817" i="1"/>
  <c r="H817" i="1"/>
  <c r="D817" i="1"/>
  <c r="C817" i="1"/>
  <c r="I816" i="1"/>
  <c r="H816" i="1"/>
  <c r="D816" i="1"/>
  <c r="C816" i="1"/>
  <c r="I815" i="1"/>
  <c r="H815" i="1"/>
  <c r="D815" i="1"/>
  <c r="C815" i="1"/>
  <c r="I814" i="1"/>
  <c r="H814" i="1"/>
  <c r="D814" i="1"/>
  <c r="C814" i="1"/>
  <c r="I813" i="1"/>
  <c r="H813" i="1"/>
  <c r="D813" i="1"/>
  <c r="C813" i="1"/>
  <c r="I812" i="1"/>
  <c r="H812" i="1"/>
  <c r="D812" i="1"/>
  <c r="C812" i="1"/>
  <c r="I811" i="1"/>
  <c r="H811" i="1"/>
  <c r="D811" i="1"/>
  <c r="C811" i="1"/>
  <c r="I810" i="1"/>
  <c r="H810" i="1"/>
  <c r="D810" i="1"/>
  <c r="C810" i="1"/>
  <c r="I809" i="1"/>
  <c r="H809" i="1"/>
  <c r="D809" i="1"/>
  <c r="C809" i="1"/>
  <c r="I808" i="1"/>
  <c r="H808" i="1"/>
  <c r="D808" i="1"/>
  <c r="C808" i="1"/>
  <c r="I807" i="1"/>
  <c r="H807" i="1"/>
  <c r="D807" i="1"/>
  <c r="C807" i="1"/>
  <c r="I806" i="1"/>
  <c r="H806" i="1"/>
  <c r="D806" i="1"/>
  <c r="C806" i="1"/>
  <c r="I805" i="1"/>
  <c r="H805" i="1"/>
  <c r="D805" i="1"/>
  <c r="C805" i="1"/>
  <c r="I804" i="1"/>
  <c r="H804" i="1"/>
  <c r="D804" i="1"/>
  <c r="C804" i="1"/>
  <c r="I803" i="1"/>
  <c r="H803" i="1"/>
  <c r="D803" i="1"/>
  <c r="C803" i="1"/>
  <c r="I802" i="1"/>
  <c r="H802" i="1"/>
  <c r="D802" i="1"/>
  <c r="C802" i="1"/>
  <c r="I801" i="1"/>
  <c r="H801" i="1"/>
  <c r="D801" i="1"/>
  <c r="C801" i="1"/>
  <c r="I800" i="1"/>
  <c r="H800" i="1"/>
  <c r="D800" i="1"/>
  <c r="C800" i="1"/>
  <c r="I799" i="1"/>
  <c r="H799" i="1"/>
  <c r="D799" i="1"/>
  <c r="C799" i="1"/>
  <c r="I798" i="1"/>
  <c r="H798" i="1"/>
  <c r="D798" i="1"/>
  <c r="C798" i="1"/>
  <c r="I797" i="1"/>
  <c r="H797" i="1"/>
  <c r="D797" i="1"/>
  <c r="C797" i="1"/>
  <c r="I796" i="1"/>
  <c r="H796" i="1"/>
  <c r="D796" i="1"/>
  <c r="C796" i="1"/>
  <c r="I795" i="1"/>
  <c r="H795" i="1"/>
  <c r="D795" i="1"/>
  <c r="C795" i="1"/>
  <c r="I794" i="1"/>
  <c r="H794" i="1"/>
  <c r="D794" i="1"/>
  <c r="C794" i="1"/>
  <c r="I793" i="1"/>
  <c r="H793" i="1"/>
  <c r="D793" i="1"/>
  <c r="C793" i="1"/>
  <c r="I792" i="1"/>
  <c r="H792" i="1"/>
  <c r="D792" i="1"/>
  <c r="C792" i="1"/>
  <c r="I791" i="1"/>
  <c r="H791" i="1"/>
  <c r="D791" i="1"/>
  <c r="C791" i="1"/>
  <c r="I790" i="1"/>
  <c r="H790" i="1"/>
  <c r="D790" i="1"/>
  <c r="C790" i="1"/>
  <c r="I789" i="1"/>
  <c r="H789" i="1"/>
  <c r="D789" i="1"/>
  <c r="C789" i="1"/>
  <c r="I788" i="1"/>
  <c r="H788" i="1"/>
  <c r="D788" i="1"/>
  <c r="C788" i="1"/>
  <c r="I787" i="1"/>
  <c r="H787" i="1"/>
  <c r="D787" i="1"/>
  <c r="C787" i="1"/>
  <c r="I786" i="1"/>
  <c r="H786" i="1"/>
  <c r="D786" i="1"/>
  <c r="C786" i="1"/>
  <c r="I785" i="1"/>
  <c r="H785" i="1"/>
  <c r="D785" i="1"/>
  <c r="C785" i="1"/>
  <c r="I784" i="1"/>
  <c r="H784" i="1"/>
  <c r="D784" i="1"/>
  <c r="C784" i="1"/>
  <c r="I783" i="1"/>
  <c r="H783" i="1"/>
  <c r="D783" i="1"/>
  <c r="C783" i="1"/>
  <c r="I782" i="1"/>
  <c r="H782" i="1"/>
  <c r="D782" i="1"/>
  <c r="C782" i="1"/>
  <c r="I781" i="1"/>
  <c r="H781" i="1"/>
  <c r="D781" i="1"/>
  <c r="C781" i="1"/>
  <c r="I780" i="1"/>
  <c r="H780" i="1"/>
  <c r="D780" i="1"/>
  <c r="C780" i="1"/>
  <c r="I779" i="1"/>
  <c r="H779" i="1"/>
  <c r="D779" i="1"/>
  <c r="C779" i="1"/>
  <c r="I778" i="1"/>
  <c r="H778" i="1"/>
  <c r="D778" i="1"/>
  <c r="C778" i="1"/>
  <c r="I777" i="1"/>
  <c r="H777" i="1"/>
  <c r="D777" i="1"/>
  <c r="C777" i="1"/>
  <c r="I776" i="1"/>
  <c r="H776" i="1"/>
  <c r="D776" i="1"/>
  <c r="C776" i="1"/>
  <c r="I775" i="1"/>
  <c r="H775" i="1"/>
  <c r="D775" i="1"/>
  <c r="C775" i="1"/>
  <c r="I774" i="1"/>
  <c r="H774" i="1"/>
  <c r="D774" i="1"/>
  <c r="C774" i="1"/>
  <c r="I773" i="1"/>
  <c r="H773" i="1"/>
  <c r="D773" i="1"/>
  <c r="C773" i="1"/>
  <c r="I772" i="1"/>
  <c r="H772" i="1"/>
  <c r="D772" i="1"/>
  <c r="C772" i="1"/>
  <c r="I771" i="1"/>
  <c r="H771" i="1"/>
  <c r="D771" i="1"/>
  <c r="C771" i="1"/>
  <c r="I770" i="1"/>
  <c r="H770" i="1"/>
  <c r="D770" i="1"/>
  <c r="C770" i="1"/>
  <c r="I769" i="1"/>
  <c r="H769" i="1"/>
  <c r="D769" i="1"/>
  <c r="C769" i="1"/>
  <c r="I768" i="1"/>
  <c r="H768" i="1"/>
  <c r="D768" i="1"/>
  <c r="C768" i="1"/>
  <c r="I767" i="1"/>
  <c r="H767" i="1"/>
  <c r="D767" i="1"/>
  <c r="C767" i="1"/>
  <c r="I766" i="1"/>
  <c r="H766" i="1"/>
  <c r="D766" i="1"/>
  <c r="C766" i="1"/>
  <c r="I765" i="1"/>
  <c r="H765" i="1"/>
  <c r="D765" i="1"/>
  <c r="C765" i="1"/>
  <c r="I764" i="1"/>
  <c r="H764" i="1"/>
  <c r="D764" i="1"/>
  <c r="C764" i="1"/>
  <c r="I763" i="1"/>
  <c r="H763" i="1"/>
  <c r="D763" i="1"/>
  <c r="C763" i="1"/>
  <c r="I762" i="1"/>
  <c r="H762" i="1"/>
  <c r="D762" i="1"/>
  <c r="C762" i="1"/>
  <c r="I761" i="1"/>
  <c r="H761" i="1"/>
  <c r="D761" i="1"/>
  <c r="C761" i="1"/>
  <c r="I760" i="1"/>
  <c r="H760" i="1"/>
  <c r="D760" i="1"/>
  <c r="C760" i="1"/>
  <c r="I759" i="1"/>
  <c r="H759" i="1"/>
  <c r="D759" i="1"/>
  <c r="C759" i="1"/>
  <c r="I758" i="1"/>
  <c r="H758" i="1"/>
  <c r="D758" i="1"/>
  <c r="C758" i="1"/>
  <c r="I757" i="1"/>
  <c r="H757" i="1"/>
  <c r="D757" i="1"/>
  <c r="C757" i="1"/>
  <c r="I756" i="1"/>
  <c r="H756" i="1"/>
  <c r="D756" i="1"/>
  <c r="C756" i="1"/>
  <c r="I755" i="1"/>
  <c r="H755" i="1"/>
  <c r="D755" i="1"/>
  <c r="C755" i="1"/>
  <c r="I754" i="1"/>
  <c r="H754" i="1"/>
  <c r="D754" i="1"/>
  <c r="C754" i="1"/>
  <c r="I753" i="1"/>
  <c r="H753" i="1"/>
  <c r="D753" i="1"/>
  <c r="C753" i="1"/>
  <c r="I752" i="1"/>
  <c r="H752" i="1"/>
  <c r="D752" i="1"/>
  <c r="C752" i="1"/>
  <c r="I751" i="1"/>
  <c r="H751" i="1"/>
  <c r="D751" i="1"/>
  <c r="C751" i="1"/>
  <c r="I750" i="1"/>
  <c r="H750" i="1"/>
  <c r="D750" i="1"/>
  <c r="C750" i="1"/>
  <c r="I749" i="1"/>
  <c r="H749" i="1"/>
  <c r="D749" i="1"/>
  <c r="C749" i="1"/>
  <c r="I748" i="1"/>
  <c r="H748" i="1"/>
  <c r="D748" i="1"/>
  <c r="C748" i="1"/>
  <c r="I747" i="1"/>
  <c r="H747" i="1"/>
  <c r="D747" i="1"/>
  <c r="C747" i="1"/>
  <c r="I746" i="1"/>
  <c r="H746" i="1"/>
  <c r="D746" i="1"/>
  <c r="C746" i="1"/>
  <c r="I745" i="1"/>
  <c r="H745" i="1"/>
  <c r="D745" i="1"/>
  <c r="C745" i="1"/>
  <c r="I744" i="1"/>
  <c r="H744" i="1"/>
  <c r="D744" i="1"/>
  <c r="C744" i="1"/>
  <c r="I743" i="1"/>
  <c r="H743" i="1"/>
  <c r="D743" i="1"/>
  <c r="C743" i="1"/>
  <c r="I742" i="1"/>
  <c r="H742" i="1"/>
  <c r="D742" i="1"/>
  <c r="C742" i="1"/>
  <c r="I741" i="1"/>
  <c r="H741" i="1"/>
  <c r="D741" i="1"/>
  <c r="C741" i="1"/>
  <c r="I740" i="1"/>
  <c r="H740" i="1"/>
  <c r="D740" i="1"/>
  <c r="C740" i="1"/>
  <c r="I739" i="1"/>
  <c r="H739" i="1"/>
  <c r="D739" i="1"/>
  <c r="C739" i="1"/>
  <c r="I738" i="1"/>
  <c r="H738" i="1"/>
  <c r="D738" i="1"/>
  <c r="C738" i="1"/>
  <c r="I737" i="1"/>
  <c r="H737" i="1"/>
  <c r="D737" i="1"/>
  <c r="C737" i="1"/>
  <c r="I736" i="1"/>
  <c r="H736" i="1"/>
  <c r="D736" i="1"/>
  <c r="C736" i="1"/>
  <c r="I735" i="1"/>
  <c r="H735" i="1"/>
  <c r="D735" i="1"/>
  <c r="C735" i="1"/>
  <c r="I734" i="1"/>
  <c r="H734" i="1"/>
  <c r="D734" i="1"/>
  <c r="C734" i="1"/>
  <c r="I733" i="1"/>
  <c r="H733" i="1"/>
  <c r="D733" i="1"/>
  <c r="C733" i="1"/>
  <c r="I732" i="1"/>
  <c r="H732" i="1"/>
  <c r="D732" i="1"/>
  <c r="C732" i="1"/>
  <c r="I731" i="1"/>
  <c r="H731" i="1"/>
  <c r="D731" i="1"/>
  <c r="C731" i="1"/>
  <c r="I730" i="1"/>
  <c r="H730" i="1"/>
  <c r="D730" i="1"/>
  <c r="C730" i="1"/>
  <c r="I729" i="1"/>
  <c r="H729" i="1"/>
  <c r="D729" i="1"/>
  <c r="C729" i="1"/>
  <c r="I728" i="1"/>
  <c r="H728" i="1"/>
  <c r="D728" i="1"/>
  <c r="C728" i="1"/>
  <c r="I727" i="1"/>
  <c r="H727" i="1"/>
  <c r="D727" i="1"/>
  <c r="C727" i="1"/>
  <c r="I726" i="1"/>
  <c r="H726" i="1"/>
  <c r="D726" i="1"/>
  <c r="C726" i="1"/>
  <c r="I725" i="1"/>
  <c r="H725" i="1"/>
  <c r="D725" i="1"/>
  <c r="C725" i="1"/>
  <c r="I724" i="1"/>
  <c r="H724" i="1"/>
  <c r="D724" i="1"/>
  <c r="C724" i="1"/>
  <c r="I723" i="1"/>
  <c r="H723" i="1"/>
  <c r="D723" i="1"/>
  <c r="C723" i="1"/>
  <c r="I722" i="1"/>
  <c r="H722" i="1"/>
  <c r="D722" i="1"/>
  <c r="C722" i="1"/>
  <c r="I721" i="1"/>
  <c r="H721" i="1"/>
  <c r="D721" i="1"/>
  <c r="C721" i="1"/>
  <c r="I720" i="1"/>
  <c r="H720" i="1"/>
  <c r="D720" i="1"/>
  <c r="C720" i="1"/>
  <c r="I719" i="1"/>
  <c r="H719" i="1"/>
  <c r="D719" i="1"/>
  <c r="C719" i="1"/>
  <c r="I718" i="1"/>
  <c r="H718" i="1"/>
  <c r="D718" i="1"/>
  <c r="C718" i="1"/>
  <c r="I717" i="1"/>
  <c r="H717" i="1"/>
  <c r="D717" i="1"/>
  <c r="C717" i="1"/>
  <c r="I716" i="1"/>
  <c r="H716" i="1"/>
  <c r="D716" i="1"/>
  <c r="C716" i="1"/>
  <c r="I715" i="1"/>
  <c r="H715" i="1"/>
  <c r="D715" i="1"/>
  <c r="C715" i="1"/>
  <c r="I714" i="1"/>
  <c r="H714" i="1"/>
  <c r="D714" i="1"/>
  <c r="C714" i="1"/>
  <c r="I713" i="1"/>
  <c r="H713" i="1"/>
  <c r="D713" i="1"/>
  <c r="C713" i="1"/>
  <c r="I712" i="1"/>
  <c r="H712" i="1"/>
  <c r="D712" i="1"/>
  <c r="C712" i="1"/>
  <c r="I711" i="1"/>
  <c r="H711" i="1"/>
  <c r="D711" i="1"/>
  <c r="C711" i="1"/>
  <c r="I710" i="1"/>
  <c r="H710" i="1"/>
  <c r="D710" i="1"/>
  <c r="C710" i="1"/>
  <c r="I709" i="1"/>
  <c r="H709" i="1"/>
  <c r="D709" i="1"/>
  <c r="C709" i="1"/>
  <c r="I708" i="1"/>
  <c r="H708" i="1"/>
  <c r="D708" i="1"/>
  <c r="C708" i="1"/>
  <c r="I707" i="1"/>
  <c r="H707" i="1"/>
  <c r="D707" i="1"/>
  <c r="C707" i="1"/>
  <c r="I706" i="1"/>
  <c r="H706" i="1"/>
  <c r="D706" i="1"/>
  <c r="C706" i="1"/>
  <c r="I705" i="1"/>
  <c r="H705" i="1"/>
  <c r="D705" i="1"/>
  <c r="C705" i="1"/>
  <c r="I704" i="1"/>
  <c r="H704" i="1"/>
  <c r="D704" i="1"/>
  <c r="C704" i="1"/>
  <c r="I703" i="1"/>
  <c r="H703" i="1"/>
  <c r="D703" i="1"/>
  <c r="C703" i="1"/>
  <c r="I702" i="1"/>
  <c r="H702" i="1"/>
  <c r="D702" i="1"/>
  <c r="C702" i="1"/>
  <c r="I701" i="1"/>
  <c r="H701" i="1"/>
  <c r="D701" i="1"/>
  <c r="C701" i="1"/>
  <c r="I700" i="1"/>
  <c r="H700" i="1"/>
  <c r="D700" i="1"/>
  <c r="C700" i="1"/>
  <c r="I699" i="1"/>
  <c r="H699" i="1"/>
  <c r="D699" i="1"/>
  <c r="C699" i="1"/>
  <c r="I698" i="1"/>
  <c r="H698" i="1"/>
  <c r="D698" i="1"/>
  <c r="C698" i="1"/>
  <c r="I697" i="1"/>
  <c r="H697" i="1"/>
  <c r="D697" i="1"/>
  <c r="C697" i="1"/>
  <c r="I696" i="1"/>
  <c r="H696" i="1"/>
  <c r="D696" i="1"/>
  <c r="C696" i="1"/>
  <c r="I695" i="1"/>
  <c r="H695" i="1"/>
  <c r="D695" i="1"/>
  <c r="C695" i="1"/>
  <c r="I694" i="1"/>
  <c r="H694" i="1"/>
  <c r="D694" i="1"/>
  <c r="C694" i="1"/>
  <c r="I693" i="1"/>
  <c r="H693" i="1"/>
  <c r="D693" i="1"/>
  <c r="C693" i="1"/>
  <c r="I692" i="1"/>
  <c r="H692" i="1"/>
  <c r="D692" i="1"/>
  <c r="C692" i="1"/>
  <c r="I691" i="1"/>
  <c r="H691" i="1"/>
  <c r="D691" i="1"/>
  <c r="C691" i="1"/>
  <c r="I690" i="1"/>
  <c r="H690" i="1"/>
  <c r="D690" i="1"/>
  <c r="C690" i="1"/>
  <c r="I689" i="1"/>
  <c r="H689" i="1"/>
  <c r="D689" i="1"/>
  <c r="C689" i="1"/>
  <c r="I688" i="1"/>
  <c r="H688" i="1"/>
  <c r="D688" i="1"/>
  <c r="C688" i="1"/>
  <c r="I687" i="1"/>
  <c r="H687" i="1"/>
  <c r="D687" i="1"/>
  <c r="C687" i="1"/>
  <c r="I686" i="1"/>
  <c r="H686" i="1"/>
  <c r="D686" i="1"/>
  <c r="C686" i="1"/>
  <c r="I685" i="1"/>
  <c r="H685" i="1"/>
  <c r="D685" i="1"/>
  <c r="C685" i="1"/>
  <c r="I684" i="1"/>
  <c r="H684" i="1"/>
  <c r="D684" i="1"/>
  <c r="C684" i="1"/>
  <c r="I683" i="1"/>
  <c r="H683" i="1"/>
  <c r="D683" i="1"/>
  <c r="C683" i="1"/>
  <c r="I682" i="1"/>
  <c r="H682" i="1"/>
  <c r="D682" i="1"/>
  <c r="C682" i="1"/>
  <c r="I681" i="1"/>
  <c r="H681" i="1"/>
  <c r="D681" i="1"/>
  <c r="C681" i="1"/>
  <c r="I680" i="1"/>
  <c r="H680" i="1"/>
  <c r="D680" i="1"/>
  <c r="C680" i="1"/>
  <c r="I679" i="1"/>
  <c r="H679" i="1"/>
  <c r="D679" i="1"/>
  <c r="C679" i="1"/>
  <c r="I678" i="1"/>
  <c r="H678" i="1"/>
  <c r="D678" i="1"/>
  <c r="C678" i="1"/>
  <c r="I677" i="1"/>
  <c r="H677" i="1"/>
  <c r="D677" i="1"/>
  <c r="C677" i="1"/>
  <c r="I676" i="1"/>
  <c r="H676" i="1"/>
  <c r="D676" i="1"/>
  <c r="C676" i="1"/>
  <c r="I675" i="1"/>
  <c r="H675" i="1"/>
  <c r="D675" i="1"/>
  <c r="C675" i="1"/>
  <c r="I674" i="1"/>
  <c r="H674" i="1"/>
  <c r="D674" i="1"/>
  <c r="C674" i="1"/>
  <c r="I673" i="1"/>
  <c r="H673" i="1"/>
  <c r="D673" i="1"/>
  <c r="C673" i="1"/>
  <c r="I672" i="1"/>
  <c r="H672" i="1"/>
  <c r="D672" i="1"/>
  <c r="C672" i="1"/>
  <c r="I671" i="1"/>
  <c r="H671" i="1"/>
  <c r="D671" i="1"/>
  <c r="C671" i="1"/>
  <c r="I670" i="1"/>
  <c r="H670" i="1"/>
  <c r="D670" i="1"/>
  <c r="C670" i="1"/>
  <c r="I669" i="1"/>
  <c r="H669" i="1"/>
  <c r="D669" i="1"/>
  <c r="C669" i="1"/>
  <c r="I668" i="1"/>
  <c r="H668" i="1"/>
  <c r="D668" i="1"/>
  <c r="C668" i="1"/>
  <c r="I667" i="1"/>
  <c r="H667" i="1"/>
  <c r="D667" i="1"/>
  <c r="C667" i="1"/>
  <c r="I666" i="1"/>
  <c r="H666" i="1"/>
  <c r="D666" i="1"/>
  <c r="C666" i="1"/>
  <c r="I665" i="1"/>
  <c r="H665" i="1"/>
  <c r="D665" i="1"/>
  <c r="C665" i="1"/>
  <c r="I664" i="1"/>
  <c r="H664" i="1"/>
  <c r="D664" i="1"/>
  <c r="C664" i="1"/>
  <c r="I663" i="1"/>
  <c r="H663" i="1"/>
  <c r="D663" i="1"/>
  <c r="C663" i="1"/>
  <c r="I662" i="1"/>
  <c r="H662" i="1"/>
  <c r="D662" i="1"/>
  <c r="C662" i="1"/>
  <c r="I661" i="1"/>
  <c r="H661" i="1"/>
  <c r="D661" i="1"/>
  <c r="C661" i="1"/>
  <c r="I660" i="1"/>
  <c r="H660" i="1"/>
  <c r="D660" i="1"/>
  <c r="C660" i="1"/>
  <c r="I659" i="1"/>
  <c r="H659" i="1"/>
  <c r="D659" i="1"/>
  <c r="C659" i="1"/>
  <c r="I658" i="1"/>
  <c r="H658" i="1"/>
  <c r="D658" i="1"/>
  <c r="C658" i="1"/>
  <c r="I657" i="1"/>
  <c r="H657" i="1"/>
  <c r="D657" i="1"/>
  <c r="C657" i="1"/>
  <c r="I656" i="1"/>
  <c r="H656" i="1"/>
  <c r="D656" i="1"/>
  <c r="C656" i="1"/>
  <c r="I655" i="1"/>
  <c r="H655" i="1"/>
  <c r="D655" i="1"/>
  <c r="C655" i="1"/>
  <c r="I654" i="1"/>
  <c r="H654" i="1"/>
  <c r="D654" i="1"/>
  <c r="C654" i="1"/>
  <c r="I653" i="1"/>
  <c r="H653" i="1"/>
  <c r="D653" i="1"/>
  <c r="C653" i="1"/>
  <c r="I652" i="1"/>
  <c r="H652" i="1"/>
  <c r="D652" i="1"/>
  <c r="C652" i="1"/>
  <c r="I651" i="1"/>
  <c r="H651" i="1"/>
  <c r="D651" i="1"/>
  <c r="C651" i="1"/>
  <c r="I650" i="1"/>
  <c r="H650" i="1"/>
  <c r="D650" i="1"/>
  <c r="C650" i="1"/>
  <c r="I649" i="1"/>
  <c r="H649" i="1"/>
  <c r="D649" i="1"/>
  <c r="C649" i="1"/>
  <c r="I648" i="1"/>
  <c r="H648" i="1"/>
  <c r="D648" i="1"/>
  <c r="C648" i="1"/>
  <c r="I647" i="1"/>
  <c r="H647" i="1"/>
  <c r="D647" i="1"/>
  <c r="C647" i="1"/>
  <c r="I646" i="1"/>
  <c r="H646" i="1"/>
  <c r="D646" i="1"/>
  <c r="C646" i="1"/>
  <c r="I645" i="1"/>
  <c r="H645" i="1"/>
  <c r="D645" i="1"/>
  <c r="C645" i="1"/>
  <c r="I644" i="1"/>
  <c r="H644" i="1"/>
  <c r="D644" i="1"/>
  <c r="C644" i="1"/>
  <c r="I643" i="1"/>
  <c r="H643" i="1"/>
  <c r="D643" i="1"/>
  <c r="C643" i="1"/>
  <c r="I642" i="1"/>
  <c r="H642" i="1"/>
  <c r="D642" i="1"/>
  <c r="C642" i="1"/>
  <c r="I641" i="1"/>
  <c r="H641" i="1"/>
  <c r="D641" i="1"/>
  <c r="C641" i="1"/>
  <c r="I640" i="1"/>
  <c r="H640" i="1"/>
  <c r="D640" i="1"/>
  <c r="C640" i="1"/>
  <c r="I639" i="1"/>
  <c r="H639" i="1"/>
  <c r="D639" i="1"/>
  <c r="C639" i="1"/>
  <c r="I638" i="1"/>
  <c r="H638" i="1"/>
  <c r="D638" i="1"/>
  <c r="C638" i="1"/>
  <c r="I637" i="1"/>
  <c r="H637" i="1"/>
  <c r="D637" i="1"/>
  <c r="C637" i="1"/>
  <c r="I636" i="1"/>
  <c r="H636" i="1"/>
  <c r="D636" i="1"/>
  <c r="C636" i="1"/>
  <c r="I635" i="1"/>
  <c r="H635" i="1"/>
  <c r="D635" i="1"/>
  <c r="C635" i="1"/>
  <c r="I634" i="1"/>
  <c r="H634" i="1"/>
  <c r="D634" i="1"/>
  <c r="C634" i="1"/>
  <c r="I633" i="1"/>
  <c r="H633" i="1"/>
  <c r="D633" i="1"/>
  <c r="C633" i="1"/>
  <c r="I632" i="1"/>
  <c r="H632" i="1"/>
  <c r="D632" i="1"/>
  <c r="C632" i="1"/>
  <c r="I631" i="1"/>
  <c r="H631" i="1"/>
  <c r="D631" i="1"/>
  <c r="C631" i="1"/>
  <c r="I630" i="1"/>
  <c r="H630" i="1"/>
  <c r="D630" i="1"/>
  <c r="C630" i="1"/>
  <c r="I629" i="1"/>
  <c r="H629" i="1"/>
  <c r="D629" i="1"/>
  <c r="C629" i="1"/>
  <c r="I628" i="1"/>
  <c r="H628" i="1"/>
  <c r="D628" i="1"/>
  <c r="C628" i="1"/>
  <c r="I627" i="1"/>
  <c r="H627" i="1"/>
  <c r="D627" i="1"/>
  <c r="C627" i="1"/>
  <c r="I626" i="1"/>
  <c r="H626" i="1"/>
  <c r="D626" i="1"/>
  <c r="C626" i="1"/>
  <c r="I625" i="1"/>
  <c r="H625" i="1"/>
  <c r="D625" i="1"/>
  <c r="C625" i="1"/>
  <c r="I624" i="1"/>
  <c r="H624" i="1"/>
  <c r="D624" i="1"/>
  <c r="C624" i="1"/>
  <c r="I623" i="1"/>
  <c r="H623" i="1"/>
  <c r="D623" i="1"/>
  <c r="C623" i="1"/>
  <c r="I622" i="1"/>
  <c r="H622" i="1"/>
  <c r="D622" i="1"/>
  <c r="C622" i="1"/>
  <c r="I621" i="1"/>
  <c r="H621" i="1"/>
  <c r="D621" i="1"/>
  <c r="C621" i="1"/>
  <c r="I620" i="1"/>
  <c r="H620" i="1"/>
  <c r="D620" i="1"/>
  <c r="C620" i="1"/>
  <c r="I619" i="1"/>
  <c r="H619" i="1"/>
  <c r="D619" i="1"/>
  <c r="C619" i="1"/>
  <c r="I618" i="1"/>
  <c r="H618" i="1"/>
  <c r="D618" i="1"/>
  <c r="C618" i="1"/>
  <c r="I617" i="1"/>
  <c r="H617" i="1"/>
  <c r="D617" i="1"/>
  <c r="C617" i="1"/>
  <c r="I616" i="1"/>
  <c r="H616" i="1"/>
  <c r="D616" i="1"/>
  <c r="C616" i="1"/>
  <c r="I615" i="1"/>
  <c r="H615" i="1"/>
  <c r="D615" i="1"/>
  <c r="C615" i="1"/>
  <c r="I614" i="1"/>
  <c r="H614" i="1"/>
  <c r="D614" i="1"/>
  <c r="C614" i="1"/>
  <c r="I613" i="1"/>
  <c r="H613" i="1"/>
  <c r="D613" i="1"/>
  <c r="C613" i="1"/>
  <c r="I612" i="1"/>
  <c r="H612" i="1"/>
  <c r="D612" i="1"/>
  <c r="C612" i="1"/>
  <c r="I611" i="1"/>
  <c r="H611" i="1"/>
  <c r="D611" i="1"/>
  <c r="C611" i="1"/>
  <c r="I610" i="1"/>
  <c r="H610" i="1"/>
  <c r="D610" i="1"/>
  <c r="C610" i="1"/>
  <c r="I609" i="1"/>
  <c r="H609" i="1"/>
  <c r="D609" i="1"/>
  <c r="C609" i="1"/>
  <c r="I608" i="1"/>
  <c r="H608" i="1"/>
  <c r="D608" i="1"/>
  <c r="C608" i="1"/>
  <c r="I607" i="1"/>
  <c r="H607" i="1"/>
  <c r="D607" i="1"/>
  <c r="C607" i="1"/>
  <c r="I606" i="1"/>
  <c r="H606" i="1"/>
  <c r="D606" i="1"/>
  <c r="C606" i="1"/>
  <c r="I605" i="1"/>
  <c r="H605" i="1"/>
  <c r="D605" i="1"/>
  <c r="C605" i="1"/>
  <c r="I604" i="1"/>
  <c r="H604" i="1"/>
  <c r="D604" i="1"/>
  <c r="C604" i="1"/>
  <c r="I603" i="1"/>
  <c r="H603" i="1"/>
  <c r="D603" i="1"/>
  <c r="C603" i="1"/>
  <c r="I602" i="1"/>
  <c r="H602" i="1"/>
  <c r="D602" i="1"/>
  <c r="C602" i="1"/>
  <c r="I601" i="1"/>
  <c r="H601" i="1"/>
  <c r="D601" i="1"/>
  <c r="C601" i="1"/>
  <c r="I600" i="1"/>
  <c r="H600" i="1"/>
  <c r="D600" i="1"/>
  <c r="C600" i="1"/>
  <c r="I599" i="1"/>
  <c r="H599" i="1"/>
  <c r="D599" i="1"/>
  <c r="C599" i="1"/>
  <c r="I598" i="1"/>
  <c r="H598" i="1"/>
  <c r="D598" i="1"/>
  <c r="C598" i="1"/>
  <c r="I597" i="1"/>
  <c r="H597" i="1"/>
  <c r="D597" i="1"/>
  <c r="C597" i="1"/>
  <c r="I596" i="1"/>
  <c r="H596" i="1"/>
  <c r="D596" i="1"/>
  <c r="C596" i="1"/>
  <c r="I595" i="1"/>
  <c r="H595" i="1"/>
  <c r="D595" i="1"/>
  <c r="C595" i="1"/>
  <c r="I594" i="1"/>
  <c r="H594" i="1"/>
  <c r="D594" i="1"/>
  <c r="C594" i="1"/>
  <c r="I593" i="1"/>
  <c r="H593" i="1"/>
  <c r="D593" i="1"/>
  <c r="C593" i="1"/>
  <c r="I592" i="1"/>
  <c r="H592" i="1"/>
  <c r="D592" i="1"/>
  <c r="C592" i="1"/>
  <c r="I591" i="1"/>
  <c r="H591" i="1"/>
  <c r="D591" i="1"/>
  <c r="C591" i="1"/>
  <c r="I590" i="1"/>
  <c r="H590" i="1"/>
  <c r="D590" i="1"/>
  <c r="C590" i="1"/>
  <c r="I589" i="1"/>
  <c r="H589" i="1"/>
  <c r="D589" i="1"/>
  <c r="C589" i="1"/>
  <c r="I588" i="1"/>
  <c r="H588" i="1"/>
  <c r="D588" i="1"/>
  <c r="C588" i="1"/>
  <c r="I587" i="1"/>
  <c r="H587" i="1"/>
  <c r="D587" i="1"/>
  <c r="C587" i="1"/>
  <c r="I586" i="1"/>
  <c r="H586" i="1"/>
  <c r="D586" i="1"/>
  <c r="C586" i="1"/>
  <c r="I585" i="1"/>
  <c r="H585" i="1"/>
  <c r="D585" i="1"/>
  <c r="C585" i="1"/>
  <c r="I584" i="1"/>
  <c r="H584" i="1"/>
  <c r="D584" i="1"/>
  <c r="C584" i="1"/>
  <c r="I583" i="1"/>
  <c r="H583" i="1"/>
  <c r="D583" i="1"/>
  <c r="C583" i="1"/>
  <c r="I582" i="1"/>
  <c r="H582" i="1"/>
  <c r="D582" i="1"/>
  <c r="C582" i="1"/>
  <c r="I581" i="1"/>
  <c r="H581" i="1"/>
  <c r="D581" i="1"/>
  <c r="C581" i="1"/>
  <c r="I580" i="1"/>
  <c r="H580" i="1"/>
  <c r="D580" i="1"/>
  <c r="C580" i="1"/>
  <c r="I579" i="1"/>
  <c r="H579" i="1"/>
  <c r="D579" i="1"/>
  <c r="C579" i="1"/>
  <c r="I578" i="1"/>
  <c r="H578" i="1"/>
  <c r="D578" i="1"/>
  <c r="C578" i="1"/>
  <c r="I577" i="1"/>
  <c r="H577" i="1"/>
  <c r="D577" i="1"/>
  <c r="C577" i="1"/>
  <c r="I576" i="1"/>
  <c r="H576" i="1"/>
  <c r="D576" i="1"/>
  <c r="C576" i="1"/>
  <c r="I575" i="1"/>
  <c r="H575" i="1"/>
  <c r="D575" i="1"/>
  <c r="C575" i="1"/>
  <c r="I574" i="1"/>
  <c r="H574" i="1"/>
  <c r="D574" i="1"/>
  <c r="C574" i="1"/>
  <c r="I573" i="1"/>
  <c r="H573" i="1"/>
  <c r="D573" i="1"/>
  <c r="C573" i="1"/>
  <c r="I572" i="1"/>
  <c r="H572" i="1"/>
  <c r="D572" i="1"/>
  <c r="C572" i="1"/>
  <c r="I571" i="1"/>
  <c r="H571" i="1"/>
  <c r="D571" i="1"/>
  <c r="C571" i="1"/>
  <c r="I570" i="1"/>
  <c r="H570" i="1"/>
  <c r="D570" i="1"/>
  <c r="C570" i="1"/>
  <c r="I569" i="1"/>
  <c r="H569" i="1"/>
  <c r="D569" i="1"/>
  <c r="C569" i="1"/>
  <c r="I568" i="1"/>
  <c r="H568" i="1"/>
  <c r="D568" i="1"/>
  <c r="C568" i="1"/>
  <c r="I567" i="1"/>
  <c r="H567" i="1"/>
  <c r="D567" i="1"/>
  <c r="C567" i="1"/>
  <c r="I566" i="1"/>
  <c r="H566" i="1"/>
  <c r="D566" i="1"/>
  <c r="C566" i="1"/>
  <c r="I565" i="1"/>
  <c r="H565" i="1"/>
  <c r="D565" i="1"/>
  <c r="C565" i="1"/>
  <c r="I564" i="1"/>
  <c r="H564" i="1"/>
  <c r="D564" i="1"/>
  <c r="C564" i="1"/>
  <c r="I563" i="1"/>
  <c r="H563" i="1"/>
  <c r="D563" i="1"/>
  <c r="C563" i="1"/>
  <c r="I562" i="1"/>
  <c r="H562" i="1"/>
  <c r="D562" i="1"/>
  <c r="C562" i="1"/>
  <c r="I561" i="1"/>
  <c r="H561" i="1"/>
  <c r="D561" i="1"/>
  <c r="C561" i="1"/>
  <c r="I560" i="1"/>
  <c r="H560" i="1"/>
  <c r="D560" i="1"/>
  <c r="C560" i="1"/>
  <c r="I559" i="1"/>
  <c r="H559" i="1"/>
  <c r="D559" i="1"/>
  <c r="C559" i="1"/>
  <c r="I558" i="1"/>
  <c r="H558" i="1"/>
  <c r="D558" i="1"/>
  <c r="C558" i="1"/>
  <c r="I557" i="1"/>
  <c r="H557" i="1"/>
  <c r="D557" i="1"/>
  <c r="C557" i="1"/>
  <c r="I556" i="1"/>
  <c r="H556" i="1"/>
  <c r="D556" i="1"/>
  <c r="C556" i="1"/>
  <c r="I555" i="1"/>
  <c r="H555" i="1"/>
  <c r="D555" i="1"/>
  <c r="C555" i="1"/>
  <c r="I554" i="1"/>
  <c r="H554" i="1"/>
  <c r="D554" i="1"/>
  <c r="C554" i="1"/>
  <c r="I553" i="1"/>
  <c r="H553" i="1"/>
  <c r="D553" i="1"/>
  <c r="C553" i="1"/>
  <c r="I552" i="1"/>
  <c r="H552" i="1"/>
  <c r="D552" i="1"/>
  <c r="C552" i="1"/>
  <c r="I551" i="1"/>
  <c r="H551" i="1"/>
  <c r="D551" i="1"/>
  <c r="C551" i="1"/>
  <c r="I550" i="1"/>
  <c r="H550" i="1"/>
  <c r="D550" i="1"/>
  <c r="C550" i="1"/>
  <c r="I549" i="1"/>
  <c r="H549" i="1"/>
  <c r="D549" i="1"/>
  <c r="C549" i="1"/>
  <c r="I548" i="1"/>
  <c r="H548" i="1"/>
  <c r="D548" i="1"/>
  <c r="C548" i="1"/>
  <c r="I547" i="1"/>
  <c r="H547" i="1"/>
  <c r="D547" i="1"/>
  <c r="C547" i="1"/>
  <c r="I546" i="1"/>
  <c r="H546" i="1"/>
  <c r="D546" i="1"/>
  <c r="C546" i="1"/>
  <c r="I545" i="1"/>
  <c r="H545" i="1"/>
  <c r="D545" i="1"/>
  <c r="C545" i="1"/>
  <c r="I544" i="1"/>
  <c r="H544" i="1"/>
  <c r="D544" i="1"/>
  <c r="C544" i="1"/>
  <c r="I543" i="1"/>
  <c r="H543" i="1"/>
  <c r="D543" i="1"/>
  <c r="C543" i="1"/>
  <c r="I542" i="1"/>
  <c r="H542" i="1"/>
  <c r="D542" i="1"/>
  <c r="C542" i="1"/>
  <c r="I541" i="1"/>
  <c r="H541" i="1"/>
  <c r="D541" i="1"/>
  <c r="C541" i="1"/>
  <c r="I540" i="1"/>
  <c r="H540" i="1"/>
  <c r="D540" i="1"/>
  <c r="C540" i="1"/>
  <c r="I539" i="1"/>
  <c r="H539" i="1"/>
  <c r="D539" i="1"/>
  <c r="C539" i="1"/>
  <c r="I538" i="1"/>
  <c r="H538" i="1"/>
  <c r="D538" i="1"/>
  <c r="C538" i="1"/>
  <c r="I537" i="1"/>
  <c r="H537" i="1"/>
  <c r="D537" i="1"/>
  <c r="C537" i="1"/>
  <c r="I536" i="1"/>
  <c r="H536" i="1"/>
  <c r="D536" i="1"/>
  <c r="C536" i="1"/>
  <c r="I535" i="1"/>
  <c r="H535" i="1"/>
  <c r="D535" i="1"/>
  <c r="C535" i="1"/>
  <c r="I534" i="1"/>
  <c r="H534" i="1"/>
  <c r="D534" i="1"/>
  <c r="C534" i="1"/>
  <c r="I533" i="1"/>
  <c r="H533" i="1"/>
  <c r="D533" i="1"/>
  <c r="C533" i="1"/>
  <c r="I532" i="1"/>
  <c r="H532" i="1"/>
  <c r="D532" i="1"/>
  <c r="C532" i="1"/>
  <c r="I531" i="1"/>
  <c r="H531" i="1"/>
  <c r="D531" i="1"/>
  <c r="C531" i="1"/>
  <c r="I530" i="1"/>
  <c r="H530" i="1"/>
  <c r="D530" i="1"/>
  <c r="C530" i="1"/>
  <c r="I529" i="1"/>
  <c r="H529" i="1"/>
  <c r="D529" i="1"/>
  <c r="C529" i="1"/>
  <c r="I528" i="1"/>
  <c r="H528" i="1"/>
  <c r="D528" i="1"/>
  <c r="C528" i="1"/>
  <c r="I527" i="1"/>
  <c r="H527" i="1"/>
  <c r="D527" i="1"/>
  <c r="C527" i="1"/>
  <c r="I526" i="1"/>
  <c r="H526" i="1"/>
  <c r="D526" i="1"/>
  <c r="C526" i="1"/>
  <c r="I525" i="1"/>
  <c r="H525" i="1"/>
  <c r="D525" i="1"/>
  <c r="C525" i="1"/>
  <c r="I524" i="1"/>
  <c r="H524" i="1"/>
  <c r="D524" i="1"/>
  <c r="C524" i="1"/>
  <c r="I523" i="1"/>
  <c r="H523" i="1"/>
  <c r="D523" i="1"/>
  <c r="C523" i="1"/>
  <c r="I522" i="1"/>
  <c r="H522" i="1"/>
  <c r="D522" i="1"/>
  <c r="C522" i="1"/>
  <c r="I521" i="1"/>
  <c r="H521" i="1"/>
  <c r="D521" i="1"/>
  <c r="C521" i="1"/>
  <c r="I520" i="1"/>
  <c r="H520" i="1"/>
  <c r="D520" i="1"/>
  <c r="C520" i="1"/>
  <c r="I519" i="1"/>
  <c r="H519" i="1"/>
  <c r="D519" i="1"/>
  <c r="C519" i="1"/>
  <c r="I518" i="1"/>
  <c r="H518" i="1"/>
  <c r="D518" i="1"/>
  <c r="C518" i="1"/>
  <c r="I517" i="1"/>
  <c r="H517" i="1"/>
  <c r="D517" i="1"/>
  <c r="C517" i="1"/>
  <c r="I516" i="1"/>
  <c r="H516" i="1"/>
  <c r="D516" i="1"/>
  <c r="C516" i="1"/>
  <c r="I515" i="1"/>
  <c r="H515" i="1"/>
  <c r="D515" i="1"/>
  <c r="C515" i="1"/>
  <c r="I514" i="1"/>
  <c r="H514" i="1"/>
  <c r="D514" i="1"/>
  <c r="C514" i="1"/>
  <c r="I513" i="1"/>
  <c r="H513" i="1"/>
  <c r="D513" i="1"/>
  <c r="C513" i="1"/>
  <c r="I512" i="1"/>
  <c r="H512" i="1"/>
  <c r="D512" i="1"/>
  <c r="C512" i="1"/>
  <c r="I511" i="1"/>
  <c r="H511" i="1"/>
  <c r="D511" i="1"/>
  <c r="C511" i="1"/>
  <c r="I510" i="1"/>
  <c r="H510" i="1"/>
  <c r="D510" i="1"/>
  <c r="C510" i="1"/>
  <c r="I509" i="1"/>
  <c r="H509" i="1"/>
  <c r="D509" i="1"/>
  <c r="C509" i="1"/>
  <c r="I508" i="1"/>
  <c r="H508" i="1"/>
  <c r="D508" i="1"/>
  <c r="C508" i="1"/>
  <c r="I507" i="1"/>
  <c r="H507" i="1"/>
  <c r="D507" i="1"/>
  <c r="C507" i="1"/>
  <c r="I506" i="1"/>
  <c r="H506" i="1"/>
  <c r="D506" i="1"/>
  <c r="C506" i="1"/>
  <c r="I505" i="1"/>
  <c r="H505" i="1"/>
  <c r="D505" i="1"/>
  <c r="C505" i="1"/>
  <c r="I504" i="1"/>
  <c r="H504" i="1"/>
  <c r="D504" i="1"/>
  <c r="C504" i="1"/>
  <c r="I503" i="1"/>
  <c r="H503" i="1"/>
  <c r="D503" i="1"/>
  <c r="C503" i="1"/>
  <c r="I502" i="1"/>
  <c r="H502" i="1"/>
  <c r="D502" i="1"/>
  <c r="C502" i="1"/>
  <c r="I501" i="1"/>
  <c r="H501" i="1"/>
  <c r="D501" i="1"/>
  <c r="C501" i="1"/>
  <c r="I500" i="1"/>
  <c r="H500" i="1"/>
  <c r="D500" i="1"/>
  <c r="C500" i="1"/>
  <c r="I499" i="1"/>
  <c r="H499" i="1"/>
  <c r="D499" i="1"/>
  <c r="C499" i="1"/>
  <c r="I498" i="1"/>
  <c r="H498" i="1"/>
  <c r="D498" i="1"/>
  <c r="C498" i="1"/>
  <c r="I497" i="1"/>
  <c r="H497" i="1"/>
  <c r="D497" i="1"/>
  <c r="C497" i="1"/>
  <c r="I496" i="1"/>
  <c r="H496" i="1"/>
  <c r="D496" i="1"/>
  <c r="C496" i="1"/>
  <c r="I495" i="1"/>
  <c r="H495" i="1"/>
  <c r="D495" i="1"/>
  <c r="C495" i="1"/>
  <c r="I494" i="1"/>
  <c r="H494" i="1"/>
  <c r="D494" i="1"/>
  <c r="C494" i="1"/>
  <c r="I493" i="1"/>
  <c r="H493" i="1"/>
  <c r="D493" i="1"/>
  <c r="C493" i="1"/>
  <c r="I492" i="1"/>
  <c r="H492" i="1"/>
  <c r="D492" i="1"/>
  <c r="C492" i="1"/>
  <c r="I491" i="1"/>
  <c r="H491" i="1"/>
  <c r="D491" i="1"/>
  <c r="C491" i="1"/>
  <c r="I490" i="1"/>
  <c r="H490" i="1"/>
  <c r="D490" i="1"/>
  <c r="C490" i="1"/>
  <c r="I489" i="1"/>
  <c r="H489" i="1"/>
  <c r="D489" i="1"/>
  <c r="C489" i="1"/>
  <c r="I488" i="1"/>
  <c r="H488" i="1"/>
  <c r="D488" i="1"/>
  <c r="C488" i="1"/>
  <c r="I487" i="1"/>
  <c r="H487" i="1"/>
  <c r="D487" i="1"/>
  <c r="C487" i="1"/>
  <c r="I486" i="1"/>
  <c r="H486" i="1"/>
  <c r="D486" i="1"/>
  <c r="C486" i="1"/>
  <c r="I485" i="1"/>
  <c r="H485" i="1"/>
  <c r="D485" i="1"/>
  <c r="C485" i="1"/>
  <c r="I484" i="1"/>
  <c r="H484" i="1"/>
  <c r="D484" i="1"/>
  <c r="C484" i="1"/>
  <c r="I483" i="1"/>
  <c r="H483" i="1"/>
  <c r="D483" i="1"/>
  <c r="C483" i="1"/>
  <c r="I482" i="1"/>
  <c r="H482" i="1"/>
  <c r="D482" i="1"/>
  <c r="C482" i="1"/>
  <c r="I481" i="1"/>
  <c r="H481" i="1"/>
  <c r="D481" i="1"/>
  <c r="C481" i="1"/>
  <c r="I480" i="1"/>
  <c r="H480" i="1"/>
  <c r="D480" i="1"/>
  <c r="C480" i="1"/>
  <c r="I479" i="1"/>
  <c r="H479" i="1"/>
  <c r="D479" i="1"/>
  <c r="C479" i="1"/>
  <c r="I478" i="1"/>
  <c r="H478" i="1"/>
  <c r="D478" i="1"/>
  <c r="C478" i="1"/>
  <c r="I477" i="1"/>
  <c r="H477" i="1"/>
  <c r="D477" i="1"/>
  <c r="C477" i="1"/>
  <c r="I476" i="1"/>
  <c r="H476" i="1"/>
  <c r="D476" i="1"/>
  <c r="C476" i="1"/>
  <c r="I475" i="1"/>
  <c r="H475" i="1"/>
  <c r="D475" i="1"/>
  <c r="C475" i="1"/>
  <c r="I474" i="1"/>
  <c r="H474" i="1"/>
  <c r="D474" i="1"/>
  <c r="C474" i="1"/>
  <c r="I473" i="1"/>
  <c r="H473" i="1"/>
  <c r="D473" i="1"/>
  <c r="C473" i="1"/>
  <c r="I472" i="1"/>
  <c r="H472" i="1"/>
  <c r="D472" i="1"/>
  <c r="C472" i="1"/>
  <c r="I471" i="1"/>
  <c r="H471" i="1"/>
  <c r="D471" i="1"/>
  <c r="C471" i="1"/>
  <c r="I470" i="1"/>
  <c r="H470" i="1"/>
  <c r="D470" i="1"/>
  <c r="C470" i="1"/>
  <c r="I469" i="1"/>
  <c r="H469" i="1"/>
  <c r="D469" i="1"/>
  <c r="C469" i="1"/>
  <c r="I468" i="1"/>
  <c r="H468" i="1"/>
  <c r="D468" i="1"/>
  <c r="C468" i="1"/>
  <c r="I467" i="1"/>
  <c r="H467" i="1"/>
  <c r="D467" i="1"/>
  <c r="C467" i="1"/>
  <c r="I466" i="1"/>
  <c r="H466" i="1"/>
  <c r="D466" i="1"/>
  <c r="C466" i="1"/>
  <c r="I465" i="1"/>
  <c r="H465" i="1"/>
  <c r="D465" i="1"/>
  <c r="C465" i="1"/>
  <c r="I464" i="1"/>
  <c r="H464" i="1"/>
  <c r="D464" i="1"/>
  <c r="C464" i="1"/>
  <c r="I463" i="1"/>
  <c r="H463" i="1"/>
  <c r="D463" i="1"/>
  <c r="C463" i="1"/>
  <c r="I462" i="1"/>
  <c r="H462" i="1"/>
  <c r="D462" i="1"/>
  <c r="C462" i="1"/>
  <c r="I461" i="1"/>
  <c r="H461" i="1"/>
  <c r="D461" i="1"/>
  <c r="C461" i="1"/>
  <c r="I460" i="1"/>
  <c r="H460" i="1"/>
  <c r="D460" i="1"/>
  <c r="C460" i="1"/>
  <c r="I459" i="1"/>
  <c r="H459" i="1"/>
  <c r="D459" i="1"/>
  <c r="C459" i="1"/>
  <c r="I458" i="1"/>
  <c r="H458" i="1"/>
  <c r="D458" i="1"/>
  <c r="C458" i="1"/>
  <c r="I457" i="1"/>
  <c r="H457" i="1"/>
  <c r="D457" i="1"/>
  <c r="C457" i="1"/>
  <c r="I456" i="1"/>
  <c r="H456" i="1"/>
  <c r="D456" i="1"/>
  <c r="C456" i="1"/>
  <c r="I455" i="1"/>
  <c r="H455" i="1"/>
  <c r="D455" i="1"/>
  <c r="C455" i="1"/>
  <c r="I454" i="1"/>
  <c r="H454" i="1"/>
  <c r="D454" i="1"/>
  <c r="C454" i="1"/>
  <c r="I453" i="1"/>
  <c r="H453" i="1"/>
  <c r="D453" i="1"/>
  <c r="C453" i="1"/>
  <c r="I452" i="1"/>
  <c r="H452" i="1"/>
  <c r="D452" i="1"/>
  <c r="C452" i="1"/>
  <c r="I451" i="1"/>
  <c r="H451" i="1"/>
  <c r="D451" i="1"/>
  <c r="C451" i="1"/>
  <c r="I450" i="1"/>
  <c r="H450" i="1"/>
  <c r="D450" i="1"/>
  <c r="C450" i="1"/>
  <c r="I449" i="1"/>
  <c r="H449" i="1"/>
  <c r="D449" i="1"/>
  <c r="C449" i="1"/>
  <c r="I448" i="1"/>
  <c r="H448" i="1"/>
  <c r="D448" i="1"/>
  <c r="C448" i="1"/>
  <c r="I447" i="1"/>
  <c r="H447" i="1"/>
  <c r="D447" i="1"/>
  <c r="C447" i="1"/>
  <c r="I446" i="1"/>
  <c r="H446" i="1"/>
  <c r="D446" i="1"/>
  <c r="C446" i="1"/>
  <c r="I445" i="1"/>
  <c r="H445" i="1"/>
  <c r="D445" i="1"/>
  <c r="C445" i="1"/>
  <c r="I444" i="1"/>
  <c r="H444" i="1"/>
  <c r="D444" i="1"/>
  <c r="C444" i="1"/>
  <c r="I443" i="1"/>
  <c r="H443" i="1"/>
  <c r="D443" i="1"/>
  <c r="C443" i="1"/>
  <c r="I442" i="1"/>
  <c r="H442" i="1"/>
  <c r="D442" i="1"/>
  <c r="C442" i="1"/>
  <c r="I441" i="1"/>
  <c r="H441" i="1"/>
  <c r="D441" i="1"/>
  <c r="C441" i="1"/>
  <c r="I440" i="1"/>
  <c r="H440" i="1"/>
  <c r="D440" i="1"/>
  <c r="C440" i="1"/>
  <c r="I439" i="1"/>
  <c r="H439" i="1"/>
  <c r="D439" i="1"/>
  <c r="C439" i="1"/>
  <c r="I438" i="1"/>
  <c r="H438" i="1"/>
  <c r="D438" i="1"/>
  <c r="C438" i="1"/>
  <c r="I437" i="1"/>
  <c r="H437" i="1"/>
  <c r="D437" i="1"/>
  <c r="C437" i="1"/>
  <c r="I436" i="1"/>
  <c r="H436" i="1"/>
  <c r="D436" i="1"/>
  <c r="C436" i="1"/>
  <c r="I435" i="1"/>
  <c r="H435" i="1"/>
  <c r="D435" i="1"/>
  <c r="C435" i="1"/>
  <c r="I434" i="1"/>
  <c r="H434" i="1"/>
  <c r="D434" i="1"/>
  <c r="C434" i="1"/>
  <c r="I433" i="1"/>
  <c r="H433" i="1"/>
  <c r="D433" i="1"/>
  <c r="C433" i="1"/>
  <c r="I432" i="1"/>
  <c r="H432" i="1"/>
  <c r="D432" i="1"/>
  <c r="C432" i="1"/>
  <c r="I431" i="1"/>
  <c r="H431" i="1"/>
  <c r="D431" i="1"/>
  <c r="C431" i="1"/>
  <c r="I430" i="1"/>
  <c r="H430" i="1"/>
  <c r="D430" i="1"/>
  <c r="C430" i="1"/>
  <c r="I429" i="1"/>
  <c r="H429" i="1"/>
  <c r="D429" i="1"/>
  <c r="C429" i="1"/>
  <c r="I428" i="1"/>
  <c r="H428" i="1"/>
  <c r="D428" i="1"/>
  <c r="C428" i="1"/>
  <c r="I427" i="1"/>
  <c r="H427" i="1"/>
  <c r="D427" i="1"/>
  <c r="C427" i="1"/>
  <c r="I426" i="1"/>
  <c r="H426" i="1"/>
  <c r="D426" i="1"/>
  <c r="C426" i="1"/>
  <c r="I425" i="1"/>
  <c r="H425" i="1"/>
  <c r="D425" i="1"/>
  <c r="C425" i="1"/>
  <c r="I424" i="1"/>
  <c r="H424" i="1"/>
  <c r="D424" i="1"/>
  <c r="C424" i="1"/>
  <c r="I423" i="1"/>
  <c r="H423" i="1"/>
  <c r="D423" i="1"/>
  <c r="C423" i="1"/>
  <c r="I422" i="1"/>
  <c r="H422" i="1"/>
  <c r="D422" i="1"/>
  <c r="C422" i="1"/>
  <c r="I421" i="1"/>
  <c r="H421" i="1"/>
  <c r="D421" i="1"/>
  <c r="C421" i="1"/>
  <c r="I420" i="1"/>
  <c r="H420" i="1"/>
  <c r="D420" i="1"/>
  <c r="C420" i="1"/>
  <c r="I419" i="1"/>
  <c r="H419" i="1"/>
  <c r="D419" i="1"/>
  <c r="C419" i="1"/>
  <c r="I418" i="1"/>
  <c r="H418" i="1"/>
  <c r="D418" i="1"/>
  <c r="C418" i="1"/>
  <c r="I417" i="1"/>
  <c r="H417" i="1"/>
  <c r="D417" i="1"/>
  <c r="C417" i="1"/>
  <c r="I416" i="1"/>
  <c r="H416" i="1"/>
  <c r="D416" i="1"/>
  <c r="C416" i="1"/>
  <c r="I415" i="1"/>
  <c r="H415" i="1"/>
  <c r="D415" i="1"/>
  <c r="C415" i="1"/>
  <c r="I414" i="1"/>
  <c r="H414" i="1"/>
  <c r="D414" i="1"/>
  <c r="C414" i="1"/>
  <c r="I413" i="1"/>
  <c r="H413" i="1"/>
  <c r="D413" i="1"/>
  <c r="C413" i="1"/>
  <c r="I412" i="1"/>
  <c r="H412" i="1"/>
  <c r="D412" i="1"/>
  <c r="C412" i="1"/>
  <c r="I411" i="1"/>
  <c r="H411" i="1"/>
  <c r="D411" i="1"/>
  <c r="C411" i="1"/>
  <c r="I410" i="1"/>
  <c r="H410" i="1"/>
  <c r="D410" i="1"/>
  <c r="C410" i="1"/>
  <c r="I409" i="1"/>
  <c r="H409" i="1"/>
  <c r="D409" i="1"/>
  <c r="C409" i="1"/>
  <c r="I408" i="1"/>
  <c r="H408" i="1"/>
  <c r="D408" i="1"/>
  <c r="C408" i="1"/>
  <c r="I407" i="1"/>
  <c r="H407" i="1"/>
  <c r="D407" i="1"/>
  <c r="C407" i="1"/>
  <c r="I406" i="1"/>
  <c r="H406" i="1"/>
  <c r="D406" i="1"/>
  <c r="C406" i="1"/>
  <c r="I405" i="1"/>
  <c r="H405" i="1"/>
  <c r="D405" i="1"/>
  <c r="C405" i="1"/>
  <c r="I404" i="1"/>
  <c r="H404" i="1"/>
  <c r="D404" i="1"/>
  <c r="C404" i="1"/>
  <c r="I403" i="1"/>
  <c r="H403" i="1"/>
  <c r="D403" i="1"/>
  <c r="C403" i="1"/>
  <c r="I402" i="1"/>
  <c r="H402" i="1"/>
  <c r="D402" i="1"/>
  <c r="C402" i="1"/>
  <c r="I401" i="1"/>
  <c r="H401" i="1"/>
  <c r="D401" i="1"/>
  <c r="C401" i="1"/>
  <c r="I400" i="1"/>
  <c r="H400" i="1"/>
  <c r="D400" i="1"/>
  <c r="C400" i="1"/>
  <c r="I399" i="1"/>
  <c r="H399" i="1"/>
  <c r="D399" i="1"/>
  <c r="C399" i="1"/>
  <c r="I398" i="1"/>
  <c r="H398" i="1"/>
  <c r="D398" i="1"/>
  <c r="C398" i="1"/>
  <c r="I397" i="1"/>
  <c r="H397" i="1"/>
  <c r="D397" i="1"/>
  <c r="C397" i="1"/>
  <c r="I396" i="1"/>
  <c r="H396" i="1"/>
  <c r="D396" i="1"/>
  <c r="C396" i="1"/>
  <c r="I395" i="1"/>
  <c r="H395" i="1"/>
  <c r="D395" i="1"/>
  <c r="C395" i="1"/>
  <c r="I394" i="1"/>
  <c r="H394" i="1"/>
  <c r="D394" i="1"/>
  <c r="C394" i="1"/>
  <c r="I393" i="1"/>
  <c r="H393" i="1"/>
  <c r="D393" i="1"/>
  <c r="C393" i="1"/>
  <c r="I392" i="1"/>
  <c r="H392" i="1"/>
  <c r="D392" i="1"/>
  <c r="C392" i="1"/>
  <c r="I391" i="1"/>
  <c r="H391" i="1"/>
  <c r="D391" i="1"/>
  <c r="C391" i="1"/>
  <c r="I390" i="1"/>
  <c r="H390" i="1"/>
  <c r="D390" i="1"/>
  <c r="C390" i="1"/>
  <c r="I389" i="1"/>
  <c r="H389" i="1"/>
  <c r="D389" i="1"/>
  <c r="C389" i="1"/>
  <c r="I388" i="1"/>
  <c r="H388" i="1"/>
  <c r="D388" i="1"/>
  <c r="C388" i="1"/>
  <c r="I387" i="1"/>
  <c r="H387" i="1"/>
  <c r="D387" i="1"/>
  <c r="C387" i="1"/>
  <c r="I386" i="1"/>
  <c r="H386" i="1"/>
  <c r="D386" i="1"/>
  <c r="C386" i="1"/>
  <c r="I385" i="1"/>
  <c r="H385" i="1"/>
  <c r="D385" i="1"/>
  <c r="C385" i="1"/>
  <c r="I384" i="1"/>
  <c r="H384" i="1"/>
  <c r="D384" i="1"/>
  <c r="C384" i="1"/>
  <c r="I383" i="1"/>
  <c r="H383" i="1"/>
  <c r="D383" i="1"/>
  <c r="C383" i="1"/>
  <c r="I382" i="1"/>
  <c r="H382" i="1"/>
  <c r="D382" i="1"/>
  <c r="C382" i="1"/>
  <c r="I381" i="1"/>
  <c r="H381" i="1"/>
  <c r="D381" i="1"/>
  <c r="C381" i="1"/>
  <c r="I380" i="1"/>
  <c r="H380" i="1"/>
  <c r="D380" i="1"/>
  <c r="C380" i="1"/>
  <c r="I379" i="1"/>
  <c r="H379" i="1"/>
  <c r="D379" i="1"/>
  <c r="C379" i="1"/>
  <c r="I378" i="1"/>
  <c r="H378" i="1"/>
  <c r="D378" i="1"/>
  <c r="C378" i="1"/>
  <c r="I377" i="1"/>
  <c r="H377" i="1"/>
  <c r="D377" i="1"/>
  <c r="C377" i="1"/>
  <c r="I376" i="1"/>
  <c r="H376" i="1"/>
  <c r="D376" i="1"/>
  <c r="C376" i="1"/>
  <c r="I375" i="1"/>
  <c r="H375" i="1"/>
  <c r="D375" i="1"/>
  <c r="C375" i="1"/>
  <c r="I374" i="1"/>
  <c r="H374" i="1"/>
  <c r="D374" i="1"/>
  <c r="C374" i="1"/>
  <c r="I373" i="1"/>
  <c r="H373" i="1"/>
  <c r="D373" i="1"/>
  <c r="C373" i="1"/>
  <c r="I372" i="1"/>
  <c r="H372" i="1"/>
  <c r="D372" i="1"/>
  <c r="C372" i="1"/>
  <c r="I371" i="1"/>
  <c r="H371" i="1"/>
  <c r="D371" i="1"/>
  <c r="C371" i="1"/>
  <c r="I370" i="1"/>
  <c r="H370" i="1"/>
  <c r="D370" i="1"/>
  <c r="C370" i="1"/>
  <c r="I369" i="1"/>
  <c r="H369" i="1"/>
  <c r="D369" i="1"/>
  <c r="C369" i="1"/>
  <c r="I368" i="1"/>
  <c r="H368" i="1"/>
  <c r="D368" i="1"/>
  <c r="C368" i="1"/>
  <c r="I367" i="1"/>
  <c r="H367" i="1"/>
  <c r="D367" i="1"/>
  <c r="C367" i="1"/>
  <c r="I366" i="1"/>
  <c r="H366" i="1"/>
  <c r="D366" i="1"/>
  <c r="C366" i="1"/>
  <c r="I365" i="1"/>
  <c r="H365" i="1"/>
  <c r="D365" i="1"/>
  <c r="C365" i="1"/>
  <c r="I364" i="1"/>
  <c r="H364" i="1"/>
  <c r="D364" i="1"/>
  <c r="C364" i="1"/>
  <c r="I363" i="1"/>
  <c r="H363" i="1"/>
  <c r="D363" i="1"/>
  <c r="C363" i="1"/>
  <c r="I362" i="1"/>
  <c r="H362" i="1"/>
  <c r="D362" i="1"/>
  <c r="C362" i="1"/>
  <c r="I361" i="1"/>
  <c r="H361" i="1"/>
  <c r="D361" i="1"/>
  <c r="C361" i="1"/>
  <c r="I360" i="1"/>
  <c r="H360" i="1"/>
  <c r="D360" i="1"/>
  <c r="C360" i="1"/>
  <c r="I359" i="1"/>
  <c r="H359" i="1"/>
  <c r="D359" i="1"/>
  <c r="C359" i="1"/>
  <c r="I358" i="1"/>
  <c r="H358" i="1"/>
  <c r="D358" i="1"/>
  <c r="C358" i="1"/>
  <c r="I357" i="1"/>
  <c r="H357" i="1"/>
  <c r="D357" i="1"/>
  <c r="C357" i="1"/>
  <c r="I356" i="1"/>
  <c r="H356" i="1"/>
  <c r="D356" i="1"/>
  <c r="C356" i="1"/>
  <c r="I355" i="1"/>
  <c r="H355" i="1"/>
  <c r="D355" i="1"/>
  <c r="C355" i="1"/>
  <c r="I354" i="1"/>
  <c r="H354" i="1"/>
  <c r="D354" i="1"/>
  <c r="C354" i="1"/>
  <c r="I353" i="1"/>
  <c r="H353" i="1"/>
  <c r="D353" i="1"/>
  <c r="C353" i="1"/>
  <c r="I352" i="1"/>
  <c r="H352" i="1"/>
  <c r="D352" i="1"/>
  <c r="C352" i="1"/>
  <c r="I351" i="1"/>
  <c r="H351" i="1"/>
  <c r="D351" i="1"/>
  <c r="C351" i="1"/>
  <c r="I350" i="1"/>
  <c r="H350" i="1"/>
  <c r="D350" i="1"/>
  <c r="C350" i="1"/>
  <c r="I349" i="1"/>
  <c r="H349" i="1"/>
  <c r="D349" i="1"/>
  <c r="C349" i="1"/>
  <c r="I348" i="1"/>
  <c r="H348" i="1"/>
  <c r="D348" i="1"/>
  <c r="C348" i="1"/>
  <c r="I347" i="1"/>
  <c r="H347" i="1"/>
  <c r="D347" i="1"/>
  <c r="C347" i="1"/>
  <c r="I346" i="1"/>
  <c r="H346" i="1"/>
  <c r="D346" i="1"/>
  <c r="C346" i="1"/>
  <c r="I345" i="1"/>
  <c r="H345" i="1"/>
  <c r="D345" i="1"/>
  <c r="C345" i="1"/>
  <c r="I344" i="1"/>
  <c r="H344" i="1"/>
  <c r="D344" i="1"/>
  <c r="C344" i="1"/>
  <c r="I343" i="1"/>
  <c r="H343" i="1"/>
  <c r="D343" i="1"/>
  <c r="C343" i="1"/>
  <c r="I342" i="1"/>
  <c r="H342" i="1"/>
  <c r="D342" i="1"/>
  <c r="C342" i="1"/>
  <c r="I341" i="1"/>
  <c r="H341" i="1"/>
  <c r="D341" i="1"/>
  <c r="C341" i="1"/>
  <c r="I340" i="1"/>
  <c r="H340" i="1"/>
  <c r="D340" i="1"/>
  <c r="C340" i="1"/>
  <c r="I339" i="1"/>
  <c r="H339" i="1"/>
  <c r="D339" i="1"/>
  <c r="C339" i="1"/>
  <c r="I338" i="1"/>
  <c r="H338" i="1"/>
  <c r="D338" i="1"/>
  <c r="C338" i="1"/>
  <c r="I337" i="1"/>
  <c r="H337" i="1"/>
  <c r="D337" i="1"/>
  <c r="C337" i="1"/>
  <c r="I336" i="1"/>
  <c r="H336" i="1"/>
  <c r="D336" i="1"/>
  <c r="C336" i="1"/>
  <c r="I335" i="1"/>
  <c r="H335" i="1"/>
  <c r="D335" i="1"/>
  <c r="C335" i="1"/>
  <c r="I334" i="1"/>
  <c r="H334" i="1"/>
  <c r="D334" i="1"/>
  <c r="C334" i="1"/>
  <c r="I333" i="1"/>
  <c r="H333" i="1"/>
  <c r="D333" i="1"/>
  <c r="C333" i="1"/>
  <c r="I332" i="1"/>
  <c r="H332" i="1"/>
  <c r="D332" i="1"/>
  <c r="C332" i="1"/>
  <c r="I331" i="1"/>
  <c r="H331" i="1"/>
  <c r="D331" i="1"/>
  <c r="C331" i="1"/>
  <c r="I330" i="1"/>
  <c r="H330" i="1"/>
  <c r="D330" i="1"/>
  <c r="C330" i="1"/>
  <c r="I329" i="1"/>
  <c r="H329" i="1"/>
  <c r="D329" i="1"/>
  <c r="C329" i="1"/>
  <c r="I328" i="1"/>
  <c r="H328" i="1"/>
  <c r="D328" i="1"/>
  <c r="C328" i="1"/>
  <c r="I327" i="1"/>
  <c r="H327" i="1"/>
  <c r="D327" i="1"/>
  <c r="C327" i="1"/>
  <c r="I326" i="1"/>
  <c r="H326" i="1"/>
  <c r="D326" i="1"/>
  <c r="C326" i="1"/>
  <c r="I325" i="1"/>
  <c r="H325" i="1"/>
  <c r="D325" i="1"/>
  <c r="C325" i="1"/>
  <c r="I324" i="1"/>
  <c r="H324" i="1"/>
  <c r="D324" i="1"/>
  <c r="C324" i="1"/>
  <c r="I323" i="1"/>
  <c r="H323" i="1"/>
  <c r="D323" i="1"/>
  <c r="C323" i="1"/>
  <c r="I322" i="1"/>
  <c r="H322" i="1"/>
  <c r="D322" i="1"/>
  <c r="C322" i="1"/>
  <c r="I321" i="1"/>
  <c r="H321" i="1"/>
  <c r="D321" i="1"/>
  <c r="C321" i="1"/>
  <c r="I320" i="1"/>
  <c r="H320" i="1"/>
  <c r="D320" i="1"/>
  <c r="C320" i="1"/>
  <c r="I319" i="1"/>
  <c r="H319" i="1"/>
  <c r="D319" i="1"/>
  <c r="C319" i="1"/>
  <c r="I318" i="1"/>
  <c r="H318" i="1"/>
  <c r="D318" i="1"/>
  <c r="C318" i="1"/>
  <c r="I317" i="1"/>
  <c r="H317" i="1"/>
  <c r="D317" i="1"/>
  <c r="C317" i="1"/>
  <c r="I316" i="1"/>
  <c r="H316" i="1"/>
  <c r="D316" i="1"/>
  <c r="C316" i="1"/>
  <c r="I315" i="1"/>
  <c r="H315" i="1"/>
  <c r="D315" i="1"/>
  <c r="C315" i="1"/>
  <c r="I314" i="1"/>
  <c r="H314" i="1"/>
  <c r="D314" i="1"/>
  <c r="C314" i="1"/>
  <c r="I313" i="1"/>
  <c r="H313" i="1"/>
  <c r="D313" i="1"/>
  <c r="C313" i="1"/>
  <c r="I312" i="1"/>
  <c r="H312" i="1"/>
  <c r="D312" i="1"/>
  <c r="C312" i="1"/>
  <c r="I311" i="1"/>
  <c r="H311" i="1"/>
  <c r="D311" i="1"/>
  <c r="C311" i="1"/>
  <c r="I310" i="1"/>
  <c r="H310" i="1"/>
  <c r="D310" i="1"/>
  <c r="C310" i="1"/>
  <c r="I309" i="1"/>
  <c r="H309" i="1"/>
  <c r="D309" i="1"/>
  <c r="C309" i="1"/>
  <c r="I308" i="1"/>
  <c r="H308" i="1"/>
  <c r="D308" i="1"/>
  <c r="C308" i="1"/>
  <c r="I307" i="1"/>
  <c r="H307" i="1"/>
  <c r="D307" i="1"/>
  <c r="C307" i="1"/>
  <c r="I306" i="1"/>
  <c r="H306" i="1"/>
  <c r="D306" i="1"/>
  <c r="C306" i="1"/>
  <c r="I305" i="1"/>
  <c r="H305" i="1"/>
  <c r="D305" i="1"/>
  <c r="C305" i="1"/>
  <c r="I304" i="1"/>
  <c r="H304" i="1"/>
  <c r="D304" i="1"/>
  <c r="C304" i="1"/>
  <c r="I303" i="1"/>
  <c r="H303" i="1"/>
  <c r="D303" i="1"/>
  <c r="C303" i="1"/>
  <c r="I302" i="1"/>
  <c r="H302" i="1"/>
  <c r="D302" i="1"/>
  <c r="C302" i="1"/>
  <c r="I301" i="1"/>
  <c r="H301" i="1"/>
  <c r="D301" i="1"/>
  <c r="C301" i="1"/>
  <c r="I300" i="1"/>
  <c r="H300" i="1"/>
  <c r="D300" i="1"/>
  <c r="C300" i="1"/>
  <c r="I299" i="1"/>
  <c r="H299" i="1"/>
  <c r="D299" i="1"/>
  <c r="C299" i="1"/>
  <c r="I298" i="1"/>
  <c r="H298" i="1"/>
  <c r="D298" i="1"/>
  <c r="C298" i="1"/>
  <c r="I297" i="1"/>
  <c r="H297" i="1"/>
  <c r="D297" i="1"/>
  <c r="C297" i="1"/>
  <c r="I296" i="1"/>
  <c r="H296" i="1"/>
  <c r="D296" i="1"/>
  <c r="C296" i="1"/>
  <c r="I295" i="1"/>
  <c r="H295" i="1"/>
  <c r="D295" i="1"/>
  <c r="C295" i="1"/>
  <c r="I294" i="1"/>
  <c r="H294" i="1"/>
  <c r="D294" i="1"/>
  <c r="C294" i="1"/>
  <c r="I293" i="1"/>
  <c r="H293" i="1"/>
  <c r="D293" i="1"/>
  <c r="C293" i="1"/>
  <c r="I292" i="1"/>
  <c r="H292" i="1"/>
  <c r="D292" i="1"/>
  <c r="C292" i="1"/>
  <c r="I291" i="1"/>
  <c r="H291" i="1"/>
  <c r="D291" i="1"/>
  <c r="C291" i="1"/>
  <c r="I290" i="1"/>
  <c r="H290" i="1"/>
  <c r="D290" i="1"/>
  <c r="C290" i="1"/>
  <c r="I289" i="1"/>
  <c r="H289" i="1"/>
  <c r="D289" i="1"/>
  <c r="C289" i="1"/>
  <c r="I288" i="1"/>
  <c r="H288" i="1"/>
  <c r="D288" i="1"/>
  <c r="C288" i="1"/>
  <c r="I287" i="1"/>
  <c r="H287" i="1"/>
  <c r="D287" i="1"/>
  <c r="C287" i="1"/>
  <c r="I286" i="1"/>
  <c r="H286" i="1"/>
  <c r="D286" i="1"/>
  <c r="C286" i="1"/>
  <c r="I285" i="1"/>
  <c r="H285" i="1"/>
  <c r="D285" i="1"/>
  <c r="C285" i="1"/>
  <c r="I284" i="1"/>
  <c r="H284" i="1"/>
  <c r="D284" i="1"/>
  <c r="C284" i="1"/>
  <c r="I283" i="1"/>
  <c r="H283" i="1"/>
  <c r="D283" i="1"/>
  <c r="C283" i="1"/>
  <c r="I282" i="1"/>
  <c r="H282" i="1"/>
  <c r="D282" i="1"/>
  <c r="C282" i="1"/>
  <c r="I281" i="1"/>
  <c r="H281" i="1"/>
  <c r="D281" i="1"/>
  <c r="C281" i="1"/>
  <c r="I280" i="1"/>
  <c r="H280" i="1"/>
  <c r="D280" i="1"/>
  <c r="C280" i="1"/>
  <c r="I279" i="1"/>
  <c r="H279" i="1"/>
  <c r="D279" i="1"/>
  <c r="C279" i="1"/>
  <c r="I278" i="1"/>
  <c r="H278" i="1"/>
  <c r="D278" i="1"/>
  <c r="C278" i="1"/>
  <c r="I277" i="1"/>
  <c r="H277" i="1"/>
  <c r="D277" i="1"/>
  <c r="C277" i="1"/>
  <c r="I276" i="1"/>
  <c r="H276" i="1"/>
  <c r="D276" i="1"/>
  <c r="C276" i="1"/>
  <c r="I275" i="1"/>
  <c r="H275" i="1"/>
  <c r="D275" i="1"/>
  <c r="C275" i="1"/>
  <c r="I274" i="1"/>
  <c r="H274" i="1"/>
  <c r="D274" i="1"/>
  <c r="C274" i="1"/>
  <c r="I273" i="1"/>
  <c r="H273" i="1"/>
  <c r="D273" i="1"/>
  <c r="C273" i="1"/>
  <c r="I272" i="1"/>
  <c r="H272" i="1"/>
  <c r="D272" i="1"/>
  <c r="C272" i="1"/>
  <c r="I271" i="1"/>
  <c r="H271" i="1"/>
  <c r="D271" i="1"/>
  <c r="C271" i="1"/>
  <c r="I270" i="1"/>
  <c r="H270" i="1"/>
  <c r="D270" i="1"/>
  <c r="C270" i="1"/>
  <c r="I269" i="1"/>
  <c r="H269" i="1"/>
  <c r="D269" i="1"/>
  <c r="C269" i="1"/>
  <c r="I268" i="1"/>
  <c r="H268" i="1"/>
  <c r="D268" i="1"/>
  <c r="C268" i="1"/>
  <c r="I267" i="1"/>
  <c r="H267" i="1"/>
  <c r="D267" i="1"/>
  <c r="C267" i="1"/>
  <c r="I266" i="1"/>
  <c r="H266" i="1"/>
  <c r="D266" i="1"/>
  <c r="C266" i="1"/>
  <c r="I265" i="1"/>
  <c r="H265" i="1"/>
  <c r="D265" i="1"/>
  <c r="C265" i="1"/>
  <c r="I264" i="1"/>
  <c r="H264" i="1"/>
  <c r="D264" i="1"/>
  <c r="C264" i="1"/>
  <c r="I263" i="1"/>
  <c r="H263" i="1"/>
  <c r="D263" i="1"/>
  <c r="C263" i="1"/>
  <c r="I262" i="1"/>
  <c r="H262" i="1"/>
  <c r="D262" i="1"/>
  <c r="C262" i="1"/>
  <c r="I261" i="1"/>
  <c r="H261" i="1"/>
  <c r="D261" i="1"/>
  <c r="C261" i="1"/>
  <c r="I260" i="1"/>
  <c r="H260" i="1"/>
  <c r="D260" i="1"/>
  <c r="C260" i="1"/>
  <c r="I259" i="1"/>
  <c r="H259" i="1"/>
  <c r="D259" i="1"/>
  <c r="C259" i="1"/>
  <c r="I258" i="1"/>
  <c r="H258" i="1"/>
  <c r="D258" i="1"/>
  <c r="C258" i="1"/>
  <c r="I257" i="1"/>
  <c r="H257" i="1"/>
  <c r="D257" i="1"/>
  <c r="C257" i="1"/>
  <c r="I256" i="1"/>
  <c r="H256" i="1"/>
  <c r="D256" i="1"/>
  <c r="C256" i="1"/>
  <c r="I255" i="1"/>
  <c r="H255" i="1"/>
  <c r="D255" i="1"/>
  <c r="C255" i="1"/>
  <c r="I254" i="1"/>
  <c r="H254" i="1"/>
  <c r="D254" i="1"/>
  <c r="C254" i="1"/>
  <c r="I253" i="1"/>
  <c r="H253" i="1"/>
  <c r="D253" i="1"/>
  <c r="C253" i="1"/>
  <c r="I252" i="1"/>
  <c r="H252" i="1"/>
  <c r="D252" i="1"/>
  <c r="C252" i="1"/>
  <c r="I251" i="1"/>
  <c r="H251" i="1"/>
  <c r="D251" i="1"/>
  <c r="C251" i="1"/>
  <c r="I250" i="1"/>
  <c r="H250" i="1"/>
  <c r="D250" i="1"/>
  <c r="C250" i="1"/>
  <c r="I249" i="1"/>
  <c r="H249" i="1"/>
  <c r="D249" i="1"/>
  <c r="C249" i="1"/>
  <c r="I248" i="1"/>
  <c r="H248" i="1"/>
  <c r="D248" i="1"/>
  <c r="C248" i="1"/>
  <c r="I247" i="1"/>
  <c r="H247" i="1"/>
  <c r="D247" i="1"/>
  <c r="C247" i="1"/>
  <c r="I246" i="1"/>
  <c r="H246" i="1"/>
  <c r="D246" i="1"/>
  <c r="C246" i="1"/>
  <c r="I245" i="1"/>
  <c r="H245" i="1"/>
  <c r="D245" i="1"/>
  <c r="C245" i="1"/>
  <c r="I244" i="1"/>
  <c r="H244" i="1"/>
  <c r="D244" i="1"/>
  <c r="C244" i="1"/>
  <c r="I243" i="1"/>
  <c r="H243" i="1"/>
  <c r="D243" i="1"/>
  <c r="C243" i="1"/>
  <c r="I242" i="1"/>
  <c r="H242" i="1"/>
  <c r="D242" i="1"/>
  <c r="C242" i="1"/>
  <c r="I241" i="1"/>
  <c r="H241" i="1"/>
  <c r="D241" i="1"/>
  <c r="C241" i="1"/>
  <c r="I240" i="1"/>
  <c r="H240" i="1"/>
  <c r="D240" i="1"/>
  <c r="C240" i="1"/>
  <c r="I239" i="1"/>
  <c r="H239" i="1"/>
  <c r="D239" i="1"/>
  <c r="C239" i="1"/>
  <c r="I238" i="1"/>
  <c r="H238" i="1"/>
  <c r="D238" i="1"/>
  <c r="C238" i="1"/>
  <c r="I237" i="1"/>
  <c r="H237" i="1"/>
  <c r="D237" i="1"/>
  <c r="C237" i="1"/>
  <c r="I236" i="1"/>
  <c r="H236" i="1"/>
  <c r="D236" i="1"/>
  <c r="C236" i="1"/>
  <c r="I235" i="1"/>
  <c r="H235" i="1"/>
  <c r="D235" i="1"/>
  <c r="C235" i="1"/>
  <c r="I234" i="1"/>
  <c r="H234" i="1"/>
  <c r="D234" i="1"/>
  <c r="C234" i="1"/>
  <c r="I233" i="1"/>
  <c r="H233" i="1"/>
  <c r="D233" i="1"/>
  <c r="C233" i="1"/>
  <c r="I232" i="1"/>
  <c r="H232" i="1"/>
  <c r="D232" i="1"/>
  <c r="C232" i="1"/>
  <c r="I231" i="1"/>
  <c r="H231" i="1"/>
  <c r="D231" i="1"/>
  <c r="C231" i="1"/>
  <c r="I230" i="1"/>
  <c r="H230" i="1"/>
  <c r="D230" i="1"/>
  <c r="C230" i="1"/>
  <c r="I229" i="1"/>
  <c r="H229" i="1"/>
  <c r="D229" i="1"/>
  <c r="C229" i="1"/>
  <c r="I228" i="1"/>
  <c r="H228" i="1"/>
  <c r="D228" i="1"/>
  <c r="C228" i="1"/>
  <c r="I227" i="1"/>
  <c r="H227" i="1"/>
  <c r="D227" i="1"/>
  <c r="C227" i="1"/>
  <c r="I226" i="1"/>
  <c r="H226" i="1"/>
  <c r="D226" i="1"/>
  <c r="C226" i="1"/>
  <c r="I225" i="1"/>
  <c r="H225" i="1"/>
  <c r="D225" i="1"/>
  <c r="C225" i="1"/>
  <c r="I224" i="1"/>
  <c r="H224" i="1"/>
  <c r="D224" i="1"/>
  <c r="C224" i="1"/>
  <c r="I223" i="1"/>
  <c r="H223" i="1"/>
  <c r="D223" i="1"/>
  <c r="C223" i="1"/>
  <c r="I222" i="1"/>
  <c r="H222" i="1"/>
  <c r="D222" i="1"/>
  <c r="C222" i="1"/>
  <c r="I221" i="1"/>
  <c r="H221" i="1"/>
  <c r="D221" i="1"/>
  <c r="C221" i="1"/>
  <c r="I220" i="1"/>
  <c r="H220" i="1"/>
  <c r="D220" i="1"/>
  <c r="C220" i="1"/>
  <c r="I219" i="1"/>
  <c r="H219" i="1"/>
  <c r="D219" i="1"/>
  <c r="C219" i="1"/>
  <c r="I218" i="1"/>
  <c r="H218" i="1"/>
  <c r="D218" i="1"/>
  <c r="C218" i="1"/>
  <c r="I217" i="1"/>
  <c r="H217" i="1"/>
  <c r="D217" i="1"/>
  <c r="C217" i="1"/>
  <c r="I216" i="1"/>
  <c r="H216" i="1"/>
  <c r="D216" i="1"/>
  <c r="C216" i="1"/>
  <c r="I215" i="1"/>
  <c r="H215" i="1"/>
  <c r="D215" i="1"/>
  <c r="C215" i="1"/>
  <c r="I214" i="1"/>
  <c r="H214" i="1"/>
  <c r="D214" i="1"/>
  <c r="C214" i="1"/>
  <c r="I213" i="1"/>
  <c r="H213" i="1"/>
  <c r="D213" i="1"/>
  <c r="C213" i="1"/>
  <c r="I212" i="1"/>
  <c r="H212" i="1"/>
  <c r="D212" i="1"/>
  <c r="C212" i="1"/>
  <c r="I211" i="1"/>
  <c r="H211" i="1"/>
  <c r="D211" i="1"/>
  <c r="C211" i="1"/>
  <c r="I210" i="1"/>
  <c r="H210" i="1"/>
  <c r="D210" i="1"/>
  <c r="C210" i="1"/>
  <c r="I209" i="1"/>
  <c r="H209" i="1"/>
  <c r="D209" i="1"/>
  <c r="C209" i="1"/>
  <c r="I208" i="1"/>
  <c r="H208" i="1"/>
  <c r="D208" i="1"/>
  <c r="C208" i="1"/>
  <c r="I207" i="1"/>
  <c r="H207" i="1"/>
  <c r="D207" i="1"/>
  <c r="C207" i="1"/>
  <c r="I206" i="1"/>
  <c r="H206" i="1"/>
  <c r="D206" i="1"/>
  <c r="C206" i="1"/>
  <c r="I205" i="1"/>
  <c r="H205" i="1"/>
  <c r="D205" i="1"/>
  <c r="C205" i="1"/>
  <c r="I204" i="1"/>
  <c r="H204" i="1"/>
  <c r="D204" i="1"/>
  <c r="C204" i="1"/>
  <c r="I203" i="1"/>
  <c r="H203" i="1"/>
  <c r="D203" i="1"/>
  <c r="C203" i="1"/>
  <c r="I202" i="1"/>
  <c r="H202" i="1"/>
  <c r="D202" i="1"/>
  <c r="C202" i="1"/>
  <c r="I201" i="1"/>
  <c r="H201" i="1"/>
  <c r="D201" i="1"/>
  <c r="C201" i="1"/>
  <c r="I200" i="1"/>
  <c r="H200" i="1"/>
  <c r="D200" i="1"/>
  <c r="C200" i="1"/>
  <c r="I199" i="1"/>
  <c r="H199" i="1"/>
  <c r="D199" i="1"/>
  <c r="C199" i="1"/>
  <c r="I198" i="1"/>
  <c r="H198" i="1"/>
  <c r="D198" i="1"/>
  <c r="C198" i="1"/>
  <c r="I197" i="1"/>
  <c r="H197" i="1"/>
  <c r="D197" i="1"/>
  <c r="C197" i="1"/>
  <c r="I196" i="1"/>
  <c r="H196" i="1"/>
  <c r="D196" i="1"/>
  <c r="C196" i="1"/>
  <c r="I195" i="1"/>
  <c r="H195" i="1"/>
  <c r="D195" i="1"/>
  <c r="C195" i="1"/>
  <c r="I194" i="1"/>
  <c r="H194" i="1"/>
  <c r="D194" i="1"/>
  <c r="C194" i="1"/>
  <c r="I193" i="1"/>
  <c r="H193" i="1"/>
  <c r="D193" i="1"/>
  <c r="C193" i="1"/>
  <c r="I192" i="1"/>
  <c r="H192" i="1"/>
  <c r="D192" i="1"/>
  <c r="C192" i="1"/>
  <c r="I191" i="1"/>
  <c r="H191" i="1"/>
  <c r="D191" i="1"/>
  <c r="C191" i="1"/>
  <c r="I190" i="1"/>
  <c r="H190" i="1"/>
  <c r="D190" i="1"/>
  <c r="C190" i="1"/>
  <c r="I189" i="1"/>
  <c r="H189" i="1"/>
  <c r="D189" i="1"/>
  <c r="C189" i="1"/>
  <c r="I188" i="1"/>
  <c r="H188" i="1"/>
  <c r="D188" i="1"/>
  <c r="C188" i="1"/>
  <c r="I187" i="1"/>
  <c r="H187" i="1"/>
  <c r="D187" i="1"/>
  <c r="C187" i="1"/>
  <c r="I186" i="1"/>
  <c r="H186" i="1"/>
  <c r="D186" i="1"/>
  <c r="C186" i="1"/>
  <c r="I185" i="1"/>
  <c r="H185" i="1"/>
  <c r="D185" i="1"/>
  <c r="C185" i="1"/>
  <c r="I184" i="1"/>
  <c r="H184" i="1"/>
  <c r="D184" i="1"/>
  <c r="C184" i="1"/>
  <c r="I183" i="1"/>
  <c r="H183" i="1"/>
  <c r="D183" i="1"/>
  <c r="C183" i="1"/>
  <c r="I182" i="1"/>
  <c r="H182" i="1"/>
  <c r="D182" i="1"/>
  <c r="C182" i="1"/>
  <c r="I181" i="1"/>
  <c r="H181" i="1"/>
  <c r="D181" i="1"/>
  <c r="C181" i="1"/>
  <c r="I180" i="1"/>
  <c r="H180" i="1"/>
  <c r="D180" i="1"/>
  <c r="C180" i="1"/>
  <c r="I179" i="1"/>
  <c r="H179" i="1"/>
  <c r="D179" i="1"/>
  <c r="C179" i="1"/>
  <c r="I178" i="1"/>
  <c r="H178" i="1"/>
  <c r="D178" i="1"/>
  <c r="C178" i="1"/>
  <c r="I177" i="1"/>
  <c r="H177" i="1"/>
  <c r="D177" i="1"/>
  <c r="C177" i="1"/>
  <c r="I176" i="1"/>
  <c r="H176" i="1"/>
  <c r="D176" i="1"/>
  <c r="C176" i="1"/>
  <c r="I175" i="1"/>
  <c r="H175" i="1"/>
  <c r="D175" i="1"/>
  <c r="C175" i="1"/>
  <c r="I174" i="1"/>
  <c r="H174" i="1"/>
  <c r="D174" i="1"/>
  <c r="C174" i="1"/>
  <c r="I173" i="1"/>
  <c r="H173" i="1"/>
  <c r="D173" i="1"/>
  <c r="C173" i="1"/>
  <c r="I172" i="1"/>
  <c r="H172" i="1"/>
  <c r="D172" i="1"/>
  <c r="C172" i="1"/>
  <c r="I171" i="1"/>
  <c r="H171" i="1"/>
  <c r="D171" i="1"/>
  <c r="C171" i="1"/>
  <c r="I170" i="1"/>
  <c r="H170" i="1"/>
  <c r="D170" i="1"/>
  <c r="C170" i="1"/>
  <c r="I169" i="1"/>
  <c r="H169" i="1"/>
  <c r="D169" i="1"/>
  <c r="C169" i="1"/>
  <c r="I168" i="1"/>
  <c r="H168" i="1"/>
  <c r="D168" i="1"/>
  <c r="C168" i="1"/>
  <c r="I167" i="1"/>
  <c r="H167" i="1"/>
  <c r="D167" i="1"/>
  <c r="C167" i="1"/>
  <c r="I166" i="1"/>
  <c r="H166" i="1"/>
  <c r="D166" i="1"/>
  <c r="C166" i="1"/>
  <c r="I165" i="1"/>
  <c r="H165" i="1"/>
  <c r="D165" i="1"/>
  <c r="C165" i="1"/>
  <c r="I164" i="1"/>
  <c r="H164" i="1"/>
  <c r="D164" i="1"/>
  <c r="C164" i="1"/>
  <c r="I163" i="1"/>
  <c r="H163" i="1"/>
  <c r="D163" i="1"/>
  <c r="C163" i="1"/>
  <c r="I162" i="1"/>
  <c r="H162" i="1"/>
  <c r="D162" i="1"/>
  <c r="C162" i="1"/>
  <c r="I161" i="1"/>
  <c r="H161" i="1"/>
  <c r="D161" i="1"/>
  <c r="C161" i="1"/>
  <c r="I160" i="1"/>
  <c r="H160" i="1"/>
  <c r="D160" i="1"/>
  <c r="C160" i="1"/>
  <c r="I159" i="1"/>
  <c r="H159" i="1"/>
  <c r="D159" i="1"/>
  <c r="C159" i="1"/>
  <c r="I158" i="1"/>
  <c r="H158" i="1"/>
  <c r="D158" i="1"/>
  <c r="C158" i="1"/>
  <c r="I157" i="1"/>
  <c r="H157" i="1"/>
  <c r="D157" i="1"/>
  <c r="C157" i="1"/>
  <c r="I156" i="1"/>
  <c r="H156" i="1"/>
  <c r="D156" i="1"/>
  <c r="C156" i="1"/>
  <c r="I155" i="1"/>
  <c r="H155" i="1"/>
  <c r="D155" i="1"/>
  <c r="C155" i="1"/>
  <c r="I154" i="1"/>
  <c r="H154" i="1"/>
  <c r="D154" i="1"/>
  <c r="C154" i="1"/>
  <c r="I153" i="1"/>
  <c r="H153" i="1"/>
  <c r="D153" i="1"/>
  <c r="C153" i="1"/>
  <c r="I152" i="1"/>
  <c r="H152" i="1"/>
  <c r="D152" i="1"/>
  <c r="C152" i="1"/>
  <c r="I151" i="1"/>
  <c r="H151" i="1"/>
  <c r="D151" i="1"/>
  <c r="C151" i="1"/>
  <c r="I150" i="1"/>
  <c r="H150" i="1"/>
  <c r="D150" i="1"/>
  <c r="C150" i="1"/>
  <c r="I149" i="1"/>
  <c r="H149" i="1"/>
  <c r="D149" i="1"/>
  <c r="C149" i="1"/>
  <c r="I148" i="1"/>
  <c r="H148" i="1"/>
  <c r="D148" i="1"/>
  <c r="C148" i="1"/>
  <c r="I147" i="1"/>
  <c r="H147" i="1"/>
  <c r="D147" i="1"/>
  <c r="C147" i="1"/>
  <c r="I146" i="1"/>
  <c r="H146" i="1"/>
  <c r="D146" i="1"/>
  <c r="C146" i="1"/>
  <c r="I145" i="1"/>
  <c r="H145" i="1"/>
  <c r="D145" i="1"/>
  <c r="C145" i="1"/>
  <c r="I144" i="1"/>
  <c r="H144" i="1"/>
  <c r="D144" i="1"/>
  <c r="C144" i="1"/>
  <c r="I143" i="1"/>
  <c r="H143" i="1"/>
  <c r="D143" i="1"/>
  <c r="C143" i="1"/>
  <c r="I142" i="1"/>
  <c r="H142" i="1"/>
  <c r="D142" i="1"/>
  <c r="C142" i="1"/>
  <c r="I141" i="1"/>
  <c r="H141" i="1"/>
  <c r="D141" i="1"/>
  <c r="C141" i="1"/>
  <c r="I140" i="1"/>
  <c r="H140" i="1"/>
  <c r="D140" i="1"/>
  <c r="C140" i="1"/>
  <c r="I139" i="1"/>
  <c r="H139" i="1"/>
  <c r="D139" i="1"/>
  <c r="C139" i="1"/>
  <c r="I138" i="1"/>
  <c r="H138" i="1"/>
  <c r="D138" i="1"/>
  <c r="C138" i="1"/>
  <c r="I137" i="1"/>
  <c r="H137" i="1"/>
  <c r="D137" i="1"/>
  <c r="C137" i="1"/>
  <c r="I136" i="1"/>
  <c r="H136" i="1"/>
  <c r="D136" i="1"/>
  <c r="C136" i="1"/>
  <c r="I135" i="1"/>
  <c r="H135" i="1"/>
  <c r="D135" i="1"/>
  <c r="C135" i="1"/>
  <c r="I134" i="1"/>
  <c r="H134" i="1"/>
  <c r="D134" i="1"/>
  <c r="C134" i="1"/>
  <c r="I133" i="1"/>
  <c r="H133" i="1"/>
  <c r="D133" i="1"/>
  <c r="C133" i="1"/>
  <c r="I132" i="1"/>
  <c r="H132" i="1"/>
  <c r="D132" i="1"/>
  <c r="C132" i="1"/>
  <c r="I131" i="1"/>
  <c r="H131" i="1"/>
  <c r="D131" i="1"/>
  <c r="C131" i="1"/>
  <c r="I130" i="1"/>
  <c r="H130" i="1"/>
  <c r="D130" i="1"/>
  <c r="C130" i="1"/>
  <c r="I129" i="1"/>
  <c r="H129" i="1"/>
  <c r="D129" i="1"/>
  <c r="C129" i="1"/>
  <c r="I128" i="1"/>
  <c r="H128" i="1"/>
  <c r="D128" i="1"/>
  <c r="C128" i="1"/>
  <c r="I127" i="1"/>
  <c r="H127" i="1"/>
  <c r="D127" i="1"/>
  <c r="C127" i="1"/>
  <c r="I126" i="1"/>
  <c r="H126" i="1"/>
  <c r="D126" i="1"/>
  <c r="C126" i="1"/>
  <c r="I125" i="1"/>
  <c r="H125" i="1"/>
  <c r="D125" i="1"/>
  <c r="C125" i="1"/>
  <c r="I124" i="1"/>
  <c r="H124" i="1"/>
  <c r="D124" i="1"/>
  <c r="C124" i="1"/>
  <c r="I123" i="1"/>
  <c r="H123" i="1"/>
  <c r="D123" i="1"/>
  <c r="C123" i="1"/>
  <c r="I122" i="1"/>
  <c r="H122" i="1"/>
  <c r="D122" i="1"/>
  <c r="C122" i="1"/>
  <c r="I121" i="1"/>
  <c r="H121" i="1"/>
  <c r="D121" i="1"/>
  <c r="C121" i="1"/>
  <c r="I120" i="1"/>
  <c r="H120" i="1"/>
  <c r="D120" i="1"/>
  <c r="C120" i="1"/>
  <c r="I119" i="1"/>
  <c r="H119" i="1"/>
  <c r="D119" i="1"/>
  <c r="C119" i="1"/>
  <c r="I118" i="1"/>
  <c r="H118" i="1"/>
  <c r="D118" i="1"/>
  <c r="C118" i="1"/>
  <c r="I117" i="1"/>
  <c r="H117" i="1"/>
  <c r="D117" i="1"/>
  <c r="C117" i="1"/>
  <c r="I116" i="1"/>
  <c r="H116" i="1"/>
  <c r="D116" i="1"/>
  <c r="C116" i="1"/>
  <c r="I115" i="1"/>
  <c r="H115" i="1"/>
  <c r="D115" i="1"/>
  <c r="C115" i="1"/>
  <c r="I114" i="1"/>
  <c r="H114" i="1"/>
  <c r="D114" i="1"/>
  <c r="C114" i="1"/>
  <c r="I113" i="1"/>
  <c r="H113" i="1"/>
  <c r="D113" i="1"/>
  <c r="C113" i="1"/>
  <c r="I112" i="1"/>
  <c r="H112" i="1"/>
  <c r="D112" i="1"/>
  <c r="C112" i="1"/>
  <c r="I111" i="1"/>
  <c r="H111" i="1"/>
  <c r="D111" i="1"/>
  <c r="C111" i="1"/>
  <c r="I110" i="1"/>
  <c r="H110" i="1"/>
  <c r="D110" i="1"/>
  <c r="C110" i="1"/>
  <c r="I109" i="1"/>
  <c r="H109" i="1"/>
  <c r="D109" i="1"/>
  <c r="C109" i="1"/>
  <c r="I108" i="1"/>
  <c r="H108" i="1"/>
  <c r="D108" i="1"/>
  <c r="C108" i="1"/>
  <c r="I107" i="1"/>
  <c r="H107" i="1"/>
  <c r="D107" i="1"/>
  <c r="C107" i="1"/>
  <c r="I106" i="1"/>
  <c r="H106" i="1"/>
  <c r="D106" i="1"/>
  <c r="C106" i="1"/>
  <c r="I105" i="1"/>
  <c r="H105" i="1"/>
  <c r="D105" i="1"/>
  <c r="C105" i="1"/>
  <c r="I104" i="1"/>
  <c r="H104" i="1"/>
  <c r="D104" i="1"/>
  <c r="C104" i="1"/>
  <c r="I103" i="1"/>
  <c r="H103" i="1"/>
  <c r="D103" i="1"/>
  <c r="C103" i="1"/>
  <c r="I102" i="1"/>
  <c r="H102" i="1"/>
  <c r="D102" i="1"/>
  <c r="C102" i="1"/>
  <c r="I101" i="1"/>
  <c r="H101" i="1"/>
  <c r="D101" i="1"/>
  <c r="C101" i="1"/>
  <c r="I100" i="1"/>
  <c r="H100" i="1"/>
  <c r="D100" i="1"/>
  <c r="C100" i="1"/>
  <c r="I99" i="1"/>
  <c r="H99" i="1"/>
  <c r="D99" i="1"/>
  <c r="C99" i="1"/>
  <c r="I98" i="1"/>
  <c r="H98" i="1"/>
  <c r="D98" i="1"/>
  <c r="C98" i="1"/>
  <c r="I97" i="1"/>
  <c r="H97" i="1"/>
  <c r="D97" i="1"/>
  <c r="C97" i="1"/>
  <c r="I96" i="1"/>
  <c r="H96" i="1"/>
  <c r="D96" i="1"/>
  <c r="C96" i="1"/>
  <c r="I95" i="1"/>
  <c r="H95" i="1"/>
  <c r="D95" i="1"/>
  <c r="C95" i="1"/>
  <c r="I94" i="1"/>
  <c r="H94" i="1"/>
  <c r="D94" i="1"/>
  <c r="C94" i="1"/>
  <c r="I93" i="1"/>
  <c r="H93" i="1"/>
  <c r="D93" i="1"/>
  <c r="C93" i="1"/>
  <c r="I92" i="1"/>
  <c r="H92" i="1"/>
  <c r="D92" i="1"/>
  <c r="C92" i="1"/>
  <c r="I91" i="1"/>
  <c r="H91" i="1"/>
  <c r="D91" i="1"/>
  <c r="C91" i="1"/>
  <c r="I90" i="1"/>
  <c r="H90" i="1"/>
  <c r="D90" i="1"/>
  <c r="C90" i="1"/>
  <c r="I89" i="1"/>
  <c r="H89" i="1"/>
  <c r="D89" i="1"/>
  <c r="C89" i="1"/>
  <c r="I88" i="1"/>
  <c r="H88" i="1"/>
  <c r="D88" i="1"/>
  <c r="C88" i="1"/>
  <c r="I87" i="1"/>
  <c r="H87" i="1"/>
  <c r="D87" i="1"/>
  <c r="C87" i="1"/>
  <c r="I86" i="1"/>
  <c r="H86" i="1"/>
  <c r="D86" i="1"/>
  <c r="C86" i="1"/>
  <c r="I85" i="1"/>
  <c r="H85" i="1"/>
  <c r="D85" i="1"/>
  <c r="C85" i="1"/>
  <c r="I84" i="1"/>
  <c r="H84" i="1"/>
  <c r="D84" i="1"/>
  <c r="C84" i="1"/>
  <c r="I83" i="1"/>
  <c r="H83" i="1"/>
  <c r="D83" i="1"/>
  <c r="C83" i="1"/>
  <c r="I82" i="1"/>
  <c r="H82" i="1"/>
  <c r="D82" i="1"/>
  <c r="C82" i="1"/>
  <c r="I81" i="1"/>
  <c r="H81" i="1"/>
  <c r="D81" i="1"/>
  <c r="C81" i="1"/>
  <c r="I80" i="1"/>
  <c r="H80" i="1"/>
  <c r="D80" i="1"/>
  <c r="C80" i="1"/>
  <c r="I79" i="1"/>
  <c r="H79" i="1"/>
  <c r="D79" i="1"/>
  <c r="C79" i="1"/>
  <c r="I78" i="1"/>
  <c r="H78" i="1"/>
  <c r="D78" i="1"/>
  <c r="C78" i="1"/>
  <c r="I77" i="1"/>
  <c r="H77" i="1"/>
  <c r="D77" i="1"/>
  <c r="C77" i="1"/>
  <c r="I76" i="1"/>
  <c r="H76" i="1"/>
  <c r="D76" i="1"/>
  <c r="C76" i="1"/>
  <c r="I75" i="1"/>
  <c r="H75" i="1"/>
  <c r="D75" i="1"/>
  <c r="C75" i="1"/>
  <c r="I74" i="1"/>
  <c r="H74" i="1"/>
  <c r="D74" i="1"/>
  <c r="C74" i="1"/>
  <c r="I73" i="1"/>
  <c r="H73" i="1"/>
  <c r="D73" i="1"/>
  <c r="C73" i="1"/>
  <c r="I72" i="1"/>
  <c r="H72" i="1"/>
  <c r="D72" i="1"/>
  <c r="C72" i="1"/>
  <c r="I71" i="1"/>
  <c r="H71" i="1"/>
  <c r="D71" i="1"/>
  <c r="C71" i="1"/>
  <c r="I70" i="1"/>
  <c r="H70" i="1"/>
  <c r="D70" i="1"/>
  <c r="C70" i="1"/>
  <c r="I69" i="1"/>
  <c r="H69" i="1"/>
  <c r="D69" i="1"/>
  <c r="C69" i="1"/>
  <c r="I68" i="1"/>
  <c r="H68" i="1"/>
  <c r="D68" i="1"/>
  <c r="C68" i="1"/>
  <c r="I67" i="1"/>
  <c r="H67" i="1"/>
  <c r="D67" i="1"/>
  <c r="C67" i="1"/>
  <c r="I66" i="1"/>
  <c r="H66" i="1"/>
  <c r="D66" i="1"/>
  <c r="C66" i="1"/>
  <c r="I65" i="1"/>
  <c r="H65" i="1"/>
  <c r="D65" i="1"/>
  <c r="C65" i="1"/>
  <c r="I64" i="1"/>
  <c r="H64" i="1"/>
  <c r="D64" i="1"/>
  <c r="C64" i="1"/>
  <c r="I63" i="1"/>
  <c r="H63" i="1"/>
  <c r="D63" i="1"/>
  <c r="C63" i="1"/>
  <c r="I62" i="1"/>
  <c r="H62" i="1"/>
  <c r="D62" i="1"/>
  <c r="C62" i="1"/>
  <c r="I61" i="1"/>
  <c r="H61" i="1"/>
  <c r="D61" i="1"/>
  <c r="C61" i="1"/>
  <c r="I60" i="1"/>
  <c r="H60" i="1"/>
  <c r="D60" i="1"/>
  <c r="C60" i="1"/>
  <c r="I59" i="1"/>
  <c r="H59" i="1"/>
  <c r="D59" i="1"/>
  <c r="C59" i="1"/>
  <c r="I58" i="1"/>
  <c r="H58" i="1"/>
  <c r="D58" i="1"/>
  <c r="C58" i="1"/>
  <c r="I57" i="1"/>
  <c r="H57" i="1"/>
  <c r="D57" i="1"/>
  <c r="C57" i="1"/>
  <c r="I56" i="1"/>
  <c r="H56" i="1"/>
  <c r="D56" i="1"/>
  <c r="C56" i="1"/>
  <c r="I55" i="1"/>
  <c r="H55" i="1"/>
  <c r="D55" i="1"/>
  <c r="C55" i="1"/>
  <c r="I54" i="1"/>
  <c r="H54" i="1"/>
  <c r="D54" i="1"/>
  <c r="C54" i="1"/>
  <c r="H53" i="1"/>
  <c r="C53" i="1"/>
  <c r="H52" i="1"/>
  <c r="C52" i="1"/>
  <c r="H51" i="1"/>
  <c r="C51" i="1"/>
  <c r="H50" i="1"/>
  <c r="C50" i="1"/>
  <c r="H49" i="1"/>
  <c r="C49" i="1"/>
  <c r="H48" i="1"/>
  <c r="C48" i="1"/>
  <c r="H47" i="1"/>
  <c r="C47" i="1"/>
  <c r="H46" i="1"/>
  <c r="C46" i="1"/>
  <c r="H45" i="1"/>
  <c r="C45" i="1"/>
  <c r="H44" i="1"/>
  <c r="C44" i="1"/>
  <c r="H43" i="1"/>
  <c r="C43" i="1"/>
  <c r="H42" i="1"/>
  <c r="C42" i="1"/>
  <c r="H41" i="1"/>
  <c r="C41" i="1"/>
  <c r="H40" i="1"/>
  <c r="C40" i="1"/>
  <c r="H39" i="1"/>
  <c r="C39" i="1"/>
  <c r="H38" i="1"/>
  <c r="C38" i="1"/>
  <c r="H37" i="1"/>
  <c r="C37" i="1"/>
  <c r="H36" i="1"/>
  <c r="C36" i="1"/>
  <c r="H35" i="1"/>
  <c r="C35" i="1"/>
  <c r="H34" i="1"/>
  <c r="C34" i="1"/>
  <c r="H33" i="1"/>
  <c r="C33" i="1"/>
  <c r="H32" i="1"/>
  <c r="C32" i="1"/>
  <c r="H31" i="1"/>
  <c r="C31" i="1"/>
  <c r="H30" i="1"/>
  <c r="C30" i="1"/>
  <c r="H29" i="1"/>
  <c r="C29" i="1"/>
  <c r="H28" i="1"/>
  <c r="C28" i="1"/>
  <c r="H27" i="1"/>
  <c r="C27" i="1"/>
  <c r="H26" i="1"/>
  <c r="C26" i="1"/>
  <c r="H25" i="1"/>
  <c r="C25" i="1"/>
  <c r="H24" i="1"/>
  <c r="C24" i="1"/>
  <c r="H23" i="1"/>
  <c r="C23" i="1"/>
  <c r="H22" i="1"/>
  <c r="C22" i="1"/>
  <c r="H21" i="1"/>
  <c r="C21" i="1"/>
  <c r="H20" i="1"/>
  <c r="C20" i="1"/>
  <c r="H19" i="1"/>
  <c r="C19" i="1"/>
  <c r="H18" i="1"/>
  <c r="C18" i="1"/>
  <c r="H17" i="1"/>
  <c r="C17" i="1"/>
  <c r="H16" i="1"/>
  <c r="C16" i="1"/>
  <c r="H15" i="1"/>
  <c r="C15" i="1"/>
  <c r="H14" i="1"/>
  <c r="C14" i="1"/>
  <c r="H13" i="1"/>
  <c r="C13" i="1"/>
  <c r="H12" i="1"/>
  <c r="C12" i="1"/>
  <c r="H11" i="1"/>
  <c r="C11" i="1"/>
  <c r="H10" i="1"/>
  <c r="C10" i="1"/>
  <c r="H9" i="1"/>
  <c r="C9" i="1"/>
  <c r="H8" i="1"/>
  <c r="C8" i="1"/>
  <c r="H7" i="1"/>
  <c r="C7" i="1"/>
  <c r="H6" i="1"/>
  <c r="C6" i="1"/>
  <c r="H5" i="1"/>
  <c r="C5" i="1"/>
  <c r="H4" i="1"/>
  <c r="C4" i="1"/>
  <c r="H3" i="1"/>
  <c r="C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<sst xmlns="http://schemas.openxmlformats.org/spreadsheetml/2006/main" count="150" uniqueCount="128">
  <si>
    <t>Date</t>
  </si>
  <si>
    <t>ULSP: Pump price (p/litre)</t>
  </si>
  <si>
    <t>ULSP: Diff on previous week (p/litre)</t>
  </si>
  <si>
    <t>ULSP: Diff on previous year (p/litre)</t>
  </si>
  <si>
    <t>ULSP: Duty rate (p/litre)</t>
  </si>
  <si>
    <t>ULSP: VAT rate (%)</t>
  </si>
  <si>
    <t>ULSD: Pump price (p/litre)</t>
  </si>
  <si>
    <t>ULSD: Diff on previous week (p/litre)</t>
  </si>
  <si>
    <t>ULSD: Diff on previous year (p/litre)</t>
  </si>
  <si>
    <t>ULSD: Duty rate (p/litre)</t>
  </si>
  <si>
    <t>ULSD: VAT rate (%)</t>
  </si>
  <si>
    <t xml:space="preserve"> Petrol_Price(p/litre)</t>
  </si>
  <si>
    <t>Petrol_Week_Change (p/litre)</t>
  </si>
  <si>
    <t>Petrol_Year_Change (p/litre)</t>
  </si>
  <si>
    <t>Petrol_Duty (p/litre)</t>
  </si>
  <si>
    <t>Petrol_VAT rate (%)</t>
  </si>
  <si>
    <t>Diesel_Price (p/litre)</t>
  </si>
  <si>
    <t>Diesel_Week_Change (p/litre)</t>
  </si>
  <si>
    <t>Diesel_Year_Change (p/litre)</t>
  </si>
  <si>
    <t>Diesel_Duty (p/litre)</t>
  </si>
  <si>
    <t>Diesel_VAT rate (%)</t>
  </si>
  <si>
    <t>Year</t>
  </si>
  <si>
    <t>Month</t>
  </si>
  <si>
    <t>MonthName</t>
  </si>
  <si>
    <t>Week_ID</t>
  </si>
  <si>
    <t>WEEKLY FUEL PRICE ANALYSIS</t>
  </si>
  <si>
    <t>Latest Week Snapshot</t>
  </si>
  <si>
    <t>Metric</t>
  </si>
  <si>
    <t>Petrol (ULSP)</t>
  </si>
  <si>
    <t>Diesel (ULSD)</t>
  </si>
  <si>
    <t>Latest Date</t>
  </si>
  <si>
    <t>Latest Price (p/litre)</t>
  </si>
  <si>
    <t>Change vs Previous Week</t>
  </si>
  <si>
    <t>Change vs Previous Year</t>
  </si>
  <si>
    <t>Average Petrol Price (All Time)</t>
  </si>
  <si>
    <t>Average Diesel Price (All Time)</t>
  </si>
  <si>
    <t>Highest Petrol Price</t>
  </si>
  <si>
    <t>Lowest Petrol Price</t>
  </si>
  <si>
    <t>Highest Diesel Price</t>
  </si>
  <si>
    <t>Lowest Diesel Price</t>
  </si>
  <si>
    <t>Grand Total</t>
  </si>
  <si>
    <t>Year/Month</t>
  </si>
  <si>
    <t>Average of  Petrol_Price(p/litre)</t>
  </si>
  <si>
    <t>Max. of  Petrol_Price(p/litre)</t>
  </si>
  <si>
    <t>Average of Diesel_Price (p/litre)</t>
  </si>
  <si>
    <t>Max. of Diesel_Price (p/litre)</t>
  </si>
  <si>
    <t>Weeks</t>
  </si>
  <si>
    <t>Monthly Fuel Prices Analysis</t>
  </si>
  <si>
    <t>Findings</t>
  </si>
  <si>
    <t>Week ID</t>
  </si>
  <si>
    <t>Petrol Price (p/litre)</t>
  </si>
  <si>
    <t>Petrol Week Change</t>
  </si>
  <si>
    <t>Petrol Year Change</t>
  </si>
  <si>
    <t>Diesel Price (p/litre)</t>
  </si>
  <si>
    <t>Diesel Week Change</t>
  </si>
  <si>
    <t>Diesel Year Change</t>
  </si>
  <si>
    <t>Duty Rate Petrol</t>
  </si>
  <si>
    <t>Duty Rate Diesel</t>
  </si>
  <si>
    <t xml:space="preserve">Petrol Price </t>
  </si>
  <si>
    <t>Diesel Price</t>
  </si>
  <si>
    <t>UK Weekly Road Fuel Price Analysis</t>
  </si>
  <si>
    <t>Junior Data Analyst Portfolio Project | Excel</t>
  </si>
  <si>
    <t>PROJECT OVERVIEW</t>
  </si>
  <si>
    <t>Objective</t>
  </si>
  <si>
    <t>Clean, analyse and explore official UK weekly pump price data to answer practical questions for transport, retail and policy stakeholders — and showcase core Excel data analyst skills.</t>
  </si>
  <si>
    <t>Data Source</t>
  </si>
  <si>
    <t>UK Department for Energy Security and Net Zero (Official Statistics)</t>
  </si>
  <si>
    <t>Source File</t>
  </si>
  <si>
    <t>Weekly_Fuel_Prices_24-08-26.xlsx  |  Sheet: Data</t>
  </si>
  <si>
    <t>Coverage</t>
  </si>
  <si>
    <t>9 June 2003 – 24 August 2026  (~1,212 weekly observations)</t>
  </si>
  <si>
    <t>Market Sample</t>
  </si>
  <si>
    <t>~60% of UK road-fuel volume (4 oil majors + 2 supermarket chains)</t>
  </si>
  <si>
    <t>WORKBOOK STRUCTURE</t>
  </si>
  <si>
    <t>Sheet</t>
  </si>
  <si>
    <t>Content</t>
  </si>
  <si>
    <t>01_ReadMe</t>
  </si>
  <si>
    <t>Project overview, data source, column glossary, usage guide</t>
  </si>
  <si>
    <t>Full cleaned time series: renamed columns + Year/Month/WeekID helpers</t>
  </si>
  <si>
    <t>Latest-week KPIs, all-time stats, monthly averages table, trend charts</t>
  </si>
  <si>
    <t>Interactive lookup: enter WeekID → petrol price, diesel price, changes, month</t>
  </si>
  <si>
    <t>Original government data (preserved, unmodified)</t>
  </si>
  <si>
    <t>Column</t>
  </si>
  <si>
    <t>Description</t>
  </si>
  <si>
    <t>Unit / Notes</t>
  </si>
  <si>
    <t>Survey week date (usually Monday)</t>
  </si>
  <si>
    <t>DD/MM/YYYY</t>
  </si>
  <si>
    <t>Petrol_Price (p/litre)</t>
  </si>
  <si>
    <t>Average unleaded (ULSP) pump price</t>
  </si>
  <si>
    <t>Pence per litre</t>
  </si>
  <si>
    <t>Petrol_Week_Change</t>
  </si>
  <si>
    <t>Petrol price change vs previous week</t>
  </si>
  <si>
    <t>Petrol_Year_Change</t>
  </si>
  <si>
    <t>Petrol price change vs same week prior year</t>
  </si>
  <si>
    <t>Fuel duty rate applied to petrol</t>
  </si>
  <si>
    <t>VAT rate applied to petrol</t>
  </si>
  <si>
    <t>%</t>
  </si>
  <si>
    <t>Average diesel (ULSD) pump price</t>
  </si>
  <si>
    <t>Diesel_Week_Change</t>
  </si>
  <si>
    <t>Diesel price change vs previous week</t>
  </si>
  <si>
    <t>Diesel_Year_Change</t>
  </si>
  <si>
    <t>Diesel price change vs same week prior year</t>
  </si>
  <si>
    <t>Fuel duty rate applied to diesel</t>
  </si>
  <si>
    <t>VAT rate applied to diesel</t>
  </si>
  <si>
    <t>Derived: year extracted from Date</t>
  </si>
  <si>
    <t>Helper column</t>
  </si>
  <si>
    <t>Derived: month number extracted from Date</t>
  </si>
  <si>
    <t>Helper column (1–12)</t>
  </si>
  <si>
    <t>Derived: full month name extracted from Date</t>
  </si>
  <si>
    <t>WeekID</t>
  </si>
  <si>
    <t>Derived: YYYY-WW format for weekly lookup</t>
  </si>
  <si>
    <t>e.g. 2026-34</t>
  </si>
  <si>
    <t>03_CleanData</t>
  </si>
  <si>
    <t>02_RawData</t>
  </si>
  <si>
    <t>04_Analysis &amp; Findings</t>
  </si>
  <si>
    <t>05_Dashboard</t>
  </si>
  <si>
    <t>COLUMN GLOSSARY  —  03_CleanData</t>
  </si>
  <si>
    <t>🔍  UK Fuel Price Lookup Dashboard</t>
  </si>
  <si>
    <t>Enter a Week ID (e.g. 2026-34) in cell B4 to retrieve all fuel data for that week.</t>
  </si>
  <si>
    <t xml:space="preserve"> ▶  LOOKUP INPUT</t>
  </si>
  <si>
    <t>Enter Week ID (YYYY-WW):</t>
  </si>
  <si>
    <t>Data Point</t>
  </si>
  <si>
    <t>Value</t>
  </si>
  <si>
    <t>Type a WeekID from the dropdown list</t>
  </si>
  <si>
    <r>
      <rPr>
        <b/>
        <sz val="11"/>
        <color theme="1"/>
        <rFont val="Aptos Narrow"/>
        <family val="2"/>
        <scheme val="minor"/>
      </rPr>
      <t>2026 Price Surge (Two Phases)</t>
    </r>
    <r>
      <rPr>
        <sz val="11"/>
        <color theme="1"/>
        <rFont val="Aptos Narrow"/>
        <family val="2"/>
        <scheme val="minor"/>
      </rPr>
      <t>: From 09 March 2026, prices surged sharply: petrol climbed +19.7% to 158.17p and diesel +35.2% to 192.14p by 13 April — the steepest six-week rise since 2022. Diesel then retreated, while petrol continued rising in a second phase, reaching 162.15p on 10 August 2026 — its highest level since the 2022 crisis. As of 24 August 2026, petrol stands at 161.63p and diesel at 182.82p.</t>
    </r>
  </si>
  <si>
    <r>
      <rPr>
        <b/>
        <sz val="11"/>
        <color theme="1"/>
        <rFont val="Aptos Narrow"/>
        <family val="2"/>
        <scheme val="minor"/>
      </rPr>
      <t>2025–Early 2026 Stability</t>
    </r>
    <r>
      <rPr>
        <sz val="11"/>
        <color theme="1"/>
        <rFont val="Aptos Narrow"/>
        <family val="2"/>
        <scheme val="minor"/>
      </rPr>
      <t>: After three years of volatility, prices stabilised across 2025 and into February 2026. Petrol ranged narrowly between 131.35p and 139.62p/litre (annual average: 135.05p) and diesel between 137.54p and 146.88p/litre (annual average: 142.70p) — the calmest sustained pricing environment since 2019.</t>
    </r>
  </si>
  <si>
    <r>
      <rPr>
        <b/>
        <sz val="11"/>
        <color theme="1"/>
        <rFont val="Aptos Narrow"/>
        <family val="2"/>
        <scheme val="minor"/>
      </rPr>
      <t xml:space="preserve">2022 Energy Crisis: </t>
    </r>
    <r>
      <rPr>
        <sz val="11"/>
        <color theme="1"/>
        <rFont val="Aptos Narrow"/>
        <family val="2"/>
        <scheme val="minor"/>
      </rPr>
      <t>Petrol rose from 145.04p/litre (Jan 2022) to an all-time peak of 191.55p/litre (04 July 2022) — a +32.1% surge in six months — as post-pandemic demand and the Russia–Ukraine conflict drove global oil prices to record levels. Diesel peaked simultaneously at 199.22p/litre. By December 2022, petrol had fallen back to 151.94p and diesel to 175.52p.</t>
    </r>
  </si>
  <si>
    <r>
      <rPr>
        <b/>
        <sz val="11"/>
        <color theme="1"/>
        <rFont val="Aptos Narrow"/>
        <family val="2"/>
        <scheme val="minor"/>
      </rPr>
      <t>Duty Cut Impact:</t>
    </r>
    <r>
      <rPr>
        <sz val="11"/>
        <color theme="1"/>
        <rFont val="Aptos Narrow"/>
        <family val="2"/>
        <scheme val="minor"/>
      </rPr>
      <t xml:space="preserve"> Fuel duty was cut from 57.95p to 52.95p/litre, first reflected in data from 28 March 2022. Despite the 5p relief, pump prices continued rising for a further 14 weeks, confirming that the global commodity price surge completely overwhelmed the duty reduction during this period.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</si>
</sst>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\ \r"/>
    <numFmt numFmtId="166" formatCode="[$-F800]dddd\,\ mmmm\ dd\,\ yyyy"/>
  </numFmts>
  <fonts count="2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6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FFFFFF"/>
      <name val="Arial"/>
      <family val="2"/>
    </font>
    <font>
      <b/>
      <sz val="20"/>
      <color theme="0"/>
      <name val="Aptos Display"/>
      <family val="2"/>
      <scheme val="major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i/>
      <sz val="16"/>
      <color theme="0"/>
      <name val="Aptos Narrow"/>
      <family val="2"/>
      <scheme val="minor"/>
    </font>
    <font>
      <b/>
      <sz val="14"/>
      <color rgb="FFFFFFFF"/>
      <name val="Arial"/>
      <family val="2"/>
    </font>
    <font>
      <i/>
      <sz val="10"/>
      <color rgb="FF1F4E79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1F4E79"/>
        <bgColor rgb="FF003366"/>
      </patternFill>
    </fill>
    <fill>
      <patternFill patternType="solid">
        <fgColor theme="3" tint="0.249977111117893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/>
      <top/>
      <bottom style="medium">
        <color rgb="FF2E75B6"/>
      </bottom>
      <diagonal/>
    </border>
    <border>
      <left style="medium">
        <color rgb="FF2E75B6"/>
      </left>
      <right style="medium">
        <color rgb="FF2E75B6"/>
      </right>
      <top/>
      <bottom style="medium">
        <color rgb="FF2E75B6"/>
      </bottom>
      <diagonal/>
    </border>
    <border>
      <left/>
      <right style="medium">
        <color rgb="FF2E75B6"/>
      </right>
      <top/>
      <bottom style="medium">
        <color rgb="FF2E75B6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/>
      <bottom/>
      <diagonal/>
    </border>
  </borders>
  <cellStyleXfs count="2">
    <xf numFmtId="0" fontId="0" fillId="0" borderId="0"/>
    <xf numFmtId="0" fontId="5" fillId="0" borderId="0"/>
  </cellStyleXfs>
  <cellXfs count="60">
    <xf numFmtId="0" fontId="0" fillId="0" borderId="0" xfId="0"/>
    <xf numFmtId="0" fontId="2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  <xf numFmtId="39" fontId="4" fillId="2" borderId="0" xfId="1" applyNumberFormat="1" applyFont="1" applyFill="1" applyAlignment="1">
      <alignment horizontal="center" vertical="center"/>
    </xf>
    <xf numFmtId="2" fontId="3" fillId="0" borderId="0" xfId="1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6" fontId="0" fillId="0" borderId="0" xfId="0" applyNumberFormat="1"/>
    <xf numFmtId="2" fontId="2" fillId="0" borderId="0" xfId="0" applyNumberFormat="1" applyFont="1" applyAlignment="1">
      <alignment horizontal="left" vertical="center"/>
    </xf>
    <xf numFmtId="2" fontId="0" fillId="0" borderId="0" xfId="0" applyNumberForma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0" fillId="0" borderId="0" xfId="0" pivotButton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0" fillId="5" borderId="0" xfId="0" applyNumberFormat="1" applyFill="1" applyAlignment="1">
      <alignment horizontal="center" vertical="center"/>
    </xf>
    <xf numFmtId="0" fontId="9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166" fontId="8" fillId="0" borderId="0" xfId="0" applyNumberFormat="1" applyFont="1" applyAlignment="1">
      <alignment horizontal="center"/>
    </xf>
    <xf numFmtId="0" fontId="8" fillId="0" borderId="0" xfId="0" applyFont="1"/>
    <xf numFmtId="0" fontId="8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 vertical="top" wrapText="1"/>
    </xf>
    <xf numFmtId="0" fontId="8" fillId="0" borderId="0" xfId="0" applyFont="1" applyAlignment="1">
      <alignment horizontal="center"/>
    </xf>
    <xf numFmtId="0" fontId="9" fillId="4" borderId="0" xfId="0" applyFont="1" applyFill="1" applyAlignment="1">
      <alignment horizontal="center"/>
    </xf>
    <xf numFmtId="0" fontId="8" fillId="4" borderId="0" xfId="0" applyFont="1" applyFill="1" applyAlignment="1">
      <alignment horizontal="center" vertical="center"/>
    </xf>
    <xf numFmtId="0" fontId="8" fillId="4" borderId="3" xfId="0" applyFont="1" applyFill="1" applyBorder="1" applyAlignment="1">
      <alignment horizontal="center"/>
    </xf>
    <xf numFmtId="0" fontId="13" fillId="6" borderId="0" xfId="0" applyFont="1" applyFill="1" applyAlignment="1">
      <alignment vertical="center"/>
    </xf>
    <xf numFmtId="0" fontId="14" fillId="8" borderId="0" xfId="0" applyFont="1" applyFill="1" applyAlignment="1">
      <alignment vertical="center"/>
    </xf>
    <xf numFmtId="0" fontId="12" fillId="9" borderId="0" xfId="0" applyFont="1" applyFill="1" applyAlignment="1">
      <alignment horizontal="left" vertical="center" indent="1"/>
    </xf>
    <xf numFmtId="0" fontId="15" fillId="10" borderId="0" xfId="0" applyFont="1" applyFill="1" applyAlignment="1">
      <alignment horizontal="left" vertical="center"/>
    </xf>
    <xf numFmtId="0" fontId="16" fillId="11" borderId="0" xfId="0" applyFont="1" applyFill="1" applyAlignment="1">
      <alignment horizontal="left" vertical="center"/>
    </xf>
    <xf numFmtId="0" fontId="16" fillId="11" borderId="0" xfId="0" applyFont="1" applyFill="1" applyAlignment="1">
      <alignment horizontal="left" vertical="center" wrapText="1"/>
    </xf>
    <xf numFmtId="0" fontId="16" fillId="12" borderId="0" xfId="0" applyFont="1" applyFill="1" applyAlignment="1">
      <alignment horizontal="left" vertical="center"/>
    </xf>
    <xf numFmtId="0" fontId="15" fillId="10" borderId="0" xfId="0" applyFont="1" applyFill="1" applyAlignment="1">
      <alignment horizontal="left" vertical="center" wrapText="1"/>
    </xf>
    <xf numFmtId="0" fontId="17" fillId="6" borderId="0" xfId="0" applyFont="1" applyFill="1" applyAlignment="1">
      <alignment horizontal="center"/>
    </xf>
    <xf numFmtId="0" fontId="18" fillId="7" borderId="0" xfId="0" applyFont="1" applyFill="1" applyAlignment="1">
      <alignment horizontal="left" vertical="center" indent="1"/>
    </xf>
    <xf numFmtId="0" fontId="18" fillId="0" borderId="0" xfId="0" applyFont="1" applyFill="1" applyAlignment="1">
      <alignment horizontal="left" vertical="center" indent="1"/>
    </xf>
    <xf numFmtId="0" fontId="19" fillId="10" borderId="0" xfId="0" applyFont="1" applyFill="1" applyAlignment="1">
      <alignment horizontal="left" vertical="center" indent="1"/>
    </xf>
    <xf numFmtId="0" fontId="19" fillId="0" borderId="0" xfId="0" applyFont="1" applyFill="1" applyAlignment="1">
      <alignment horizontal="left" vertical="center" indent="1"/>
    </xf>
    <xf numFmtId="0" fontId="18" fillId="9" borderId="0" xfId="0" applyFont="1" applyFill="1" applyAlignment="1">
      <alignment horizontal="left" vertical="center" indent="1"/>
    </xf>
    <xf numFmtId="0" fontId="21" fillId="10" borderId="0" xfId="0" applyFont="1" applyFill="1" applyAlignment="1">
      <alignment horizontal="left" vertical="center" indent="1"/>
    </xf>
    <xf numFmtId="0" fontId="20" fillId="9" borderId="0" xfId="0" applyFont="1" applyFill="1" applyAlignment="1">
      <alignment horizontal="center" vertical="center"/>
    </xf>
    <xf numFmtId="0" fontId="16" fillId="11" borderId="0" xfId="0" applyFont="1" applyFill="1" applyAlignment="1">
      <alignment horizontal="left" vertical="top" wrapText="1"/>
    </xf>
  </cellXfs>
  <cellStyles count="2">
    <cellStyle name="Normal" xfId="0" builtinId="0"/>
    <cellStyle name="Normal 5" xfId="1" xr:uid="{BF323BF1-7300-4E15-B187-BDD0358C9EEB}"/>
  </cellStyles>
  <dxfs count="4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/>
        <top/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/>
        <top/>
        <bottom style="medium">
          <color rgb="FFCCCCCC"/>
        </bottom>
      </border>
    </dxf>
    <dxf>
      <border outline="0">
        <top style="medium">
          <color rgb="FF2E75B6"/>
        </top>
        <bottom style="medium">
          <color rgb="FFCCCCCC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rgb="FF2E75B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2E75B6"/>
        </left>
        <right style="medium">
          <color rgb="FF2E75B6"/>
        </right>
        <top/>
        <bottom/>
      </border>
    </dxf>
    <dxf>
      <alignment vertical="center"/>
    </dxf>
    <dxf>
      <alignment vertic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 sz="1600" b="1" i="0" u="none" strike="noStrike" baseline="0">
                <a:effectLst/>
              </a:rPr>
              <a:t>Petrol vs Diesel (Last 52 Weeks)</a:t>
            </a:r>
            <a:endParaRPr lang="en-GB"/>
          </a:p>
        </c:rich>
      </c:tx>
      <c:layout>
        <c:manualLayout>
          <c:xMode val="edge"/>
          <c:yMode val="edge"/>
          <c:x val="0.23957458382121782"/>
          <c:y val="4.65116279069767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3274479188146202"/>
          <c:y val="0.15460145970125827"/>
          <c:w val="0.82714557395842414"/>
          <c:h val="0.53821958301723916"/>
        </c:manualLayout>
      </c:layout>
      <c:lineChart>
        <c:grouping val="standard"/>
        <c:varyColors val="0"/>
        <c:ser>
          <c:idx val="0"/>
          <c:order val="0"/>
          <c:tx>
            <c:strRef>
              <c:f>'04_Analysis &amp; Findings'!$O$1</c:f>
              <c:strCache>
                <c:ptCount val="1"/>
                <c:pt idx="0">
                  <c:v>Petrol Price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'04_Analysis &amp; Findings'!$N$2:$N$53</c:f>
              <c:numCache>
                <c:formatCode>[$-F800]dddd\,\ mmmm\ dd\,\ yyyy</c:formatCode>
                <c:ptCount val="52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</c:numCache>
            </c:numRef>
          </c:cat>
          <c:val>
            <c:numRef>
              <c:f>'04_Analysis &amp; Findings'!$O$2:$O$53</c:f>
              <c:numCache>
                <c:formatCode>General</c:formatCode>
                <c:ptCount val="52"/>
                <c:pt idx="0">
                  <c:v>133.860963</c:v>
                </c:pt>
                <c:pt idx="1">
                  <c:v>133.724233</c:v>
                </c:pt>
                <c:pt idx="2">
                  <c:v>133.812353</c:v>
                </c:pt>
                <c:pt idx="3">
                  <c:v>134.14521299999998</c:v>
                </c:pt>
                <c:pt idx="4">
                  <c:v>134.36203600000002</c:v>
                </c:pt>
                <c:pt idx="5">
                  <c:v>134.76431600000001</c:v>
                </c:pt>
                <c:pt idx="6">
                  <c:v>134.81126799999998</c:v>
                </c:pt>
                <c:pt idx="7">
                  <c:v>134.69223</c:v>
                </c:pt>
                <c:pt idx="8">
                  <c:v>134.40487300000001</c:v>
                </c:pt>
                <c:pt idx="9">
                  <c:v>134.38128799999998</c:v>
                </c:pt>
                <c:pt idx="10">
                  <c:v>134.64813899999999</c:v>
                </c:pt>
                <c:pt idx="11">
                  <c:v>135.07288800000001</c:v>
                </c:pt>
                <c:pt idx="12">
                  <c:v>136.07401099999998</c:v>
                </c:pt>
                <c:pt idx="13">
                  <c:v>136.61131399999999</c:v>
                </c:pt>
                <c:pt idx="14">
                  <c:v>136.67733200000001</c:v>
                </c:pt>
                <c:pt idx="15">
                  <c:v>136.83113299999999</c:v>
                </c:pt>
                <c:pt idx="16">
                  <c:v>136.22822000000002</c:v>
                </c:pt>
                <c:pt idx="17">
                  <c:v>135.338199</c:v>
                </c:pt>
                <c:pt idx="18">
                  <c:v>134.89606800000001</c:v>
                </c:pt>
                <c:pt idx="19">
                  <c:v>133.43266399999999</c:v>
                </c:pt>
                <c:pt idx="20">
                  <c:v>132.639636</c:v>
                </c:pt>
                <c:pt idx="21">
                  <c:v>131.99566799999999</c:v>
                </c:pt>
                <c:pt idx="22">
                  <c:v>131.62345400000001</c:v>
                </c:pt>
                <c:pt idx="23">
                  <c:v>131.46178999999998</c:v>
                </c:pt>
                <c:pt idx="24">
                  <c:v>131.597407</c:v>
                </c:pt>
                <c:pt idx="25">
                  <c:v>131.70702400000002</c:v>
                </c:pt>
                <c:pt idx="26">
                  <c:v>132.13817599999999</c:v>
                </c:pt>
                <c:pt idx="27">
                  <c:v>135.667125</c:v>
                </c:pt>
                <c:pt idx="28">
                  <c:v>140.275083</c:v>
                </c:pt>
                <c:pt idx="29">
                  <c:v>144.16244899999998</c:v>
                </c:pt>
                <c:pt idx="30">
                  <c:v>148.781409</c:v>
                </c:pt>
                <c:pt idx="31">
                  <c:v>154.65179699999999</c:v>
                </c:pt>
                <c:pt idx="32">
                  <c:v>158.17279600000001</c:v>
                </c:pt>
                <c:pt idx="33">
                  <c:v>157.624481</c:v>
                </c:pt>
                <c:pt idx="34">
                  <c:v>156.99114800000004</c:v>
                </c:pt>
                <c:pt idx="35">
                  <c:v>156.81544799999998</c:v>
                </c:pt>
                <c:pt idx="36">
                  <c:v>156.80991900000001</c:v>
                </c:pt>
                <c:pt idx="37">
                  <c:v>157.39308400000002</c:v>
                </c:pt>
                <c:pt idx="38">
                  <c:v>158.780822</c:v>
                </c:pt>
                <c:pt idx="39">
                  <c:v>158.735591</c:v>
                </c:pt>
                <c:pt idx="40">
                  <c:v>157.950931</c:v>
                </c:pt>
                <c:pt idx="41">
                  <c:v>155.53671700000001</c:v>
                </c:pt>
                <c:pt idx="42">
                  <c:v>153.26066599999999</c:v>
                </c:pt>
                <c:pt idx="43">
                  <c:v>151.01665299999999</c:v>
                </c:pt>
                <c:pt idx="44">
                  <c:v>149.79589500000003</c:v>
                </c:pt>
                <c:pt idx="45">
                  <c:v>150.529146</c:v>
                </c:pt>
                <c:pt idx="46">
                  <c:v>152.29188300000001</c:v>
                </c:pt>
                <c:pt idx="47">
                  <c:v>156.13248000000002</c:v>
                </c:pt>
                <c:pt idx="48">
                  <c:v>159.889082</c:v>
                </c:pt>
                <c:pt idx="49">
                  <c:v>162.14530099999999</c:v>
                </c:pt>
                <c:pt idx="50">
                  <c:v>161.802539</c:v>
                </c:pt>
                <c:pt idx="51">
                  <c:v>161.627835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98-4A80-A923-F35198CE7421}"/>
            </c:ext>
          </c:extLst>
        </c:ser>
        <c:ser>
          <c:idx val="1"/>
          <c:order val="1"/>
          <c:tx>
            <c:strRef>
              <c:f>'04_Analysis &amp; Findings'!$P$1</c:f>
              <c:strCache>
                <c:ptCount val="1"/>
                <c:pt idx="0">
                  <c:v>Diesel Price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'04_Analysis &amp; Findings'!$N$2:$N$53</c:f>
              <c:numCache>
                <c:formatCode>[$-F800]dddd\,\ mmmm\ dd\,\ yyyy</c:formatCode>
                <c:ptCount val="52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</c:numCache>
            </c:numRef>
          </c:cat>
          <c:val>
            <c:numRef>
              <c:f>'04_Analysis &amp; Findings'!$P$2:$P$53</c:f>
              <c:numCache>
                <c:formatCode>General</c:formatCode>
                <c:ptCount val="52"/>
                <c:pt idx="0">
                  <c:v>141.65410799999998</c:v>
                </c:pt>
                <c:pt idx="1">
                  <c:v>141.58071000000001</c:v>
                </c:pt>
                <c:pt idx="2">
                  <c:v>141.68569500000001</c:v>
                </c:pt>
                <c:pt idx="3">
                  <c:v>142.024261</c:v>
                </c:pt>
                <c:pt idx="4">
                  <c:v>142.23597000000001</c:v>
                </c:pt>
                <c:pt idx="5">
                  <c:v>142.917157</c:v>
                </c:pt>
                <c:pt idx="6">
                  <c:v>142.98682199999999</c:v>
                </c:pt>
                <c:pt idx="7">
                  <c:v>142.81489199999999</c:v>
                </c:pt>
                <c:pt idx="8">
                  <c:v>142.37860900000001</c:v>
                </c:pt>
                <c:pt idx="9">
                  <c:v>142.60810999999998</c:v>
                </c:pt>
                <c:pt idx="10">
                  <c:v>143.30982399999999</c:v>
                </c:pt>
                <c:pt idx="11">
                  <c:v>143.97318100000001</c:v>
                </c:pt>
                <c:pt idx="12">
                  <c:v>145.39935000000003</c:v>
                </c:pt>
                <c:pt idx="13">
                  <c:v>146.19905800000001</c:v>
                </c:pt>
                <c:pt idx="14">
                  <c:v>146.23381900000001</c:v>
                </c:pt>
                <c:pt idx="15">
                  <c:v>146.14285699999999</c:v>
                </c:pt>
                <c:pt idx="16">
                  <c:v>145.44801899999999</c:v>
                </c:pt>
                <c:pt idx="17">
                  <c:v>144.58739800000001</c:v>
                </c:pt>
                <c:pt idx="18">
                  <c:v>144.18756299999998</c:v>
                </c:pt>
                <c:pt idx="19">
                  <c:v>142.62878900000001</c:v>
                </c:pt>
                <c:pt idx="20">
                  <c:v>141.81531200000001</c:v>
                </c:pt>
                <c:pt idx="21">
                  <c:v>141.25736000000001</c:v>
                </c:pt>
                <c:pt idx="22">
                  <c:v>140.81647099999998</c:v>
                </c:pt>
                <c:pt idx="23">
                  <c:v>140.72389400000003</c:v>
                </c:pt>
                <c:pt idx="24">
                  <c:v>141.45736099999999</c:v>
                </c:pt>
                <c:pt idx="25">
                  <c:v>141.455443</c:v>
                </c:pt>
                <c:pt idx="26">
                  <c:v>142.14869900000002</c:v>
                </c:pt>
                <c:pt idx="27">
                  <c:v>149.01496200000003</c:v>
                </c:pt>
                <c:pt idx="28">
                  <c:v>158.78076900000002</c:v>
                </c:pt>
                <c:pt idx="29">
                  <c:v>166.877734</c:v>
                </c:pt>
                <c:pt idx="30">
                  <c:v>176.52186600000002</c:v>
                </c:pt>
                <c:pt idx="31">
                  <c:v>186.74589200000003</c:v>
                </c:pt>
                <c:pt idx="32">
                  <c:v>192.13534799999999</c:v>
                </c:pt>
                <c:pt idx="33">
                  <c:v>191.237031</c:v>
                </c:pt>
                <c:pt idx="34">
                  <c:v>189.81097900000003</c:v>
                </c:pt>
                <c:pt idx="35">
                  <c:v>188.79284200000001</c:v>
                </c:pt>
                <c:pt idx="36">
                  <c:v>188.141614</c:v>
                </c:pt>
                <c:pt idx="37">
                  <c:v>186.56378000000001</c:v>
                </c:pt>
                <c:pt idx="38">
                  <c:v>185.06502800000001</c:v>
                </c:pt>
                <c:pt idx="39">
                  <c:v>184.10922200000002</c:v>
                </c:pt>
                <c:pt idx="40">
                  <c:v>181.78607500000001</c:v>
                </c:pt>
                <c:pt idx="41">
                  <c:v>176.71444</c:v>
                </c:pt>
                <c:pt idx="42">
                  <c:v>172.46530100000001</c:v>
                </c:pt>
                <c:pt idx="43">
                  <c:v>167.121861</c:v>
                </c:pt>
                <c:pt idx="44">
                  <c:v>164.774722</c:v>
                </c:pt>
                <c:pt idx="45">
                  <c:v>164.51511599999998</c:v>
                </c:pt>
                <c:pt idx="46">
                  <c:v>167.08453599999999</c:v>
                </c:pt>
                <c:pt idx="47">
                  <c:v>173.96566300000001</c:v>
                </c:pt>
                <c:pt idx="48">
                  <c:v>179.186646</c:v>
                </c:pt>
                <c:pt idx="49">
                  <c:v>181.97299099999998</c:v>
                </c:pt>
                <c:pt idx="50">
                  <c:v>182.45175599999999</c:v>
                </c:pt>
                <c:pt idx="51">
                  <c:v>182.81792899999999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98-4A80-A923-F35198CE7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1655024"/>
        <c:axId val="1324632431"/>
      </c:lineChart>
      <c:dateAx>
        <c:axId val="1781655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632431"/>
        <c:crosses val="autoZero"/>
        <c:auto val="1"/>
        <c:lblOffset val="100"/>
        <c:baseTimeUnit val="days"/>
      </c:dateAx>
      <c:valAx>
        <c:axId val="13246324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Price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65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0365177717271319"/>
          <c:y val="0.10505924259467567"/>
          <c:w val="0.29923850172933991"/>
          <c:h val="4.01788526434195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349250</xdr:colOff>
      <xdr:row>0</xdr:row>
      <xdr:rowOff>19050</xdr:rowOff>
    </xdr:from>
    <xdr:to>
      <xdr:col>25</xdr:col>
      <xdr:colOff>438150</xdr:colOff>
      <xdr:row>27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524078-0587-9C77-9030-46FDDEDA5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3209925</xdr:colOff>
      <xdr:row>3</xdr:row>
      <xdr:rowOff>73025</xdr:rowOff>
    </xdr:from>
    <xdr:to>
      <xdr:col>1</xdr:col>
      <xdr:colOff>3448050</xdr:colOff>
      <xdr:row>3</xdr:row>
      <xdr:rowOff>184150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D1CAF15C-7D00-C370-1757-1263352D80E6}"/>
            </a:ext>
          </a:extLst>
        </xdr:cNvPr>
        <xdr:cNvSpPr/>
      </xdr:nvSpPr>
      <xdr:spPr>
        <a:xfrm rot="5400000">
          <a:off x="5070475" y="688975"/>
          <a:ext cx="111125" cy="238125"/>
        </a:xfrm>
        <a:prstGeom prst="bentArrow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hammad Danish" refreshedDate="46279.533598495371" createdVersion="8" refreshedVersion="8" minRefreshableVersion="3" recordCount="1212" xr:uid="{9532E4AD-175D-41F0-872A-72BE38A5FA99}">
  <cacheSource type="worksheet">
    <worksheetSource name="Weekly_Prices"/>
  </cacheSource>
  <cacheFields count="15">
    <cacheField name="Date" numFmtId="14">
      <sharedItems containsSemiMixedTypes="0" containsNonDate="0" containsDate="1" containsString="0" minDate="2003-06-09T00:00:00" maxDate="2026-08-25T00:00:00"/>
    </cacheField>
    <cacheField name=" Petrol_Price(p/litre)" numFmtId="0">
      <sharedItems containsSemiMixedTypes="0" containsString="0" containsNumber="1" minValue="74.206576999999996" maxValue="191.546629"/>
    </cacheField>
    <cacheField name="Petrol_Week_Change (p/litre)" numFmtId="164">
      <sharedItems containsString="0" containsBlank="1" containsNumber="1" minValue="-7.1917949999999848" maxValue="7.5366320000000258"/>
    </cacheField>
    <cacheField name="Petrol_Year_Change (p/litre)" numFmtId="164">
      <sharedItems containsString="0" containsBlank="1" containsNumber="1" minValue="-48.149945000000002" maxValue="60.201250507000026"/>
    </cacheField>
    <cacheField name="Petrol_Duty (p/litre)" numFmtId="2">
      <sharedItems containsSemiMixedTypes="0" containsString="0" containsNumber="1" minValue="45.82" maxValue="58.95"/>
    </cacheField>
    <cacheField name="Petrol_VAT rate (%)" numFmtId="2">
      <sharedItems containsSemiMixedTypes="0" containsString="0" containsNumber="1" minValue="15" maxValue="20"/>
    </cacheField>
    <cacheField name="Diesel_Price (p/litre)" numFmtId="0">
      <sharedItems containsSemiMixedTypes="0" containsString="0" containsNumber="1" minValue="76.408119999999997" maxValue="199.22"/>
    </cacheField>
    <cacheField name="Diesel_Week_Change (p/litre)" numFmtId="164">
      <sharedItems containsString="0" containsBlank="1" containsNumber="1" minValue="-5.3434400000000153" maxValue="10.919999999999987"/>
    </cacheField>
    <cacheField name="Diesel_Year_Change (p/litre)" numFmtId="164">
      <sharedItems containsString="0" containsBlank="1" containsNumber="1" minValue="-54.009342000000004" maxValue="65.094951666666645"/>
    </cacheField>
    <cacheField name="Diesel_Duty (p/litre)" numFmtId="2">
      <sharedItems containsSemiMixedTypes="0" containsString="0" containsNumber="1" minValue="45.82" maxValue="58.95"/>
    </cacheField>
    <cacheField name="Diesel_VAT rate (%)" numFmtId="2">
      <sharedItems containsSemiMixedTypes="0" containsString="0" containsNumber="1" minValue="15" maxValue="20"/>
    </cacheField>
    <cacheField name="Year" numFmtId="1">
      <sharedItems containsSemiMixedTypes="0" containsString="0" containsNumber="1" containsInteger="1" minValue="2003" maxValue="2026" count="24"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</sharedItems>
    </cacheField>
    <cacheField name="Month" numFmtId="1">
      <sharedItems containsSemiMixedTypes="0" containsString="0" containsNumber="1" containsInteger="1" minValue="1" maxValue="12" count="12">
        <n v="6"/>
        <n v="7"/>
        <n v="8"/>
        <n v="9"/>
        <n v="10"/>
        <n v="11"/>
        <n v="12"/>
        <n v="1"/>
        <n v="2"/>
        <n v="3"/>
        <n v="4"/>
        <n v="5"/>
      </sharedItems>
    </cacheField>
    <cacheField name="MonthName" numFmtId="2">
      <sharedItems/>
    </cacheField>
    <cacheField name="Week_ID" numFmtId="2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2">
  <r>
    <d v="2003-06-09T00:00:00"/>
    <n v="74.590283999999997"/>
    <m/>
    <m/>
    <n v="45.82"/>
    <n v="17.5"/>
    <n v="76.773393999999996"/>
    <m/>
    <m/>
    <n v="45.82"/>
    <n v="17.5"/>
    <x v="0"/>
    <x v="0"/>
    <s v="June"/>
    <s v="2003-24"/>
  </r>
  <r>
    <d v="2003-06-16T00:00:00"/>
    <n v="74.469143000000003"/>
    <n v="-0.12114099999999439"/>
    <m/>
    <n v="45.82"/>
    <n v="17.5"/>
    <n v="76.689053999999999"/>
    <n v="-8.4339999999997417E-2"/>
    <m/>
    <n v="45.82"/>
    <n v="17.5"/>
    <x v="0"/>
    <x v="0"/>
    <s v="June"/>
    <s v="2003-25"/>
  </r>
  <r>
    <d v="2003-06-23T00:00:00"/>
    <n v="74.423565999999994"/>
    <n v="-4.5577000000008638E-2"/>
    <m/>
    <n v="45.82"/>
    <n v="17.5"/>
    <n v="76.620546000000004"/>
    <n v="-6.850799999999424E-2"/>
    <m/>
    <n v="45.82"/>
    <n v="17.5"/>
    <x v="0"/>
    <x v="0"/>
    <s v="June"/>
    <s v="2003-26"/>
  </r>
  <r>
    <d v="2003-06-30T00:00:00"/>
    <n v="74.352420999999993"/>
    <n v="-7.1145000000001346E-2"/>
    <m/>
    <n v="45.82"/>
    <n v="17.5"/>
    <n v="76.505259999999993"/>
    <n v="-0.11528600000001177"/>
    <m/>
    <n v="45.82"/>
    <n v="17.5"/>
    <x v="0"/>
    <x v="0"/>
    <s v="June"/>
    <s v="2003-27"/>
  </r>
  <r>
    <d v="2003-07-07T00:00:00"/>
    <n v="74.283737000000002"/>
    <n v="-6.8683999999990419E-2"/>
    <m/>
    <n v="45.82"/>
    <n v="17.5"/>
    <n v="76.457375999999996"/>
    <n v="-4.7883999999996263E-2"/>
    <m/>
    <n v="45.82"/>
    <n v="17.5"/>
    <x v="0"/>
    <x v="1"/>
    <s v="July"/>
    <s v="2003-28"/>
  </r>
  <r>
    <d v="2003-07-14T00:00:00"/>
    <n v="74.206576999999996"/>
    <n v="-7.7160000000006335E-2"/>
    <m/>
    <n v="45.82"/>
    <n v="17.5"/>
    <n v="76.408119999999997"/>
    <n v="-4.9255999999999744E-2"/>
    <m/>
    <n v="45.82"/>
    <n v="17.5"/>
    <x v="0"/>
    <x v="1"/>
    <s v="July"/>
    <s v="2003-29"/>
  </r>
  <r>
    <d v="2003-07-21T00:00:00"/>
    <n v="75.065240000000003"/>
    <n v="0.85866300000000706"/>
    <m/>
    <n v="45.82"/>
    <n v="17.5"/>
    <n v="76.899144000000007"/>
    <n v="0.49102400000001012"/>
    <m/>
    <n v="45.82"/>
    <n v="17.5"/>
    <x v="0"/>
    <x v="1"/>
    <s v="July"/>
    <s v="2003-30"/>
  </r>
  <r>
    <d v="2003-07-28T00:00:00"/>
    <n v="75.10085500000001"/>
    <n v="3.5615000000007058E-2"/>
    <m/>
    <n v="45.82"/>
    <n v="17.5"/>
    <n v="76.861863999999997"/>
    <n v="-3.728000000000975E-2"/>
    <m/>
    <n v="45.82"/>
    <n v="17.5"/>
    <x v="0"/>
    <x v="1"/>
    <s v="July"/>
    <s v="2003-31"/>
  </r>
  <r>
    <d v="2003-08-04T00:00:00"/>
    <n v="75.124384000000006"/>
    <n v="2.3528999999996358E-2"/>
    <m/>
    <n v="45.82"/>
    <n v="17.5"/>
    <n v="76.812342000000001"/>
    <n v="-4.9521999999996069E-2"/>
    <m/>
    <n v="45.82"/>
    <n v="17.5"/>
    <x v="0"/>
    <x v="2"/>
    <s v="August"/>
    <s v="2003-32"/>
  </r>
  <r>
    <d v="2003-08-11T00:00:00"/>
    <n v="75.444516000000007"/>
    <n v="0.32013200000000097"/>
    <m/>
    <n v="45.82"/>
    <n v="17.5"/>
    <n v="77.080737999999997"/>
    <n v="0.26839599999999564"/>
    <m/>
    <n v="45.82"/>
    <n v="17.5"/>
    <x v="0"/>
    <x v="2"/>
    <s v="August"/>
    <s v="2003-33"/>
  </r>
  <r>
    <d v="2003-08-18T00:00:00"/>
    <n v="75.808947999999987"/>
    <n v="0.36443199999997944"/>
    <m/>
    <n v="45.82"/>
    <n v="17.5"/>
    <n v="77.438590000000005"/>
    <n v="0.35785200000000827"/>
    <m/>
    <n v="45.82"/>
    <n v="17.5"/>
    <x v="0"/>
    <x v="2"/>
    <s v="August"/>
    <s v="2003-34"/>
  </r>
  <r>
    <d v="2003-08-26T00:00:00"/>
    <n v="76.053010999999998"/>
    <n v="0.24406300000001124"/>
    <m/>
    <n v="45.82"/>
    <n v="17.5"/>
    <n v="77.675094000000001"/>
    <n v="0.23650399999999649"/>
    <m/>
    <n v="45.82"/>
    <n v="17.5"/>
    <x v="0"/>
    <x v="2"/>
    <s v="August"/>
    <s v="2003-35"/>
  </r>
  <r>
    <d v="2003-09-01T00:00:00"/>
    <n v="76.125859999999989"/>
    <n v="7.2848999999990838E-2"/>
    <m/>
    <n v="45.82"/>
    <n v="17.5"/>
    <n v="77.587704000000002"/>
    <n v="-8.7389999999999191E-2"/>
    <m/>
    <n v="45.82"/>
    <n v="17.5"/>
    <x v="0"/>
    <x v="3"/>
    <s v="September"/>
    <s v="2003-36"/>
  </r>
  <r>
    <d v="2003-09-08T00:00:00"/>
    <n v="76.226190000000003"/>
    <n v="0.1003300000000138"/>
    <m/>
    <n v="45.82"/>
    <n v="17.5"/>
    <n v="77.670140000000004"/>
    <n v="8.2436000000001286E-2"/>
    <m/>
    <n v="45.82"/>
    <n v="17.5"/>
    <x v="0"/>
    <x v="3"/>
    <s v="September"/>
    <s v="2003-37"/>
  </r>
  <r>
    <d v="2003-09-15T00:00:00"/>
    <n v="76.196424999999991"/>
    <n v="-2.976500000001181E-2"/>
    <m/>
    <n v="45.82"/>
    <n v="17.5"/>
    <n v="77.626435999999998"/>
    <n v="-4.3704000000005294E-2"/>
    <m/>
    <n v="45.82"/>
    <n v="17.5"/>
    <x v="0"/>
    <x v="3"/>
    <s v="September"/>
    <s v="2003-38"/>
  </r>
  <r>
    <d v="2003-09-22T00:00:00"/>
    <n v="76.148708999999997"/>
    <n v="-4.7715999999994096E-2"/>
    <m/>
    <n v="45.82"/>
    <n v="17.5"/>
    <n v="77.545841999999993"/>
    <n v="-8.0594000000004939E-2"/>
    <m/>
    <n v="45.82"/>
    <n v="17.5"/>
    <x v="0"/>
    <x v="3"/>
    <s v="September"/>
    <s v="2003-39"/>
  </r>
  <r>
    <d v="2003-09-29T00:00:00"/>
    <n v="76.08399"/>
    <n v="-6.471899999999664E-2"/>
    <m/>
    <n v="45.82"/>
    <n v="17.5"/>
    <n v="77.526893999999999"/>
    <n v="-1.8947999999994636E-2"/>
    <m/>
    <n v="45.82"/>
    <n v="17.5"/>
    <x v="0"/>
    <x v="3"/>
    <s v="September"/>
    <s v="2003-40"/>
  </r>
  <r>
    <d v="2003-10-06T00:00:00"/>
    <n v="76.432933000000006"/>
    <n v="0.34894300000000555"/>
    <m/>
    <n v="47.1"/>
    <n v="17.5"/>
    <n v="77.661236000000002"/>
    <n v="0.13434200000000374"/>
    <m/>
    <n v="47.1"/>
    <n v="17.5"/>
    <x v="0"/>
    <x v="4"/>
    <s v="October"/>
    <s v="2003-41"/>
  </r>
  <r>
    <d v="2003-10-13T00:00:00"/>
    <n v="75.897528000000008"/>
    <n v="-0.53540499999999724"/>
    <m/>
    <n v="47.1"/>
    <n v="17.5"/>
    <n v="77.426488000000006"/>
    <n v="-0.23474799999999618"/>
    <m/>
    <n v="47.1"/>
    <n v="17.5"/>
    <x v="0"/>
    <x v="4"/>
    <s v="October"/>
    <s v="2003-42"/>
  </r>
  <r>
    <d v="2003-10-20T00:00:00"/>
    <n v="76.048059999999992"/>
    <n v="0.15053199999998412"/>
    <m/>
    <n v="47.1"/>
    <n v="17.5"/>
    <n v="77.544713999999999"/>
    <n v="0.11822599999999284"/>
    <m/>
    <n v="47.1"/>
    <n v="17.5"/>
    <x v="0"/>
    <x v="4"/>
    <s v="October"/>
    <s v="2003-43"/>
  </r>
  <r>
    <d v="2003-10-27T00:00:00"/>
    <n v="75.995459999999994"/>
    <n v="-5.2599999999998204E-2"/>
    <m/>
    <n v="47.1"/>
    <n v="17.5"/>
    <n v="77.510977999999994"/>
    <n v="-3.3736000000004651E-2"/>
    <m/>
    <n v="47.1"/>
    <n v="17.5"/>
    <x v="0"/>
    <x v="4"/>
    <s v="October"/>
    <s v="2003-44"/>
  </r>
  <r>
    <d v="2003-11-03T00:00:00"/>
    <n v="75.996259000000009"/>
    <n v="7.9900000001487115E-4"/>
    <m/>
    <n v="47.1"/>
    <n v="17.5"/>
    <n v="77.519974000000005"/>
    <n v="8.9960000000104401E-3"/>
    <m/>
    <n v="47.1"/>
    <n v="17.5"/>
    <x v="0"/>
    <x v="5"/>
    <s v="November"/>
    <s v="2003-45"/>
  </r>
  <r>
    <d v="2003-11-10T00:00:00"/>
    <n v="75.942830000000001"/>
    <n v="-5.3429000000008386E-2"/>
    <m/>
    <n v="47.1"/>
    <n v="17.5"/>
    <n v="77.469867999999991"/>
    <n v="-5.0106000000013751E-2"/>
    <m/>
    <n v="47.1"/>
    <n v="17.5"/>
    <x v="0"/>
    <x v="5"/>
    <s v="November"/>
    <s v="2003-46"/>
  </r>
  <r>
    <d v="2003-11-17T00:00:00"/>
    <n v="75.926843000000005"/>
    <n v="-1.5986999999995533E-2"/>
    <m/>
    <n v="47.1"/>
    <n v="17.5"/>
    <n v="77.517623999999998"/>
    <n v="4.7756000000006793E-2"/>
    <m/>
    <n v="47.1"/>
    <n v="17.5"/>
    <x v="0"/>
    <x v="5"/>
    <s v="November"/>
    <s v="2003-47"/>
  </r>
  <r>
    <d v="2003-11-24T00:00:00"/>
    <n v="76.015097999999995"/>
    <n v="8.8254999999989536E-2"/>
    <m/>
    <n v="47.1"/>
    <n v="17.5"/>
    <n v="77.670648"/>
    <n v="0.15302400000000205"/>
    <m/>
    <n v="47.1"/>
    <n v="17.5"/>
    <x v="0"/>
    <x v="5"/>
    <s v="November"/>
    <s v="2003-48"/>
  </r>
  <r>
    <d v="2003-12-01T00:00:00"/>
    <n v="75.995276000000004"/>
    <n v="-1.982199999999068E-2"/>
    <m/>
    <n v="47.1"/>
    <n v="17.5"/>
    <n v="77.657071999999999"/>
    <n v="-1.3576000000000477E-2"/>
    <m/>
    <n v="47.1"/>
    <n v="17.5"/>
    <x v="0"/>
    <x v="6"/>
    <s v="December"/>
    <s v="2003-49"/>
  </r>
  <r>
    <d v="2003-12-08T00:00:00"/>
    <n v="75.970566000000005"/>
    <n v="-2.47099999999989E-2"/>
    <m/>
    <n v="47.1"/>
    <n v="17.5"/>
    <n v="77.628803999999988"/>
    <n v="-2.8268000000011284E-2"/>
    <m/>
    <n v="47.1"/>
    <n v="17.5"/>
    <x v="0"/>
    <x v="6"/>
    <s v="December"/>
    <s v="2003-50"/>
  </r>
  <r>
    <d v="2003-12-15T00:00:00"/>
    <n v="75.959063"/>
    <n v="-1.1503000000004704E-2"/>
    <m/>
    <n v="47.1"/>
    <n v="17.5"/>
    <n v="77.619337999999999"/>
    <n v="-9.4659999999890942E-3"/>
    <m/>
    <n v="47.1"/>
    <n v="17.5"/>
    <x v="0"/>
    <x v="6"/>
    <s v="December"/>
    <s v="2003-51"/>
  </r>
  <r>
    <d v="2003-12-22T00:00:00"/>
    <n v="75.922636000000011"/>
    <n v="-3.6426999999989107E-2"/>
    <m/>
    <n v="47.1"/>
    <n v="17.5"/>
    <n v="77.613817999999995"/>
    <n v="-5.5200000000041882E-3"/>
    <m/>
    <n v="47.1"/>
    <n v="17.5"/>
    <x v="0"/>
    <x v="6"/>
    <s v="December"/>
    <s v="2003-52"/>
  </r>
  <r>
    <d v="2003-12-29T00:00:00"/>
    <n v="75.939699000000005"/>
    <n v="1.7062999999993167E-2"/>
    <m/>
    <n v="47.1"/>
    <n v="17.5"/>
    <n v="77.600881999999984"/>
    <n v="-1.2936000000010495E-2"/>
    <m/>
    <n v="47.1"/>
    <n v="17.5"/>
    <x v="0"/>
    <x v="6"/>
    <s v="December"/>
    <s v="2003-53"/>
  </r>
  <r>
    <d v="2004-01-05T00:00:00"/>
    <n v="75.876775000000009"/>
    <n v="-6.2923999999995317E-2"/>
    <m/>
    <n v="47.1"/>
    <n v="17.5"/>
    <n v="77.535647999999995"/>
    <n v="-6.5233999999989578E-2"/>
    <m/>
    <n v="47.1"/>
    <n v="17.5"/>
    <x v="1"/>
    <x v="7"/>
    <s v="January"/>
    <s v="2004-02"/>
  </r>
  <r>
    <d v="2004-01-12T00:00:00"/>
    <n v="75.898215999999991"/>
    <n v="2.1440999999981614E-2"/>
    <m/>
    <n v="47.1"/>
    <n v="17.5"/>
    <n v="77.542541999999997"/>
    <n v="6.8940000000026203E-3"/>
    <m/>
    <n v="47.1"/>
    <n v="17.5"/>
    <x v="1"/>
    <x v="7"/>
    <s v="January"/>
    <s v="2004-03"/>
  </r>
  <r>
    <d v="2004-01-19T00:00:00"/>
    <n v="76.360931000000008"/>
    <n v="0.46271500000001708"/>
    <m/>
    <n v="47.1"/>
    <n v="17.5"/>
    <n v="78.055917999999991"/>
    <n v="0.51337599999999384"/>
    <m/>
    <n v="47.1"/>
    <n v="17.5"/>
    <x v="1"/>
    <x v="7"/>
    <s v="January"/>
    <s v="2004-04"/>
  </r>
  <r>
    <d v="2004-01-26T00:00:00"/>
    <n v="76.440478999999996"/>
    <n v="7.9547999999988406E-2"/>
    <m/>
    <n v="47.1"/>
    <n v="17.5"/>
    <n v="78.07987"/>
    <n v="2.3952000000008411E-2"/>
    <m/>
    <n v="47.1"/>
    <n v="17.5"/>
    <x v="1"/>
    <x v="7"/>
    <s v="January"/>
    <s v="2004-05"/>
  </r>
  <r>
    <d v="2004-02-02T00:00:00"/>
    <n v="76.484503000000004"/>
    <n v="4.4024000000007391E-2"/>
    <m/>
    <n v="47.1"/>
    <n v="17.5"/>
    <n v="78.125573999999986"/>
    <n v="4.5703999999986422E-2"/>
    <m/>
    <n v="47.1"/>
    <n v="17.5"/>
    <x v="1"/>
    <x v="8"/>
    <s v="February"/>
    <s v="2004-06"/>
  </r>
  <r>
    <d v="2004-02-09T00:00:00"/>
    <n v="76.501518999999988"/>
    <n v="1.7015999999983933E-2"/>
    <m/>
    <n v="47.1"/>
    <n v="17.5"/>
    <n v="77.981781999999981"/>
    <n v="-0.1437920000000048"/>
    <m/>
    <n v="47.1"/>
    <n v="17.5"/>
    <x v="1"/>
    <x v="8"/>
    <s v="February"/>
    <s v="2004-07"/>
  </r>
  <r>
    <d v="2004-02-16T00:00:00"/>
    <n v="76.440508999999992"/>
    <n v="-6.1009999999996012E-2"/>
    <m/>
    <n v="47.1"/>
    <n v="17.5"/>
    <n v="77.996951999999993"/>
    <n v="1.5170000000011896E-2"/>
    <m/>
    <n v="47.1"/>
    <n v="17.5"/>
    <x v="1"/>
    <x v="8"/>
    <s v="February"/>
    <s v="2004-08"/>
  </r>
  <r>
    <d v="2004-02-23T00:00:00"/>
    <n v="76.381048000000007"/>
    <n v="-5.9460999999984665E-2"/>
    <m/>
    <n v="47.1"/>
    <n v="17.5"/>
    <n v="77.928959999999989"/>
    <n v="-6.7992000000003827E-2"/>
    <m/>
    <n v="47.1"/>
    <n v="17.5"/>
    <x v="1"/>
    <x v="8"/>
    <s v="February"/>
    <s v="2004-09"/>
  </r>
  <r>
    <d v="2004-03-01T00:00:00"/>
    <n v="76.324192000000011"/>
    <n v="-5.6855999999996243E-2"/>
    <m/>
    <n v="47.1"/>
    <n v="17.5"/>
    <n v="77.869355999999996"/>
    <n v="-5.9603999999993107E-2"/>
    <m/>
    <n v="47.1"/>
    <n v="17.5"/>
    <x v="1"/>
    <x v="9"/>
    <s v="March"/>
    <s v="2004-10"/>
  </r>
  <r>
    <d v="2004-03-08T00:00:00"/>
    <n v="76.733069"/>
    <n v="0.40887699999998972"/>
    <m/>
    <n v="47.1"/>
    <n v="17.5"/>
    <n v="78.254357999999996"/>
    <n v="0.38500200000000007"/>
    <m/>
    <n v="47.1"/>
    <n v="17.5"/>
    <x v="1"/>
    <x v="9"/>
    <s v="March"/>
    <s v="2004-11"/>
  </r>
  <r>
    <d v="2004-03-15T00:00:00"/>
    <n v="77.388471999999993"/>
    <n v="0.65540299999999263"/>
    <m/>
    <n v="47.1"/>
    <n v="17.5"/>
    <n v="78.797116000000003"/>
    <n v="0.54275800000000629"/>
    <m/>
    <n v="47.1"/>
    <n v="17.5"/>
    <x v="1"/>
    <x v="9"/>
    <s v="March"/>
    <s v="2004-12"/>
  </r>
  <r>
    <d v="2004-03-22T00:00:00"/>
    <n v="77.440048000000004"/>
    <n v="5.1576000000011391E-2"/>
    <m/>
    <n v="47.1"/>
    <n v="17.5"/>
    <n v="78.924886000000001"/>
    <n v="0.12776999999999816"/>
    <m/>
    <n v="47.1"/>
    <n v="17.5"/>
    <x v="1"/>
    <x v="9"/>
    <s v="March"/>
    <s v="2004-13"/>
  </r>
  <r>
    <d v="2004-03-29T00:00:00"/>
    <n v="77.590616000000011"/>
    <n v="0.15056800000000692"/>
    <m/>
    <n v="47.1"/>
    <n v="17.5"/>
    <n v="79.013481999999996"/>
    <n v="8.8595999999995456E-2"/>
    <m/>
    <n v="47.1"/>
    <n v="17.5"/>
    <x v="1"/>
    <x v="9"/>
    <s v="March"/>
    <s v="2004-14"/>
  </r>
  <r>
    <d v="2004-04-05T00:00:00"/>
    <n v="77.855522000000008"/>
    <n v="0.26490599999999631"/>
    <m/>
    <n v="47.1"/>
    <n v="17.5"/>
    <n v="79.232032999999987"/>
    <n v="0.21855099999999084"/>
    <m/>
    <n v="47.1"/>
    <n v="17.5"/>
    <x v="1"/>
    <x v="10"/>
    <s v="April"/>
    <s v="2004-15"/>
  </r>
  <r>
    <d v="2004-04-12T00:00:00"/>
    <n v="77.884124"/>
    <n v="2.8601999999992245E-2"/>
    <m/>
    <n v="47.1"/>
    <n v="17.5"/>
    <n v="79.270280999999997"/>
    <n v="3.8248000000010052E-2"/>
    <m/>
    <n v="47.1"/>
    <n v="17.5"/>
    <x v="1"/>
    <x v="10"/>
    <s v="April"/>
    <s v="2004-16"/>
  </r>
  <r>
    <d v="2004-04-19T00:00:00"/>
    <n v="78.043833000000006"/>
    <n v="0.15970900000000654"/>
    <m/>
    <n v="47.1"/>
    <n v="17.5"/>
    <n v="79.433368999999999"/>
    <n v="0.1630880000000019"/>
    <m/>
    <n v="47.1"/>
    <n v="17.5"/>
    <x v="1"/>
    <x v="10"/>
    <s v="April"/>
    <s v="2004-17"/>
  </r>
  <r>
    <d v="2004-04-26T00:00:00"/>
    <n v="78.395093000000003"/>
    <n v="0.35125999999999635"/>
    <m/>
    <n v="47.1"/>
    <n v="17.5"/>
    <n v="79.75238499999999"/>
    <n v="0.31901599999999064"/>
    <m/>
    <n v="47.1"/>
    <n v="17.5"/>
    <x v="1"/>
    <x v="10"/>
    <s v="April"/>
    <s v="2004-18"/>
  </r>
  <r>
    <d v="2004-05-04T00:00:00"/>
    <n v="79.275408999999996"/>
    <n v="0.88031599999999344"/>
    <m/>
    <n v="47.1"/>
    <n v="17.5"/>
    <n v="80.643159999999995"/>
    <n v="0.89077500000000498"/>
    <m/>
    <n v="47.1"/>
    <n v="17.5"/>
    <x v="1"/>
    <x v="11"/>
    <s v="May"/>
    <s v="2004-19"/>
  </r>
  <r>
    <d v="2004-05-10T00:00:00"/>
    <n v="80.295771999999999"/>
    <n v="1.0203630000000032"/>
    <m/>
    <n v="47.1"/>
    <n v="17.5"/>
    <n v="81.675301999999988"/>
    <n v="1.0321419999999932"/>
    <m/>
    <n v="47.1"/>
    <n v="17.5"/>
    <x v="1"/>
    <x v="11"/>
    <s v="May"/>
    <s v="2004-20"/>
  </r>
  <r>
    <d v="2004-05-17T00:00:00"/>
    <n v="81.493419000000003"/>
    <n v="1.1976470000000035"/>
    <m/>
    <n v="47.1"/>
    <n v="17.5"/>
    <n v="82.830852000000021"/>
    <n v="1.1555500000000336"/>
    <m/>
    <n v="47.1"/>
    <n v="17.5"/>
    <x v="1"/>
    <x v="11"/>
    <s v="May"/>
    <s v="2004-21"/>
  </r>
  <r>
    <d v="2004-05-24T00:00:00"/>
    <n v="82.125366"/>
    <n v="0.63194699999999671"/>
    <m/>
    <n v="47.1"/>
    <n v="17.5"/>
    <n v="83.479307000000006"/>
    <n v="0.64845499999998424"/>
    <m/>
    <n v="47.1"/>
    <n v="17.5"/>
    <x v="1"/>
    <x v="11"/>
    <s v="May"/>
    <s v="2004-22"/>
  </r>
  <r>
    <d v="2004-05-31T00:00:00"/>
    <n v="82.354682999999994"/>
    <n v="0.22931699999999466"/>
    <m/>
    <n v="47.1"/>
    <n v="17.5"/>
    <n v="83.612115999999986"/>
    <n v="0.13280899999998041"/>
    <m/>
    <n v="47.1"/>
    <n v="17.5"/>
    <x v="1"/>
    <x v="11"/>
    <s v="May"/>
    <s v="2004-23"/>
  </r>
  <r>
    <d v="2004-06-07T00:00:00"/>
    <n v="82.441050000000004"/>
    <n v="8.6367000000009853E-2"/>
    <n v="7.8507660000000072"/>
    <n v="47.1"/>
    <n v="17.5"/>
    <n v="83.651707000000002"/>
    <n v="3.9591000000015697E-2"/>
    <n v="6.8783130000000057"/>
    <n v="47.1"/>
    <n v="17.5"/>
    <x v="1"/>
    <x v="0"/>
    <s v="June"/>
    <s v="2004-24"/>
  </r>
  <r>
    <d v="2004-06-14T00:00:00"/>
    <n v="81.54213"/>
    <n v="-0.89892000000000394"/>
    <n v="7.0729869999999977"/>
    <n v="47.1"/>
    <n v="17.5"/>
    <n v="82.604957000000013"/>
    <n v="-1.0467499999999887"/>
    <n v="5.9159030000000143"/>
    <n v="47.1"/>
    <n v="17.5"/>
    <x v="1"/>
    <x v="0"/>
    <s v="June"/>
    <s v="2004-25"/>
  </r>
  <r>
    <d v="2004-06-21T00:00:00"/>
    <n v="81.042513999999997"/>
    <n v="-0.49961600000000317"/>
    <n v="6.6189480000000032"/>
    <n v="47.1"/>
    <n v="17.5"/>
    <n v="82.094263000000012"/>
    <n v="-0.51069400000000087"/>
    <n v="5.4737170000000077"/>
    <n v="47.1"/>
    <n v="17.5"/>
    <x v="1"/>
    <x v="0"/>
    <s v="June"/>
    <s v="2004-26"/>
  </r>
  <r>
    <d v="2004-06-28T00:00:00"/>
    <n v="80.408494999999988"/>
    <n v="-0.63401900000000921"/>
    <n v="6.0560739999999953"/>
    <n v="47.1"/>
    <n v="17.5"/>
    <n v="81.044817000000009"/>
    <n v="-1.0494460000000032"/>
    <n v="4.5395570000000163"/>
    <n v="47.1"/>
    <n v="17.5"/>
    <x v="1"/>
    <x v="0"/>
    <s v="June"/>
    <s v="2004-27"/>
  </r>
  <r>
    <d v="2004-07-05T00:00:00"/>
    <n v="79.873708999999991"/>
    <n v="-0.53478599999999687"/>
    <n v="5.5899719999999888"/>
    <n v="47.1"/>
    <n v="17.5"/>
    <n v="80.511467999999994"/>
    <n v="-0.53334900000001539"/>
    <n v="4.0540919999999971"/>
    <n v="47.1"/>
    <n v="17.5"/>
    <x v="1"/>
    <x v="1"/>
    <s v="July"/>
    <s v="2004-28"/>
  </r>
  <r>
    <d v="2004-07-12T00:00:00"/>
    <n v="80.336298999999997"/>
    <n v="0.46259000000000583"/>
    <n v="6.129722000000001"/>
    <n v="47.1"/>
    <n v="17.5"/>
    <n v="81.054852000000011"/>
    <n v="0.54338400000001741"/>
    <n v="4.6467320000000143"/>
    <n v="47.1"/>
    <n v="17.5"/>
    <x v="1"/>
    <x v="1"/>
    <s v="July"/>
    <s v="2004-29"/>
  </r>
  <r>
    <d v="2004-07-19T00:00:00"/>
    <n v="80.836542999999992"/>
    <n v="0.50024399999999503"/>
    <n v="5.771302999999989"/>
    <n v="47.1"/>
    <n v="17.5"/>
    <n v="81.677249000000018"/>
    <n v="0.62239700000000653"/>
    <n v="4.7781050000000107"/>
    <n v="47.1"/>
    <n v="17.5"/>
    <x v="1"/>
    <x v="1"/>
    <s v="July"/>
    <s v="2004-30"/>
  </r>
  <r>
    <d v="2004-07-26T00:00:00"/>
    <n v="80.868030000000005"/>
    <n v="3.1487000000012699E-2"/>
    <n v="5.7671749999999946"/>
    <n v="47.1"/>
    <n v="17.5"/>
    <n v="81.697859000000008"/>
    <n v="2.0609999999990691E-2"/>
    <n v="4.8359950000000111"/>
    <n v="47.1"/>
    <n v="17.5"/>
    <x v="1"/>
    <x v="1"/>
    <s v="July"/>
    <s v="2004-31"/>
  </r>
  <r>
    <d v="2004-08-02T00:00:00"/>
    <n v="80.855708000000007"/>
    <n v="-1.2321999999997502E-2"/>
    <n v="5.7313240000000008"/>
    <n v="47.1"/>
    <n v="17.5"/>
    <n v="81.793266000000017"/>
    <n v="9.5407000000008679E-2"/>
    <n v="4.9809240000000159"/>
    <n v="47.1"/>
    <n v="17.5"/>
    <x v="1"/>
    <x v="2"/>
    <s v="August"/>
    <s v="2004-32"/>
  </r>
  <r>
    <d v="2004-08-09T00:00:00"/>
    <n v="81.183042"/>
    <n v="0.32733399999999335"/>
    <n v="5.7385259999999931"/>
    <n v="47.1"/>
    <n v="17.5"/>
    <n v="82.144335000000027"/>
    <n v="0.35106900000000962"/>
    <n v="5.0635970000000299"/>
    <n v="47.1"/>
    <n v="17.5"/>
    <x v="1"/>
    <x v="2"/>
    <s v="August"/>
    <s v="2004-33"/>
  </r>
  <r>
    <d v="2004-08-16T00:00:00"/>
    <n v="81.251350000000002"/>
    <n v="6.8308000000001812E-2"/>
    <n v="5.4424020000000155"/>
    <n v="47.1"/>
    <n v="17.5"/>
    <n v="82.327274000000003"/>
    <n v="0.1829389999999762"/>
    <n v="4.8886839999999978"/>
    <n v="47.1"/>
    <n v="17.5"/>
    <x v="1"/>
    <x v="2"/>
    <s v="August"/>
    <s v="2004-34"/>
  </r>
  <r>
    <d v="2004-08-23T00:00:00"/>
    <n v="81.507866000000007"/>
    <n v="0.25651600000000485"/>
    <n v="5.4548550000000091"/>
    <n v="47.1"/>
    <n v="17.5"/>
    <n v="82.819437000000008"/>
    <n v="0.49216300000000501"/>
    <n v="5.1443430000000063"/>
    <n v="47.1"/>
    <n v="17.5"/>
    <x v="1"/>
    <x v="2"/>
    <s v="August"/>
    <s v="2004-35"/>
  </r>
  <r>
    <d v="2004-08-31T00:00:00"/>
    <n v="81.528019999999998"/>
    <n v="2.0153999999990901E-2"/>
    <n v="5.4021600000000092"/>
    <n v="47.1"/>
    <n v="17.5"/>
    <n v="82.887681000000001"/>
    <n v="6.8243999999992866E-2"/>
    <n v="5.2999769999999984"/>
    <n v="47.1"/>
    <n v="17.5"/>
    <x v="1"/>
    <x v="2"/>
    <s v="August"/>
    <s v="2004-36"/>
  </r>
  <r>
    <d v="2004-09-06T00:00:00"/>
    <n v="81.369415000000004"/>
    <n v="-0.15860499999999433"/>
    <n v="5.143225000000001"/>
    <n v="47.1"/>
    <n v="17.5"/>
    <n v="82.9208"/>
    <n v="3.3118999999999232E-2"/>
    <n v="5.2506599999999963"/>
    <n v="47.1"/>
    <n v="17.5"/>
    <x v="1"/>
    <x v="3"/>
    <s v="September"/>
    <s v="2004-37"/>
  </r>
  <r>
    <d v="2004-09-13T00:00:00"/>
    <n v="81.311183"/>
    <n v="-5.8232000000003836E-2"/>
    <n v="5.114758000000009"/>
    <n v="47.1"/>
    <n v="17.5"/>
    <n v="82.906786999999994"/>
    <n v="-1.4013000000005604E-2"/>
    <n v="5.280350999999996"/>
    <n v="47.1"/>
    <n v="17.5"/>
    <x v="1"/>
    <x v="3"/>
    <s v="September"/>
    <s v="2004-38"/>
  </r>
  <r>
    <d v="2004-09-20T00:00:00"/>
    <n v="81.278715000000005"/>
    <n v="-3.246799999999439E-2"/>
    <n v="5.1300060000000087"/>
    <n v="47.1"/>
    <n v="17.5"/>
    <n v="83.031695000000013"/>
    <n v="0.12490800000001911"/>
    <n v="5.4858530000000201"/>
    <n v="47.1"/>
    <n v="17.5"/>
    <x v="1"/>
    <x v="3"/>
    <s v="September"/>
    <s v="2004-39"/>
  </r>
  <r>
    <d v="2004-09-27T00:00:00"/>
    <n v="81.625393000000003"/>
    <n v="0.34667799999999716"/>
    <n v="5.5414030000000025"/>
    <n v="47.1"/>
    <n v="17.5"/>
    <n v="83.461528000000001"/>
    <n v="0.42983299999998792"/>
    <n v="5.9346340000000026"/>
    <n v="47.1"/>
    <n v="17.5"/>
    <x v="1"/>
    <x v="3"/>
    <s v="September"/>
    <s v="2004-40"/>
  </r>
  <r>
    <d v="2004-10-04T00:00:00"/>
    <n v="82.049086000000003"/>
    <n v="0.4236930000000001"/>
    <n v="5.6161529999999971"/>
    <n v="47.1"/>
    <n v="17.5"/>
    <n v="83.84076300000001"/>
    <n v="0.37923500000000843"/>
    <n v="6.1795270000000073"/>
    <n v="47.1"/>
    <n v="17.5"/>
    <x v="1"/>
    <x v="4"/>
    <s v="October"/>
    <s v="2004-41"/>
  </r>
  <r>
    <d v="2004-10-11T00:00:00"/>
    <n v="83.110709000000014"/>
    <n v="1.0616230000000115"/>
    <n v="7.2131810000000058"/>
    <n v="47.1"/>
    <n v="17.5"/>
    <n v="85.012929999999997"/>
    <n v="1.1721669999999875"/>
    <n v="7.586441999999991"/>
    <n v="47.1"/>
    <n v="17.5"/>
    <x v="1"/>
    <x v="4"/>
    <s v="October"/>
    <s v="2004-42"/>
  </r>
  <r>
    <d v="2004-10-18T00:00:00"/>
    <n v="83.349954999999994"/>
    <n v="0.23924599999998009"/>
    <n v="7.3018950000000018"/>
    <n v="47.1"/>
    <n v="17.5"/>
    <n v="85.33741599999999"/>
    <n v="0.32448599999999317"/>
    <n v="7.7927019999999914"/>
    <n v="47.1"/>
    <n v="17.5"/>
    <x v="1"/>
    <x v="4"/>
    <s v="October"/>
    <s v="2004-43"/>
  </r>
  <r>
    <d v="2004-10-25T00:00:00"/>
    <n v="83.935907999999998"/>
    <n v="0.5859530000000035"/>
    <n v="7.9404480000000035"/>
    <n v="47.1"/>
    <n v="17.5"/>
    <n v="86.034387999999993"/>
    <n v="0.69697200000000237"/>
    <n v="8.5234099999999984"/>
    <n v="47.1"/>
    <n v="17.5"/>
    <x v="1"/>
    <x v="4"/>
    <s v="October"/>
    <s v="2004-44"/>
  </r>
  <r>
    <d v="2004-11-01T00:00:00"/>
    <n v="84.269620000000003"/>
    <n v="0.33371200000000556"/>
    <n v="8.2733609999999942"/>
    <n v="47.1"/>
    <n v="17.5"/>
    <n v="86.421527000000012"/>
    <n v="0.387139000000019"/>
    <n v="8.9015530000000069"/>
    <n v="47.1"/>
    <n v="17.5"/>
    <x v="1"/>
    <x v="5"/>
    <s v="November"/>
    <s v="2004-45"/>
  </r>
  <r>
    <d v="2004-11-08T00:00:00"/>
    <n v="84.343500000000006"/>
    <n v="7.388000000000261E-2"/>
    <n v="8.4006700000000052"/>
    <n v="47.1"/>
    <n v="17.5"/>
    <n v="86.544431000000017"/>
    <n v="0.12290400000000545"/>
    <n v="9.0745630000000261"/>
    <n v="47.1"/>
    <n v="17.5"/>
    <x v="1"/>
    <x v="5"/>
    <s v="November"/>
    <s v="2004-46"/>
  </r>
  <r>
    <d v="2004-11-15T00:00:00"/>
    <n v="84.264193000000006"/>
    <n v="-7.9307000000000016E-2"/>
    <n v="8.3373500000000007"/>
    <n v="47.1"/>
    <n v="17.5"/>
    <n v="86.420849000000004"/>
    <n v="-0.12358200000001318"/>
    <n v="8.9032250000000062"/>
    <n v="47.1"/>
    <n v="17.5"/>
    <x v="1"/>
    <x v="5"/>
    <s v="November"/>
    <s v="2004-47"/>
  </r>
  <r>
    <d v="2004-11-22T00:00:00"/>
    <n v="81.46464499999999"/>
    <n v="-2.7995480000000157"/>
    <n v="5.4495469999999955"/>
    <n v="47.1"/>
    <n v="17.5"/>
    <n v="85.166606000000002"/>
    <n v="-1.2542430000000024"/>
    <n v="7.4959580000000017"/>
    <n v="47.1"/>
    <n v="17.5"/>
    <x v="1"/>
    <x v="5"/>
    <s v="November"/>
    <s v="2004-48"/>
  </r>
  <r>
    <d v="2004-11-29T00:00:00"/>
    <n v="84.165259000000006"/>
    <n v="2.7006140000000158"/>
    <n v="8.169983000000002"/>
    <n v="47.1"/>
    <n v="17.5"/>
    <n v="86.361028000000005"/>
    <n v="1.194422000000003"/>
    <n v="8.7039560000000051"/>
    <n v="47.1"/>
    <n v="17.5"/>
    <x v="1"/>
    <x v="5"/>
    <s v="November"/>
    <s v="2004-49"/>
  </r>
  <r>
    <d v="2004-12-06T00:00:00"/>
    <n v="84.062279000000018"/>
    <n v="-0.10297999999998808"/>
    <n v="8.0917130000000128"/>
    <n v="47.1"/>
    <n v="17.5"/>
    <n v="86.397681000000006"/>
    <n v="3.6653000000001157E-2"/>
    <n v="8.7688770000000176"/>
    <n v="47.1"/>
    <n v="17.5"/>
    <x v="1"/>
    <x v="6"/>
    <s v="December"/>
    <s v="2004-50"/>
  </r>
  <r>
    <d v="2004-12-13T00:00:00"/>
    <n v="82.732802000000007"/>
    <n v="-1.3294770000000113"/>
    <n v="6.7737390000000062"/>
    <n v="47.1"/>
    <n v="17.5"/>
    <n v="85.978619000000009"/>
    <n v="-0.41906199999999671"/>
    <n v="8.35928100000001"/>
    <n v="47.1"/>
    <n v="17.5"/>
    <x v="1"/>
    <x v="6"/>
    <s v="December"/>
    <s v="2004-51"/>
  </r>
  <r>
    <d v="2004-12-20T00:00:00"/>
    <n v="81.46464499999999"/>
    <n v="-1.2681570000000164"/>
    <n v="5.5420089999999789"/>
    <n v="47.1"/>
    <n v="17.5"/>
    <n v="85.166606000000002"/>
    <n v="-0.81201300000000742"/>
    <n v="7.5527880000000067"/>
    <n v="47.1"/>
    <n v="17.5"/>
    <x v="1"/>
    <x v="6"/>
    <s v="December"/>
    <s v="2004-52"/>
  </r>
  <r>
    <d v="2004-12-27T00:00:00"/>
    <n v="81.200710000000015"/>
    <n v="-0.26393499999997516"/>
    <n v="5.2610110000000105"/>
    <n v="47.1"/>
    <n v="17.5"/>
    <n v="85.14009200000001"/>
    <n v="-2.6513999999991711E-2"/>
    <n v="7.5392100000000255"/>
    <n v="47.1"/>
    <n v="17.5"/>
    <x v="1"/>
    <x v="6"/>
    <s v="December"/>
    <s v="2004-53"/>
  </r>
  <r>
    <d v="2005-01-03T00:00:00"/>
    <n v="81.165354000000008"/>
    <n v="-3.5356000000007271E-2"/>
    <n v="5.2885789999999986"/>
    <n v="47.1"/>
    <n v="17.5"/>
    <n v="85.123320000000007"/>
    <n v="-1.6772000000003118E-2"/>
    <n v="7.587672000000012"/>
    <n v="47.1"/>
    <n v="17.5"/>
    <x v="2"/>
    <x v="7"/>
    <s v="January"/>
    <s v="2005-02"/>
  </r>
  <r>
    <d v="2005-01-10T00:00:00"/>
    <n v="79.835996000000009"/>
    <n v="-1.3293579999999992"/>
    <n v="3.9377800000000178"/>
    <n v="47.1"/>
    <n v="17.5"/>
    <n v="84.865123999999994"/>
    <n v="-0.2581960000000123"/>
    <n v="7.322581999999997"/>
    <n v="47.1"/>
    <n v="17.5"/>
    <x v="2"/>
    <x v="7"/>
    <s v="January"/>
    <s v="2005-03"/>
  </r>
  <r>
    <d v="2005-01-17T00:00:00"/>
    <n v="78.934239999999988"/>
    <n v="-0.90175600000002021"/>
    <n v="2.5733089999999805"/>
    <n v="47.1"/>
    <n v="17.5"/>
    <n v="83.939431000000013"/>
    <n v="-0.92569299999998123"/>
    <n v="5.883513000000022"/>
    <n v="47.1"/>
    <n v="17.5"/>
    <x v="2"/>
    <x v="7"/>
    <s v="January"/>
    <s v="2005-04"/>
  </r>
  <r>
    <d v="2005-01-24T00:00:00"/>
    <n v="78.929773000000012"/>
    <n v="-4.4669999999769061E-3"/>
    <n v="2.4892940000000152"/>
    <n v="47.1"/>
    <n v="17.5"/>
    <n v="83.865077000000014"/>
    <n v="-7.4353999999999587E-2"/>
    <n v="5.785207000000014"/>
    <n v="47.1"/>
    <n v="17.5"/>
    <x v="2"/>
    <x v="7"/>
    <s v="January"/>
    <s v="2005-05"/>
  </r>
  <r>
    <d v="2005-01-31T00:00:00"/>
    <n v="79.540199000000001"/>
    <n v="0.6104259999999897"/>
    <n v="3.0556959999999975"/>
    <n v="47.1"/>
    <n v="17.5"/>
    <n v="84.225148000000019"/>
    <n v="0.36007100000000491"/>
    <n v="6.0995740000000325"/>
    <n v="47.1"/>
    <n v="17.5"/>
    <x v="2"/>
    <x v="7"/>
    <s v="January"/>
    <s v="2005-06"/>
  </r>
  <r>
    <d v="2005-02-07T00:00:00"/>
    <n v="79.843308000000007"/>
    <n v="0.30310900000000629"/>
    <n v="3.3417890000000199"/>
    <n v="47.1"/>
    <n v="17.5"/>
    <n v="84.274849000000003"/>
    <n v="4.9700999999984674E-2"/>
    <n v="6.2930670000000219"/>
    <n v="47.1"/>
    <n v="17.5"/>
    <x v="2"/>
    <x v="8"/>
    <s v="February"/>
    <s v="2005-07"/>
  </r>
  <r>
    <d v="2005-02-14T00:00:00"/>
    <n v="80.033432999999988"/>
    <n v="0.19012499999998056"/>
    <n v="3.5929239999999965"/>
    <n v="47.1"/>
    <n v="17.5"/>
    <n v="84.316680000000019"/>
    <n v="4.1831000000016161E-2"/>
    <n v="6.3197280000000262"/>
    <n v="47.1"/>
    <n v="17.5"/>
    <x v="2"/>
    <x v="8"/>
    <s v="February"/>
    <s v="2005-08"/>
  </r>
  <r>
    <d v="2005-02-21T00:00:00"/>
    <n v="80.150513000000004"/>
    <n v="0.11708000000001562"/>
    <n v="3.7694649999999967"/>
    <n v="47.1"/>
    <n v="17.5"/>
    <n v="84.358613999999989"/>
    <n v="4.1933999999969274E-2"/>
    <n v="6.4296539999999993"/>
    <n v="47.1"/>
    <n v="17.5"/>
    <x v="2"/>
    <x v="8"/>
    <s v="February"/>
    <s v="2005-09"/>
  </r>
  <r>
    <d v="2005-02-28T00:00:00"/>
    <n v="80.445567999999994"/>
    <n v="0.29505499999999074"/>
    <n v="4.1213759999999837"/>
    <n v="47.1"/>
    <n v="17.5"/>
    <n v="84.651199999999989"/>
    <n v="0.29258600000000001"/>
    <n v="6.7818439999999924"/>
    <n v="47.1"/>
    <n v="17.5"/>
    <x v="2"/>
    <x v="8"/>
    <s v="February"/>
    <s v="2005-10"/>
  </r>
  <r>
    <d v="2005-03-07T00:00:00"/>
    <n v="81.164686000000003"/>
    <n v="0.71911800000000881"/>
    <n v="4.4316170000000028"/>
    <n v="47.1"/>
    <n v="17.5"/>
    <n v="85.636466000000013"/>
    <n v="0.98526600000002418"/>
    <n v="7.3821080000000165"/>
    <n v="47.1"/>
    <n v="17.5"/>
    <x v="2"/>
    <x v="9"/>
    <s v="March"/>
    <s v="2005-11"/>
  </r>
  <r>
    <d v="2005-03-14T00:00:00"/>
    <n v="81.635306999999997"/>
    <n v="0.47062099999999418"/>
    <n v="4.2468350000000044"/>
    <n v="47.1"/>
    <n v="17.5"/>
    <n v="86.10979900000001"/>
    <n v="0.47333299999999667"/>
    <n v="7.3126830000000069"/>
    <n v="47.1"/>
    <n v="17.5"/>
    <x v="2"/>
    <x v="9"/>
    <s v="March"/>
    <s v="2005-12"/>
  </r>
  <r>
    <d v="2005-03-21T00:00:00"/>
    <n v="82.696926000000005"/>
    <n v="1.0616190000000074"/>
    <n v="5.2568780000000004"/>
    <n v="47.1"/>
    <n v="17.5"/>
    <n v="87.055381000000011"/>
    <n v="0.9455820000000017"/>
    <n v="8.1304950000000105"/>
    <n v="47.1"/>
    <n v="17.5"/>
    <x v="2"/>
    <x v="9"/>
    <s v="March"/>
    <s v="2005-13"/>
  </r>
  <r>
    <d v="2005-03-28T00:00:00"/>
    <n v="83.404918999999992"/>
    <n v="0.70799299999998766"/>
    <n v="5.8143029999999811"/>
    <n v="47.1"/>
    <n v="17.5"/>
    <n v="87.684281999999996"/>
    <n v="0.62890099999998483"/>
    <n v="8.6707999999999998"/>
    <n v="47.1"/>
    <n v="17.5"/>
    <x v="2"/>
    <x v="9"/>
    <s v="March"/>
    <s v="2005-14"/>
  </r>
  <r>
    <d v="2005-04-04T00:00:00"/>
    <n v="83.914503000000011"/>
    <n v="0.50958400000001802"/>
    <n v="6.0589810000000028"/>
    <n v="47.1"/>
    <n v="17.5"/>
    <n v="88.302899999999994"/>
    <n v="0.61861799999999789"/>
    <n v="9.0708670000000069"/>
    <n v="47.1"/>
    <n v="17.5"/>
    <x v="2"/>
    <x v="10"/>
    <s v="April"/>
    <s v="2005-15"/>
  </r>
  <r>
    <d v="2005-04-11T00:00:00"/>
    <n v="85.608850000000004"/>
    <n v="1.6943469999999934"/>
    <n v="7.724726000000004"/>
    <n v="47.1"/>
    <n v="17.5"/>
    <n v="89.816452999999996"/>
    <n v="1.5135530000000017"/>
    <n v="10.546171999999999"/>
    <n v="47.1"/>
    <n v="17.5"/>
    <x v="2"/>
    <x v="10"/>
    <s v="April"/>
    <s v="2005-16"/>
  </r>
  <r>
    <d v="2005-04-18T00:00:00"/>
    <n v="85.628297999999987"/>
    <n v="1.9447999999982812E-2"/>
    <n v="7.5844649999999803"/>
    <n v="47.1"/>
    <n v="17.5"/>
    <n v="89.799409000000011"/>
    <n v="-1.7043999999984294E-2"/>
    <n v="10.366040000000012"/>
    <n v="47.1"/>
    <n v="17.5"/>
    <x v="2"/>
    <x v="10"/>
    <s v="April"/>
    <s v="2005-17"/>
  </r>
  <r>
    <d v="2005-04-25T00:00:00"/>
    <n v="85.505451999999991"/>
    <n v="-0.12284599999999557"/>
    <n v="7.1103589999999883"/>
    <n v="47.1"/>
    <n v="17.5"/>
    <n v="89.622190000000003"/>
    <n v="-0.17721900000000801"/>
    <n v="9.8698050000000137"/>
    <n v="47.1"/>
    <n v="17.5"/>
    <x v="2"/>
    <x v="10"/>
    <s v="April"/>
    <s v="2005-18"/>
  </r>
  <r>
    <d v="2005-05-02T00:00:00"/>
    <n v="85.43958600000002"/>
    <n v="-6.5865999999971336E-2"/>
    <n v="6.1641770000000236"/>
    <n v="47.1"/>
    <n v="17.5"/>
    <n v="89.3"/>
    <n v="-0.32219000000000619"/>
    <n v="8.6568400000000025"/>
    <n v="47.1"/>
    <n v="17.5"/>
    <x v="2"/>
    <x v="11"/>
    <s v="May"/>
    <s v="2005-19"/>
  </r>
  <r>
    <d v="2005-05-09T00:00:00"/>
    <n v="85.359560000000002"/>
    <n v="-8.0026000000017916E-2"/>
    <n v="5.0637880000000024"/>
    <n v="47.1"/>
    <n v="17.5"/>
    <n v="89.456670999999986"/>
    <n v="0.15667099999998868"/>
    <n v="7.781368999999998"/>
    <n v="47.1"/>
    <n v="17.5"/>
    <x v="2"/>
    <x v="11"/>
    <s v="May"/>
    <s v="2005-20"/>
  </r>
  <r>
    <d v="2005-05-16T00:00:00"/>
    <n v="85.267619999999994"/>
    <n v="-9.1940000000008126E-2"/>
    <n v="3.7742009999999908"/>
    <n v="47.1"/>
    <n v="17.5"/>
    <n v="89.400206999999995"/>
    <n v="-5.6463999999991188E-2"/>
    <n v="6.5693549999999732"/>
    <n v="47.1"/>
    <n v="17.5"/>
    <x v="2"/>
    <x v="11"/>
    <s v="May"/>
    <s v="2005-21"/>
  </r>
  <r>
    <d v="2005-05-23T00:00:00"/>
    <n v="84.768938000000006"/>
    <n v="-0.49868199999998808"/>
    <n v="2.643572000000006"/>
    <n v="47.1"/>
    <n v="17.5"/>
    <n v="89.004167999999993"/>
    <n v="-0.39603900000000181"/>
    <n v="5.5248609999999871"/>
    <n v="47.1"/>
    <n v="17.5"/>
    <x v="2"/>
    <x v="11"/>
    <s v="May"/>
    <s v="2005-22"/>
  </r>
  <r>
    <d v="2005-05-30T00:00:00"/>
    <n v="84.177807000000001"/>
    <n v="-0.59113100000000429"/>
    <n v="1.8231240000000071"/>
    <n v="47.1"/>
    <n v="17.5"/>
    <n v="88.386880000000005"/>
    <n v="-0.61728799999998785"/>
    <n v="4.7747640000000189"/>
    <n v="47.1"/>
    <n v="17.5"/>
    <x v="2"/>
    <x v="11"/>
    <s v="May"/>
    <s v="2005-23"/>
  </r>
  <r>
    <d v="2005-06-06T00:00:00"/>
    <n v="84.012956000000003"/>
    <n v="-0.16485099999999875"/>
    <n v="1.5719059999999985"/>
    <n v="47.1"/>
    <n v="17.5"/>
    <n v="88.233068000000003"/>
    <n v="-0.15381200000000206"/>
    <n v="4.5813610000000011"/>
    <n v="47.1"/>
    <n v="17.5"/>
    <x v="2"/>
    <x v="0"/>
    <s v="June"/>
    <s v="2005-24"/>
  </r>
  <r>
    <d v="2005-06-13T00:00:00"/>
    <n v="84.989146000000005"/>
    <n v="0.97619000000000256"/>
    <n v="3.447016000000005"/>
    <n v="47.1"/>
    <n v="17.5"/>
    <n v="88.964725000000016"/>
    <n v="0.73165700000001266"/>
    <n v="6.3597680000000025"/>
    <n v="47.1"/>
    <n v="17.5"/>
    <x v="2"/>
    <x v="0"/>
    <s v="June"/>
    <s v="2005-25"/>
  </r>
  <r>
    <d v="2005-06-20T00:00:00"/>
    <n v="85.524471000000005"/>
    <n v="0.53532500000000027"/>
    <n v="4.4819570000000084"/>
    <n v="47.1"/>
    <n v="17.5"/>
    <n v="89.541020000000017"/>
    <n v="0.57629500000000178"/>
    <n v="7.4467570000000052"/>
    <n v="47.1"/>
    <n v="17.5"/>
    <x v="2"/>
    <x v="0"/>
    <s v="June"/>
    <s v="2005-26"/>
  </r>
  <r>
    <d v="2005-06-27T00:00:00"/>
    <n v="86.730518999999987"/>
    <n v="1.2060479999999814"/>
    <n v="6.322023999999999"/>
    <n v="47.1"/>
    <n v="17.5"/>
    <n v="90.273144000000002"/>
    <n v="0.73212399999998468"/>
    <n v="9.2283269999999931"/>
    <n v="47.1"/>
    <n v="17.5"/>
    <x v="2"/>
    <x v="0"/>
    <s v="June"/>
    <s v="2005-27"/>
  </r>
  <r>
    <d v="2005-07-04T00:00:00"/>
    <n v="87.485988000000006"/>
    <n v="0.75546900000001926"/>
    <n v="7.6122790000000151"/>
    <n v="47.1"/>
    <n v="17.5"/>
    <n v="90.999684999999999"/>
    <n v="0.72654099999999744"/>
    <n v="10.488217000000006"/>
    <n v="47.1"/>
    <n v="17.5"/>
    <x v="2"/>
    <x v="1"/>
    <s v="July"/>
    <s v="2005-28"/>
  </r>
  <r>
    <d v="2005-07-11T00:00:00"/>
    <n v="87.732742999999999"/>
    <n v="0.24675499999999317"/>
    <n v="7.3964440000000025"/>
    <n v="47.1"/>
    <n v="17.5"/>
    <n v="91.888536999999999"/>
    <n v="0.88885199999999998"/>
    <n v="10.833684999999988"/>
    <n v="47.1"/>
    <n v="17.5"/>
    <x v="2"/>
    <x v="1"/>
    <s v="July"/>
    <s v="2005-29"/>
  </r>
  <r>
    <d v="2005-07-18T00:00:00"/>
    <n v="88.549941999999987"/>
    <n v="0.81719899999998802"/>
    <n v="7.7133989999999955"/>
    <n v="47.1"/>
    <n v="17.5"/>
    <n v="92.670518000000001"/>
    <n v="0.78198100000000181"/>
    <n v="10.993268999999984"/>
    <n v="47.1"/>
    <n v="17.5"/>
    <x v="2"/>
    <x v="1"/>
    <s v="July"/>
    <s v="2005-30"/>
  </r>
  <r>
    <d v="2005-07-25T00:00:00"/>
    <n v="88.999424999999988"/>
    <n v="0.44948300000000074"/>
    <n v="8.1313949999999835"/>
    <n v="47.1"/>
    <n v="17.5"/>
    <n v="93.032986999999991"/>
    <n v="0.36246899999999016"/>
    <n v="11.335127999999983"/>
    <n v="47.1"/>
    <n v="17.5"/>
    <x v="2"/>
    <x v="1"/>
    <s v="July"/>
    <s v="2005-31"/>
  </r>
  <r>
    <d v="2005-08-01T00:00:00"/>
    <n v="89.245449999999991"/>
    <n v="0.24602500000000305"/>
    <n v="8.389741999999984"/>
    <n v="47.1"/>
    <n v="17.5"/>
    <n v="93.262693000000013"/>
    <n v="0.2297060000000215"/>
    <n v="11.469426999999996"/>
    <n v="47.1"/>
    <n v="17.5"/>
    <x v="2"/>
    <x v="2"/>
    <s v="August"/>
    <s v="2005-32"/>
  </r>
  <r>
    <d v="2005-08-08T00:00:00"/>
    <n v="89.667239000000009"/>
    <n v="0.42178900000001818"/>
    <n v="8.4841970000000089"/>
    <n v="47.1"/>
    <n v="17.5"/>
    <n v="93.627549000000016"/>
    <n v="0.36485600000000318"/>
    <n v="11.48321399999999"/>
    <n v="47.1"/>
    <n v="17.5"/>
    <x v="2"/>
    <x v="2"/>
    <s v="August"/>
    <s v="2005-33"/>
  </r>
  <r>
    <d v="2005-08-15T00:00:00"/>
    <n v="90.557814000000008"/>
    <n v="0.89057499999999834"/>
    <n v="9.3064640000000054"/>
    <n v="47.1"/>
    <n v="17.5"/>
    <n v="94.497185000000002"/>
    <n v="0.86963599999998564"/>
    <n v="12.169910999999999"/>
    <n v="47.1"/>
    <n v="17.5"/>
    <x v="2"/>
    <x v="2"/>
    <s v="August"/>
    <s v="2005-34"/>
  </r>
  <r>
    <d v="2005-08-22T00:00:00"/>
    <n v="90.773095999999995"/>
    <n v="0.21528199999998776"/>
    <n v="9.2652299999999883"/>
    <n v="47.1"/>
    <n v="17.5"/>
    <n v="94.676641999999987"/>
    <n v="0.1794569999999851"/>
    <n v="11.857204999999979"/>
    <n v="47.1"/>
    <n v="17.5"/>
    <x v="2"/>
    <x v="2"/>
    <s v="August"/>
    <s v="2005-35"/>
  </r>
  <r>
    <d v="2005-08-29T00:00:00"/>
    <n v="91.415612999999993"/>
    <n v="0.64251699999999801"/>
    <n v="9.8875929999999954"/>
    <n v="47.1"/>
    <n v="17.5"/>
    <n v="95.326917000000009"/>
    <n v="0.65027500000002192"/>
    <n v="12.439236000000008"/>
    <n v="47.1"/>
    <n v="17.5"/>
    <x v="2"/>
    <x v="2"/>
    <s v="August"/>
    <s v="2005-36"/>
  </r>
  <r>
    <d v="2005-09-05T00:00:00"/>
    <n v="94.374197000000009"/>
    <n v="2.9585840000000161"/>
    <n v="13.004782000000006"/>
    <n v="47.1"/>
    <n v="17.5"/>
    <n v="97.187450000000013"/>
    <n v="1.8605330000000038"/>
    <n v="14.266650000000013"/>
    <n v="47.1"/>
    <n v="17.5"/>
    <x v="2"/>
    <x v="3"/>
    <s v="September"/>
    <s v="2005-37"/>
  </r>
  <r>
    <d v="2005-09-12T00:00:00"/>
    <n v="95.073554999999999"/>
    <n v="0.69935799999998949"/>
    <n v="13.762371999999999"/>
    <n v="47.1"/>
    <n v="17.5"/>
    <n v="97.886866000000012"/>
    <n v="0.69941599999999937"/>
    <n v="14.980079000000018"/>
    <n v="47.1"/>
    <n v="17.5"/>
    <x v="2"/>
    <x v="3"/>
    <s v="September"/>
    <s v="2005-38"/>
  </r>
  <r>
    <d v="2005-09-19T00:00:00"/>
    <n v="94.414203000000001"/>
    <n v="-0.65935199999999838"/>
    <n v="13.135487999999995"/>
    <n v="47.1"/>
    <n v="17.5"/>
    <n v="97.318894999999998"/>
    <n v="-0.56797100000001421"/>
    <n v="14.287199999999984"/>
    <n v="47.1"/>
    <n v="17.5"/>
    <x v="2"/>
    <x v="3"/>
    <s v="September"/>
    <s v="2005-39"/>
  </r>
  <r>
    <d v="2005-09-26T00:00:00"/>
    <n v="93.332003999999984"/>
    <n v="-1.082199000000017"/>
    <n v="11.706610999999981"/>
    <n v="47.1"/>
    <n v="17.5"/>
    <n v="96.269036"/>
    <n v="-1.0498589999999979"/>
    <n v="12.807507999999999"/>
    <n v="47.1"/>
    <n v="17.5"/>
    <x v="2"/>
    <x v="3"/>
    <s v="September"/>
    <s v="2005-40"/>
  </r>
  <r>
    <d v="2005-10-03T00:00:00"/>
    <n v="93.512814000000006"/>
    <n v="0.18081000000002234"/>
    <n v="11.463728000000003"/>
    <n v="47.1"/>
    <n v="17.5"/>
    <n v="96.613071000000005"/>
    <n v="0.3440350000000052"/>
    <n v="12.772307999999995"/>
    <n v="47.1"/>
    <n v="17.5"/>
    <x v="2"/>
    <x v="4"/>
    <s v="October"/>
    <s v="2005-41"/>
  </r>
  <r>
    <d v="2005-10-10T00:00:00"/>
    <n v="94.247914999999992"/>
    <n v="0.73510099999998602"/>
    <n v="11.137205999999978"/>
    <n v="47.1"/>
    <n v="17.5"/>
    <n v="97.048919999999995"/>
    <n v="0.43584899999999038"/>
    <n v="12.035989999999998"/>
    <n v="47.1"/>
    <n v="17.5"/>
    <x v="2"/>
    <x v="4"/>
    <s v="October"/>
    <s v="2005-42"/>
  </r>
  <r>
    <d v="2005-10-17T00:00:00"/>
    <n v="94.142240000000015"/>
    <n v="-0.10567499999997665"/>
    <n v="10.792285000000021"/>
    <n v="47.1"/>
    <n v="17.5"/>
    <n v="96.999956000000012"/>
    <n v="-4.8963999999983798E-2"/>
    <n v="11.662540000000021"/>
    <n v="47.1"/>
    <n v="17.5"/>
    <x v="2"/>
    <x v="4"/>
    <s v="October"/>
    <s v="2005-43"/>
  </r>
  <r>
    <d v="2005-10-24T00:00:00"/>
    <n v="93.471981999999997"/>
    <n v="-0.67025800000001823"/>
    <n v="9.5360739999999993"/>
    <n v="47.1"/>
    <n v="17.5"/>
    <n v="96.796566000000013"/>
    <n v="-0.20338999999999885"/>
    <n v="10.76217800000002"/>
    <n v="47.1"/>
    <n v="17.5"/>
    <x v="2"/>
    <x v="4"/>
    <s v="October"/>
    <s v="2005-44"/>
  </r>
  <r>
    <d v="2005-10-31T00:00:00"/>
    <n v="92.788460999999998"/>
    <n v="-0.68352099999999893"/>
    <n v="8.5188409999999948"/>
    <n v="47.1"/>
    <n v="17.5"/>
    <n v="96.573724999999996"/>
    <n v="-0.22284100000001672"/>
    <n v="10.152197999999984"/>
    <n v="47.1"/>
    <n v="17.5"/>
    <x v="2"/>
    <x v="4"/>
    <s v="October"/>
    <s v="2005-45"/>
  </r>
  <r>
    <d v="2005-11-07T00:00:00"/>
    <n v="92.465075999999982"/>
    <n v="-0.32338500000001602"/>
    <n v="8.1215759999999761"/>
    <n v="47.1"/>
    <n v="17.5"/>
    <n v="96.592336000000003"/>
    <n v="1.8611000000007039E-2"/>
    <n v="10.047904999999986"/>
    <n v="47.1"/>
    <n v="17.5"/>
    <x v="2"/>
    <x v="5"/>
    <s v="November"/>
    <s v="2005-46"/>
  </r>
  <r>
    <d v="2005-11-14T00:00:00"/>
    <n v="90.532036000000005"/>
    <n v="-1.933039999999977"/>
    <n v="6.2678429999999992"/>
    <n v="47.1"/>
    <n v="17.5"/>
    <n v="94.918820999999994"/>
    <n v="-1.673515000000009"/>
    <n v="8.4979719999999901"/>
    <n v="47.1"/>
    <n v="17.5"/>
    <x v="2"/>
    <x v="5"/>
    <s v="November"/>
    <s v="2005-47"/>
  </r>
  <r>
    <d v="2005-11-21T00:00:00"/>
    <n v="88.608238"/>
    <n v="-1.923798000000005"/>
    <n v="7.1435930000000099"/>
    <n v="47.1"/>
    <n v="17.5"/>
    <n v="93.224740999999995"/>
    <n v="-1.6940799999999996"/>
    <n v="8.0581349999999929"/>
    <n v="47.1"/>
    <n v="17.5"/>
    <x v="2"/>
    <x v="5"/>
    <s v="November"/>
    <s v="2005-48"/>
  </r>
  <r>
    <d v="2005-11-28T00:00:00"/>
    <n v="87.347022999999993"/>
    <n v="-1.2612150000000071"/>
    <n v="3.1817639999999869"/>
    <n v="47.1"/>
    <n v="17.5"/>
    <n v="91.804357999999993"/>
    <n v="-1.4203830000000011"/>
    <n v="5.4433299999999889"/>
    <n v="47.1"/>
    <n v="17.5"/>
    <x v="2"/>
    <x v="5"/>
    <s v="November"/>
    <s v="2005-49"/>
  </r>
  <r>
    <d v="2005-12-05T00:00:00"/>
    <n v="87.347022999999993"/>
    <n v="0"/>
    <n v="3.284743999999975"/>
    <n v="47.1"/>
    <n v="17.5"/>
    <n v="91.804357999999993"/>
    <n v="0"/>
    <n v="5.4066769999999877"/>
    <n v="47.1"/>
    <n v="17.5"/>
    <x v="2"/>
    <x v="6"/>
    <s v="December"/>
    <s v="2005-50"/>
  </r>
  <r>
    <d v="2005-12-12T00:00:00"/>
    <n v="87.202474999999993"/>
    <n v="-0.14454800000000034"/>
    <n v="4.469672999999986"/>
    <n v="47.1"/>
    <n v="17.5"/>
    <n v="91.475917999999993"/>
    <n v="-0.32844000000000051"/>
    <n v="5.4972989999999839"/>
    <n v="47.1"/>
    <n v="17.5"/>
    <x v="2"/>
    <x v="6"/>
    <s v="December"/>
    <s v="2005-51"/>
  </r>
  <r>
    <d v="2005-12-19T00:00:00"/>
    <n v="87.557270000000017"/>
    <n v="0.35479500000002417"/>
    <n v="6.0926250000000266"/>
    <n v="47.1"/>
    <n v="17.5"/>
    <n v="91.828893999999991"/>
    <n v="0.35297599999999818"/>
    <n v="6.6622879999999896"/>
    <n v="47.1"/>
    <n v="17.5"/>
    <x v="2"/>
    <x v="6"/>
    <s v="December"/>
    <s v="2005-52"/>
  </r>
  <r>
    <d v="2005-12-26T00:00:00"/>
    <n v="87.884986000000012"/>
    <n v="0.32771599999999523"/>
    <n v="6.684275999999997"/>
    <n v="47.1"/>
    <n v="17.5"/>
    <n v="92.120989999999992"/>
    <n v="0.2920960000000008"/>
    <n v="6.9808979999999821"/>
    <n v="47.1"/>
    <n v="17.5"/>
    <x v="2"/>
    <x v="6"/>
    <s v="December"/>
    <s v="2005-53"/>
  </r>
  <r>
    <d v="2006-01-02T00:00:00"/>
    <n v="88.033395999999982"/>
    <n v="0.14840999999996995"/>
    <n v="6.8680419999999742"/>
    <n v="47.1"/>
    <n v="17.5"/>
    <n v="92.268669000000003"/>
    <n v="0.14767900000001077"/>
    <n v="7.145348999999996"/>
    <n v="47.1"/>
    <n v="17.5"/>
    <x v="3"/>
    <x v="7"/>
    <s v="January"/>
    <s v="2006-02"/>
  </r>
  <r>
    <d v="2006-01-09T00:00:00"/>
    <n v="88.560045000000002"/>
    <n v="0.52664900000002035"/>
    <n v="8.7240489999999937"/>
    <n v="47.1"/>
    <n v="17.5"/>
    <n v="92.940070999999989"/>
    <n v="0.67140199999998629"/>
    <n v="8.0749469999999945"/>
    <n v="47.1"/>
    <n v="17.5"/>
    <x v="3"/>
    <x v="7"/>
    <s v="January"/>
    <s v="2006-03"/>
  </r>
  <r>
    <d v="2006-01-16T00:00:00"/>
    <n v="89.007180000000005"/>
    <n v="0.44713500000000295"/>
    <n v="10.072940000000017"/>
    <n v="47.1"/>
    <n v="17.5"/>
    <n v="93.186062000000007"/>
    <n v="0.24599100000001783"/>
    <n v="9.2466309999999936"/>
    <n v="47.1"/>
    <n v="17.5"/>
    <x v="3"/>
    <x v="7"/>
    <s v="January"/>
    <s v="2006-04"/>
  </r>
  <r>
    <d v="2006-01-23T00:00:00"/>
    <n v="89.549011999999991"/>
    <n v="0.54183199999998521"/>
    <n v="10.619238999999979"/>
    <n v="47.1"/>
    <n v="17.5"/>
    <n v="93.622726"/>
    <n v="0.43666399999999328"/>
    <n v="9.7576489999999865"/>
    <n v="47.1"/>
    <n v="17.5"/>
    <x v="3"/>
    <x v="7"/>
    <s v="January"/>
    <s v="2006-05"/>
  </r>
  <r>
    <d v="2006-01-30T00:00:00"/>
    <n v="89.880272000000005"/>
    <n v="0.33126000000001454"/>
    <n v="10.340073000000004"/>
    <n v="47.1"/>
    <n v="17.5"/>
    <n v="93.934284999999988"/>
    <n v="0.31155899999998837"/>
    <n v="9.7091369999999699"/>
    <n v="47.1"/>
    <n v="17.5"/>
    <x v="3"/>
    <x v="7"/>
    <s v="January"/>
    <s v="2006-06"/>
  </r>
  <r>
    <d v="2006-02-06T00:00:00"/>
    <n v="89.734482999999997"/>
    <n v="-0.14578900000000772"/>
    <n v="9.8911749999999898"/>
    <n v="47.1"/>
    <n v="17.5"/>
    <n v="93.852165000000014"/>
    <n v="-8.211999999997488E-2"/>
    <n v="9.5773160000000104"/>
    <n v="47.1"/>
    <n v="17.5"/>
    <x v="3"/>
    <x v="8"/>
    <s v="February"/>
    <s v="2006-07"/>
  </r>
  <r>
    <d v="2006-02-13T00:00:00"/>
    <n v="89.649450000000002"/>
    <n v="-8.5032999999995695E-2"/>
    <n v="9.6160170000000136"/>
    <n v="47.1"/>
    <n v="17.5"/>
    <n v="93.774115999999992"/>
    <n v="-7.8049000000021351E-2"/>
    <n v="9.4574359999999729"/>
    <n v="47.1"/>
    <n v="17.5"/>
    <x v="3"/>
    <x v="8"/>
    <s v="February"/>
    <s v="2006-08"/>
  </r>
  <r>
    <d v="2006-02-20T00:00:00"/>
    <n v="89.596348999999989"/>
    <n v="-5.3101000000012277E-2"/>
    <n v="9.4458359999999857"/>
    <n v="47.1"/>
    <n v="17.5"/>
    <n v="93.753344000000013"/>
    <n v="-2.0771999999979585E-2"/>
    <n v="9.394730000000024"/>
    <n v="47.1"/>
    <n v="17.5"/>
    <x v="3"/>
    <x v="8"/>
    <s v="February"/>
    <s v="2006-09"/>
  </r>
  <r>
    <d v="2006-02-27T00:00:00"/>
    <n v="89.507039000000006"/>
    <n v="-8.9309999999983347E-2"/>
    <n v="9.0614710000000116"/>
    <n v="47.1"/>
    <n v="17.5"/>
    <n v="93.685020000000009"/>
    <n v="-6.8324000000004048E-2"/>
    <n v="9.0338200000000199"/>
    <n v="47.1"/>
    <n v="17.5"/>
    <x v="3"/>
    <x v="8"/>
    <s v="February"/>
    <s v="2006-10"/>
  </r>
  <r>
    <d v="2006-03-06T00:00:00"/>
    <n v="89.369137999999992"/>
    <n v="-0.1379010000000136"/>
    <n v="8.2044519999999892"/>
    <n v="47.1"/>
    <n v="17.5"/>
    <n v="93.627079000000009"/>
    <n v="-5.7940999999999576E-2"/>
    <n v="7.9906129999999962"/>
    <n v="47.1"/>
    <n v="17.5"/>
    <x v="3"/>
    <x v="9"/>
    <s v="March"/>
    <s v="2006-11"/>
  </r>
  <r>
    <d v="2006-03-13T00:00:00"/>
    <n v="89.554547999999983"/>
    <n v="0.1854099999999903"/>
    <n v="7.9192409999999853"/>
    <n v="47.1"/>
    <n v="17.5"/>
    <n v="93.852661000000012"/>
    <n v="0.22558200000000284"/>
    <n v="7.7428620000000024"/>
    <n v="47.1"/>
    <n v="17.5"/>
    <x v="3"/>
    <x v="9"/>
    <s v="March"/>
    <s v="2006-12"/>
  </r>
  <r>
    <d v="2006-03-20T00:00:00"/>
    <n v="90.191850000000002"/>
    <n v="0.63730200000001958"/>
    <n v="7.4949239999999975"/>
    <n v="47.1"/>
    <n v="17.5"/>
    <n v="94.421533000000011"/>
    <n v="0.56887199999999893"/>
    <n v="7.3661519999999996"/>
    <n v="47.1"/>
    <n v="17.5"/>
    <x v="3"/>
    <x v="9"/>
    <s v="March"/>
    <s v="2006-13"/>
  </r>
  <r>
    <d v="2006-03-27T00:00:00"/>
    <n v="91.161428571428573"/>
    <n v="0.96957857142857051"/>
    <n v="7.7565095714285803"/>
    <n v="47.1"/>
    <n v="17.5"/>
    <n v="94.950470000000024"/>
    <n v="0.52893700000001331"/>
    <n v="7.2661880000000281"/>
    <n v="47.1"/>
    <n v="17.5"/>
    <x v="3"/>
    <x v="9"/>
    <s v="March"/>
    <s v="2006-14"/>
  </r>
  <r>
    <d v="2006-04-03T00:00:00"/>
    <n v="91.78407"/>
    <n v="0.62264142857142701"/>
    <n v="7.8695669999999893"/>
    <n v="47.1"/>
    <n v="17.5"/>
    <n v="95.640287999999984"/>
    <n v="0.68981799999995985"/>
    <n v="7.33738799999999"/>
    <n v="47.1"/>
    <n v="17.5"/>
    <x v="3"/>
    <x v="10"/>
    <s v="April"/>
    <s v="2006-15"/>
  </r>
  <r>
    <d v="2006-04-10T00:00:00"/>
    <n v="92.770263"/>
    <n v="0.9861930000000001"/>
    <n v="7.161412999999996"/>
    <n v="47.1"/>
    <n v="17.5"/>
    <n v="96.400079000000005"/>
    <n v="0.7597910000000212"/>
    <n v="6.5836260000000095"/>
    <n v="47.1"/>
    <n v="17.5"/>
    <x v="3"/>
    <x v="10"/>
    <s v="April"/>
    <s v="2006-16"/>
  </r>
  <r>
    <d v="2006-04-18T00:00:00"/>
    <n v="94.229962"/>
    <n v="1.4596990000000005"/>
    <n v="8.6016640000000137"/>
    <n v="47.1"/>
    <n v="17.5"/>
    <n v="97.642411999999993"/>
    <n v="1.2423329999999879"/>
    <n v="7.8430029999999817"/>
    <n v="47.1"/>
    <n v="17.5"/>
    <x v="3"/>
    <x v="10"/>
    <s v="April"/>
    <s v="2006-17"/>
  </r>
  <r>
    <d v="2006-04-24T00:00:00"/>
    <n v="95.351672000000008"/>
    <n v="1.1217100000000073"/>
    <n v="9.8462200000000166"/>
    <n v="47.1"/>
    <n v="17.5"/>
    <n v="98.500204999999994"/>
    <n v="0.85779300000000092"/>
    <n v="8.8780149999999907"/>
    <n v="47.1"/>
    <n v="17.5"/>
    <x v="3"/>
    <x v="10"/>
    <s v="April"/>
    <s v="2006-18"/>
  </r>
  <r>
    <d v="2006-05-01T00:00:00"/>
    <n v="96.131447999999992"/>
    <n v="0.77977599999998404"/>
    <n v="10.691861999999972"/>
    <n v="47.1"/>
    <n v="17.5"/>
    <n v="98.900272000000001"/>
    <n v="0.40006700000000706"/>
    <n v="9.6002720000000039"/>
    <n v="47.1"/>
    <n v="17.5"/>
    <x v="3"/>
    <x v="11"/>
    <s v="May"/>
    <s v="2006-19"/>
  </r>
  <r>
    <d v="2006-05-08T00:00:00"/>
    <n v="96.460941000000005"/>
    <n v="0.32949300000001358"/>
    <n v="11.101381000000003"/>
    <n v="47.1"/>
    <n v="17.5"/>
    <n v="98.902568000000002"/>
    <n v="2.296000000001186E-3"/>
    <n v="9.4458970000000164"/>
    <n v="47.1"/>
    <n v="17.5"/>
    <x v="3"/>
    <x v="11"/>
    <s v="May"/>
    <s v="2006-20"/>
  </r>
  <r>
    <d v="2006-05-15T00:00:00"/>
    <n v="96.391477000000009"/>
    <n v="-6.9463999999996418E-2"/>
    <n v="11.123857000000015"/>
    <n v="47.1"/>
    <n v="17.5"/>
    <n v="98.744455000000002"/>
    <n v="-0.15811300000000017"/>
    <n v="9.3442480000000074"/>
    <n v="47.1"/>
    <n v="17.5"/>
    <x v="3"/>
    <x v="11"/>
    <s v="May"/>
    <s v="2006-21"/>
  </r>
  <r>
    <d v="2006-05-22T00:00:00"/>
    <n v="96.099114999999998"/>
    <n v="-0.29236200000001134"/>
    <n v="11.330176999999992"/>
    <n v="47.1"/>
    <n v="17.5"/>
    <n v="98.497185999999999"/>
    <n v="-0.24726900000000285"/>
    <n v="9.4930180000000064"/>
    <n v="47.1"/>
    <n v="17.5"/>
    <x v="3"/>
    <x v="11"/>
    <s v="May"/>
    <s v="2006-22"/>
  </r>
  <r>
    <d v="2006-05-29T00:00:00"/>
    <n v="95.364540999999988"/>
    <n v="-0.73457400000000916"/>
    <n v="11.186733999999987"/>
    <n v="47.1"/>
    <n v="17.5"/>
    <n v="97.692968000000008"/>
    <n v="-0.80421799999999166"/>
    <n v="9.3060880000000026"/>
    <n v="47.1"/>
    <n v="17.5"/>
    <x v="3"/>
    <x v="11"/>
    <s v="May"/>
    <s v="2006-23"/>
  </r>
  <r>
    <d v="2006-06-05T00:00:00"/>
    <n v="95.237023999999991"/>
    <n v="-0.12751699999999744"/>
    <n v="11.224067999999988"/>
    <n v="47.1"/>
    <n v="17.5"/>
    <n v="97.554976999999994"/>
    <n v="-0.13799100000001374"/>
    <n v="9.3219089999999909"/>
    <n v="47.1"/>
    <n v="17.5"/>
    <x v="3"/>
    <x v="0"/>
    <s v="June"/>
    <s v="2006-24"/>
  </r>
  <r>
    <d v="2006-06-12T00:00:00"/>
    <n v="95.494850999999997"/>
    <n v="0.25782700000000602"/>
    <n v="10.505704999999992"/>
    <n v="47.1"/>
    <n v="17.5"/>
    <n v="97.752037000000001"/>
    <n v="0.19706000000000756"/>
    <n v="8.7873119999999858"/>
    <n v="47.1"/>
    <n v="17.5"/>
    <x v="3"/>
    <x v="0"/>
    <s v="June"/>
    <s v="2006-25"/>
  </r>
  <r>
    <d v="2006-06-19T00:00:00"/>
    <n v="95.442477000000011"/>
    <n v="-5.2373999999986154E-2"/>
    <n v="9.9180060000000054"/>
    <n v="47.1"/>
    <n v="17.5"/>
    <n v="97.765829999999994"/>
    <n v="1.3792999999992617E-2"/>
    <n v="8.2248099999999766"/>
    <n v="47.1"/>
    <n v="17.5"/>
    <x v="3"/>
    <x v="0"/>
    <s v="June"/>
    <s v="2006-26"/>
  </r>
  <r>
    <d v="2006-06-26T00:00:00"/>
    <n v="94.971827999999988"/>
    <n v="-0.47064900000002297"/>
    <n v="8.2413090000000011"/>
    <n v="47.1"/>
    <n v="17.5"/>
    <n v="97.363848000000004"/>
    <n v="-0.40198199999998963"/>
    <n v="7.0907040000000023"/>
    <n v="47.1"/>
    <n v="17.5"/>
    <x v="3"/>
    <x v="0"/>
    <s v="June"/>
    <s v="2006-27"/>
  </r>
  <r>
    <d v="2006-07-03T00:00:00"/>
    <n v="95.267583999999999"/>
    <n v="0.29575600000001145"/>
    <n v="7.7815959999999933"/>
    <n v="47.1"/>
    <n v="17.5"/>
    <n v="97.600107000000008"/>
    <n v="0.23625900000000399"/>
    <n v="6.6004220000000089"/>
    <n v="47.1"/>
    <n v="17.5"/>
    <x v="3"/>
    <x v="1"/>
    <s v="July"/>
    <s v="2006-28"/>
  </r>
  <r>
    <d v="2006-07-10T00:00:00"/>
    <n v="95.694568000000004"/>
    <n v="0.42698400000000447"/>
    <n v="7.9618250000000046"/>
    <n v="47.1"/>
    <n v="17.5"/>
    <n v="97.994595000000004"/>
    <n v="0.39448799999999551"/>
    <n v="6.1060580000000044"/>
    <n v="47.1"/>
    <n v="17.5"/>
    <x v="3"/>
    <x v="1"/>
    <s v="July"/>
    <s v="2006-29"/>
  </r>
  <r>
    <d v="2006-07-17T00:00:00"/>
    <n v="96.881884000000014"/>
    <n v="1.1873160000000098"/>
    <n v="8.3319420000000264"/>
    <n v="47.1"/>
    <n v="17.5"/>
    <n v="98.743158999999991"/>
    <n v="0.74856399999998757"/>
    <n v="6.0726409999999902"/>
    <n v="47.1"/>
    <n v="17.5"/>
    <x v="3"/>
    <x v="1"/>
    <s v="July"/>
    <s v="2006-30"/>
  </r>
  <r>
    <d v="2006-07-24T00:00:00"/>
    <n v="97.784588999999997"/>
    <n v="0.90270499999998322"/>
    <n v="8.7851640000000089"/>
    <n v="47.1"/>
    <n v="17.5"/>
    <n v="99.405504000000008"/>
    <n v="0.66234500000001617"/>
    <n v="6.3725170000000162"/>
    <n v="47.1"/>
    <n v="17.5"/>
    <x v="3"/>
    <x v="1"/>
    <s v="July"/>
    <s v="2006-31"/>
  </r>
  <r>
    <d v="2006-07-31T00:00:00"/>
    <n v="97.829799999999992"/>
    <n v="4.5210999999994783E-2"/>
    <n v="8.5843500000000006"/>
    <n v="47.1"/>
    <n v="17.5"/>
    <n v="99.414105000000006"/>
    <n v="8.6009999999987485E-3"/>
    <n v="6.1514119999999934"/>
    <n v="47.1"/>
    <n v="17.5"/>
    <x v="3"/>
    <x v="1"/>
    <s v="July"/>
    <s v="2006-32"/>
  </r>
  <r>
    <d v="2006-08-07T00:00:00"/>
    <n v="98.051664999999986"/>
    <n v="0.22186499999999398"/>
    <n v="8.3844259999999764"/>
    <n v="47.1"/>
    <n v="17.5"/>
    <n v="99.572749999999999"/>
    <n v="0.15864499999999282"/>
    <n v="5.9452009999999831"/>
    <n v="47.1"/>
    <n v="17.5"/>
    <x v="3"/>
    <x v="2"/>
    <s v="August"/>
    <s v="2006-33"/>
  </r>
  <r>
    <d v="2006-08-14T00:00:00"/>
    <n v="97.816900000000004"/>
    <n v="-0.23476499999998168"/>
    <n v="7.2590859999999964"/>
    <n v="47.1"/>
    <n v="17.5"/>
    <n v="99.446228000000005"/>
    <n v="-0.12652199999999425"/>
    <n v="4.9490430000000032"/>
    <n v="47.1"/>
    <n v="17.5"/>
    <x v="3"/>
    <x v="2"/>
    <s v="August"/>
    <s v="2006-34"/>
  </r>
  <r>
    <d v="2006-08-21T00:00:00"/>
    <n v="95.743277000000006"/>
    <n v="-2.0736229999999978"/>
    <n v="4.9701810000000108"/>
    <n v="47.1"/>
    <n v="17.5"/>
    <n v="97.927852000000001"/>
    <n v="-1.5183760000000035"/>
    <n v="3.2512100000000146"/>
    <n v="47.1"/>
    <n v="17.5"/>
    <x v="3"/>
    <x v="2"/>
    <s v="August"/>
    <s v="2006-35"/>
  </r>
  <r>
    <d v="2006-08-28T00:00:00"/>
    <n v="94.401263"/>
    <n v="-1.342014000000006"/>
    <n v="2.9856500000000068"/>
    <n v="47.1"/>
    <n v="17.5"/>
    <n v="96.671294999999986"/>
    <n v="-1.256557000000015"/>
    <n v="1.3443779999999776"/>
    <n v="47.1"/>
    <n v="17.5"/>
    <x v="3"/>
    <x v="2"/>
    <s v="August"/>
    <s v="2006-36"/>
  </r>
  <r>
    <d v="2006-09-04T00:00:00"/>
    <n v="92.880980000000008"/>
    <n v="-1.5202829999999921"/>
    <n v="-1.4932170000000013"/>
    <n v="47.1"/>
    <n v="17.5"/>
    <n v="95.923818000000011"/>
    <n v="-0.74747699999997508"/>
    <n v="-1.2636320000000012"/>
    <n v="47.1"/>
    <n v="17.5"/>
    <x v="3"/>
    <x v="3"/>
    <s v="September"/>
    <s v="2006-37"/>
  </r>
  <r>
    <d v="2006-09-11T00:00:00"/>
    <n v="91.48115"/>
    <n v="-1.3998300000000086"/>
    <n v="-3.5924049999999994"/>
    <n v="47.1"/>
    <n v="17.5"/>
    <n v="95.338222000000002"/>
    <n v="-0.58559600000000955"/>
    <n v="-2.5486440000000101"/>
    <n v="47.1"/>
    <n v="17.5"/>
    <x v="3"/>
    <x v="3"/>
    <s v="September"/>
    <s v="2006-38"/>
  </r>
  <r>
    <d v="2006-09-18T00:00:00"/>
    <n v="89.776635999999996"/>
    <n v="-1.7045140000000032"/>
    <n v="-4.6375670000000042"/>
    <n v="47.1"/>
    <n v="17.5"/>
    <n v="94.948910999999995"/>
    <n v="-0.3893110000000064"/>
    <n v="-2.3699840000000023"/>
    <n v="47.1"/>
    <n v="17.5"/>
    <x v="3"/>
    <x v="3"/>
    <s v="September"/>
    <s v="2006-39"/>
  </r>
  <r>
    <d v="2006-09-25T00:00:00"/>
    <n v="88.201453999999998"/>
    <n v="-1.5751819999999981"/>
    <n v="-5.1305499999999853"/>
    <n v="47.1"/>
    <n v="17.5"/>
    <n v="93.513475999999997"/>
    <n v="-1.4354349999999982"/>
    <n v="-2.7555600000000027"/>
    <n v="47.1"/>
    <n v="17.5"/>
    <x v="3"/>
    <x v="3"/>
    <s v="September"/>
    <s v="2006-40"/>
  </r>
  <r>
    <d v="2006-10-02T00:00:00"/>
    <n v="86.946717000000021"/>
    <n v="-1.2547369999999773"/>
    <n v="-6.566096999999985"/>
    <n v="47.1"/>
    <n v="17.5"/>
    <n v="92.130327000000008"/>
    <n v="-1.3831489999999889"/>
    <n v="-4.4827439999999967"/>
    <n v="47.1"/>
    <n v="17.5"/>
    <x v="3"/>
    <x v="4"/>
    <s v="October"/>
    <s v="2006-41"/>
  </r>
  <r>
    <d v="2006-10-09T00:00:00"/>
    <n v="86.597413000000017"/>
    <n v="-0.34930400000000361"/>
    <n v="-7.6505019999999746"/>
    <n v="47.1"/>
    <n v="17.5"/>
    <n v="91.74212"/>
    <n v="-0.38820700000000841"/>
    <n v="-5.3067999999999955"/>
    <n v="47.1"/>
    <n v="17.5"/>
    <x v="3"/>
    <x v="4"/>
    <s v="October"/>
    <s v="2006-42"/>
  </r>
  <r>
    <d v="2006-10-16T00:00:00"/>
    <n v="85.909579000000008"/>
    <n v="-0.68783400000000938"/>
    <n v="-8.2326610000000073"/>
    <n v="47.1"/>
    <n v="17.5"/>
    <n v="91.591814999999997"/>
    <n v="-0.15030500000000302"/>
    <n v="-5.4081410000000147"/>
    <n v="47.1"/>
    <n v="17.5"/>
    <x v="3"/>
    <x v="4"/>
    <s v="October"/>
    <s v="2006-43"/>
  </r>
  <r>
    <d v="2006-10-23T00:00:00"/>
    <n v="85.735876000000005"/>
    <n v="-0.17370300000000327"/>
    <n v="-7.7361059999999924"/>
    <n v="47.1"/>
    <n v="17.5"/>
    <n v="91.215802000000011"/>
    <n v="-0.37601299999998616"/>
    <n v="-5.5807640000000021"/>
    <n v="47.1"/>
    <n v="17.5"/>
    <x v="3"/>
    <x v="4"/>
    <s v="October"/>
    <s v="2006-44"/>
  </r>
  <r>
    <d v="2006-10-30T00:00:00"/>
    <n v="85.601776999999998"/>
    <n v="-0.13409900000000619"/>
    <n v="-7.1866839999999996"/>
    <n v="47.1"/>
    <n v="17.5"/>
    <n v="91.165464999999998"/>
    <n v="-5.0337000000013177E-2"/>
    <n v="-5.4082599999999985"/>
    <n v="47.1"/>
    <n v="17.5"/>
    <x v="3"/>
    <x v="4"/>
    <s v="October"/>
    <s v="2006-45"/>
  </r>
  <r>
    <d v="2006-11-06T00:00:00"/>
    <n v="85.538726999999994"/>
    <n v="-6.3050000000004047E-2"/>
    <n v="-6.9263489999999877"/>
    <n v="47.1"/>
    <n v="17.5"/>
    <n v="91.121901999999992"/>
    <n v="-4.3563000000006014E-2"/>
    <n v="-5.4704340000000116"/>
    <n v="47.1"/>
    <n v="17.5"/>
    <x v="3"/>
    <x v="5"/>
    <s v="November"/>
    <s v="2006-46"/>
  </r>
  <r>
    <d v="2006-11-13T00:00:00"/>
    <n v="85.487883999999994"/>
    <n v="-5.0843000000000416E-2"/>
    <n v="-5.0441520000000111"/>
    <n v="47.1"/>
    <n v="17.5"/>
    <n v="91.147110999999995"/>
    <n v="2.5209000000003812E-2"/>
    <n v="-3.7717099999999988"/>
    <n v="47.1"/>
    <n v="17.5"/>
    <x v="3"/>
    <x v="5"/>
    <s v="November"/>
    <s v="2006-47"/>
  </r>
  <r>
    <d v="2006-11-20T00:00:00"/>
    <n v="85.454279"/>
    <n v="-3.3604999999994334E-2"/>
    <n v="-3.1539590000000004"/>
    <n v="47.1"/>
    <n v="17.5"/>
    <n v="91.169994000000017"/>
    <n v="2.2883000000021525E-2"/>
    <n v="-2.0547469999999777"/>
    <n v="47.1"/>
    <n v="17.5"/>
    <x v="3"/>
    <x v="5"/>
    <s v="November"/>
    <s v="2006-48"/>
  </r>
  <r>
    <d v="2006-11-27T00:00:00"/>
    <n v="85.469446000000005"/>
    <n v="1.516700000000526E-2"/>
    <n v="-1.8775769999999881"/>
    <n v="47.1"/>
    <n v="17.5"/>
    <n v="91.169990000000013"/>
    <n v="-4.0000000041118255E-6"/>
    <n v="-0.63436799999998073"/>
    <n v="47.1"/>
    <n v="17.5"/>
    <x v="3"/>
    <x v="5"/>
    <s v="November"/>
    <s v="2006-49"/>
  </r>
  <r>
    <d v="2006-12-04T00:00:00"/>
    <n v="85.464285714285694"/>
    <n v="-5.1602857143109304E-3"/>
    <n v="-1.882737285714299"/>
    <n v="47.1"/>
    <n v="17.5"/>
    <n v="91.502345000000005"/>
    <n v="0.33235499999999263"/>
    <n v="-0.3020129999999881"/>
    <n v="47.1"/>
    <n v="17.5"/>
    <x v="3"/>
    <x v="6"/>
    <s v="December"/>
    <s v="2006-50"/>
  </r>
  <r>
    <d v="2006-12-11T00:00:00"/>
    <n v="87.443624999999997"/>
    <n v="1.9793392857143033"/>
    <n v="0.24115000000000464"/>
    <n v="48.35"/>
    <n v="17.5"/>
    <n v="92.959130999999999"/>
    <n v="1.4567859999999939"/>
    <n v="1.4832130000000063"/>
    <n v="48.35"/>
    <n v="17.5"/>
    <x v="3"/>
    <x v="6"/>
    <s v="December"/>
    <s v="2006-51"/>
  </r>
  <r>
    <d v="2006-12-18T00:00:00"/>
    <n v="87.695621000000003"/>
    <n v="0.25199600000000544"/>
    <n v="0.1383509999999859"/>
    <n v="48.35"/>
    <n v="17.5"/>
    <n v="93.256807000000009"/>
    <n v="0.29767600000000982"/>
    <n v="1.427913000000018"/>
    <n v="48.35"/>
    <n v="17.5"/>
    <x v="3"/>
    <x v="6"/>
    <s v="December"/>
    <s v="2006-52"/>
  </r>
  <r>
    <d v="2006-12-25T00:00:00"/>
    <n v="87.904437000000001"/>
    <n v="0.20881599999999878"/>
    <n v="1.9450999999989449E-2"/>
    <n v="48.35"/>
    <n v="17.5"/>
    <n v="93.414743000000001"/>
    <n v="0.1579359999999923"/>
    <n v="1.2937530000000095"/>
    <n v="48.35"/>
    <n v="17.5"/>
    <x v="3"/>
    <x v="6"/>
    <s v="December"/>
    <s v="2006-53"/>
  </r>
  <r>
    <d v="2007-01-01T00:00:00"/>
    <n v="87.85318199999999"/>
    <n v="-5.1255000000011819E-2"/>
    <n v="-0.18021399999999232"/>
    <n v="48.35"/>
    <n v="17.5"/>
    <n v="93.402175"/>
    <n v="-1.2568000000001689E-2"/>
    <n v="1.133505999999997"/>
    <n v="48.35"/>
    <n v="17.5"/>
    <x v="4"/>
    <x v="7"/>
    <s v="January"/>
    <s v="2007-01"/>
  </r>
  <r>
    <d v="2007-01-08T00:00:00"/>
    <n v="87.660540999999995"/>
    <n v="-0.19264099999999473"/>
    <n v="-0.89950400000000741"/>
    <n v="48.35"/>
    <n v="17.5"/>
    <n v="93.110996999999983"/>
    <n v="-0.29117800000001637"/>
    <n v="0.17092599999999436"/>
    <n v="48.35"/>
    <n v="17.5"/>
    <x v="4"/>
    <x v="7"/>
    <s v="January"/>
    <s v="2007-02"/>
  </r>
  <r>
    <d v="2007-01-15T00:00:00"/>
    <n v="87.095045999999996"/>
    <n v="-0.56549499999999853"/>
    <n v="-1.9121340000000089"/>
    <n v="48.35"/>
    <n v="17.5"/>
    <n v="91.553679000000002"/>
    <n v="-1.5573179999999809"/>
    <n v="-1.6323830000000044"/>
    <n v="48.35"/>
    <n v="17.5"/>
    <x v="4"/>
    <x v="7"/>
    <s v="January"/>
    <s v="2007-03"/>
  </r>
  <r>
    <d v="2007-01-22T00:00:00"/>
    <n v="86.278868000000003"/>
    <n v="-0.81617799999999363"/>
    <n v="-3.2701439999999877"/>
    <n v="48.35"/>
    <n v="17.5"/>
    <n v="90.453727999999998"/>
    <n v="-1.0999510000000043"/>
    <n v="-3.168998000000002"/>
    <n v="48.35"/>
    <n v="17.5"/>
    <x v="4"/>
    <x v="7"/>
    <s v="January"/>
    <s v="2007-04"/>
  </r>
  <r>
    <d v="2007-01-29T00:00:00"/>
    <n v="85.65711499999999"/>
    <n v="-0.62175300000001243"/>
    <n v="-4.2231570000000147"/>
    <n v="48.35"/>
    <n v="17.5"/>
    <n v="89.69774000000001"/>
    <n v="-0.75598799999998789"/>
    <n v="-4.2365449999999782"/>
    <n v="48.35"/>
    <n v="17.5"/>
    <x v="4"/>
    <x v="7"/>
    <s v="January"/>
    <s v="2007-05"/>
  </r>
  <r>
    <d v="2007-02-05T00:00:00"/>
    <n v="85.618028999999993"/>
    <n v="-3.9085999999997512E-2"/>
    <n v="-4.1164540000000045"/>
    <n v="48.35"/>
    <n v="17.5"/>
    <n v="89.627096000000009"/>
    <n v="-7.0644000000001483E-2"/>
    <n v="-4.2250690000000048"/>
    <n v="48.35"/>
    <n v="17.5"/>
    <x v="4"/>
    <x v="8"/>
    <s v="February"/>
    <s v="2007-06"/>
  </r>
  <r>
    <d v="2007-02-12T00:00:00"/>
    <n v="86.122646999999986"/>
    <n v="0.50461799999999357"/>
    <n v="-3.5268030000000152"/>
    <n v="48.35"/>
    <n v="17.5"/>
    <n v="90.109189000000001"/>
    <n v="0.48209299999999189"/>
    <n v="-3.6649269999999916"/>
    <n v="48.35"/>
    <n v="17.5"/>
    <x v="4"/>
    <x v="8"/>
    <s v="February"/>
    <s v="2007-07"/>
  </r>
  <r>
    <d v="2007-02-19T00:00:00"/>
    <n v="86.599115999999995"/>
    <n v="0.47646900000000869"/>
    <n v="-2.9972329999999943"/>
    <n v="48.35"/>
    <n v="17.5"/>
    <n v="90.549378000000019"/>
    <n v="0.44018900000001793"/>
    <n v="-3.2039659999999941"/>
    <n v="48.35"/>
    <n v="17.5"/>
    <x v="4"/>
    <x v="8"/>
    <s v="February"/>
    <s v="2007-08"/>
  </r>
  <r>
    <d v="2007-02-26T00:00:00"/>
    <n v="87.066451000000001"/>
    <n v="0.46733500000000561"/>
    <n v="-2.4405880000000053"/>
    <n v="48.35"/>
    <n v="17.5"/>
    <n v="91.023191000000025"/>
    <n v="0.47381300000000692"/>
    <n v="-2.6618289999999831"/>
    <n v="48.35"/>
    <n v="17.5"/>
    <x v="4"/>
    <x v="8"/>
    <s v="February"/>
    <s v="2007-09"/>
  </r>
  <r>
    <d v="2007-03-05T00:00:00"/>
    <n v="87.74497199999999"/>
    <n v="0.67852099999998927"/>
    <n v="-1.6241660000000024"/>
    <n v="48.35"/>
    <n v="17.5"/>
    <n v="91.592096999999995"/>
    <n v="0.56890599999996994"/>
    <n v="-2.0349820000000136"/>
    <n v="48.35"/>
    <n v="17.5"/>
    <x v="4"/>
    <x v="9"/>
    <s v="March"/>
    <s v="2007-10"/>
  </r>
  <r>
    <d v="2007-03-12T00:00:00"/>
    <n v="88.479731999999998"/>
    <n v="0.73476000000000852"/>
    <n v="-1.0748159999999842"/>
    <n v="48.35"/>
    <n v="17.5"/>
    <n v="92.167052000000012"/>
    <n v="0.57495500000001698"/>
    <n v="-1.6856089999999995"/>
    <n v="48.35"/>
    <n v="17.5"/>
    <x v="4"/>
    <x v="9"/>
    <s v="March"/>
    <s v="2007-11"/>
  </r>
  <r>
    <d v="2007-03-19T00:00:00"/>
    <n v="88.934463000000008"/>
    <n v="0.45473100000000954"/>
    <n v="-1.2573869999999943"/>
    <n v="48.35"/>
    <n v="17.5"/>
    <n v="92.605579999999989"/>
    <n v="0.43852799999997671"/>
    <n v="-1.8159530000000217"/>
    <n v="48.35"/>
    <n v="17.5"/>
    <x v="4"/>
    <x v="9"/>
    <s v="March"/>
    <s v="2007-12"/>
  </r>
  <r>
    <d v="2007-03-26T00:00:00"/>
    <n v="89.319930999999997"/>
    <n v="0.38546799999998882"/>
    <n v="-1.841497571428576"/>
    <n v="48.35"/>
    <n v="17.5"/>
    <n v="92.911861999999999"/>
    <n v="0.30628200000001016"/>
    <n v="-2.0386080000000248"/>
    <n v="48.35"/>
    <n v="17.5"/>
    <x v="4"/>
    <x v="9"/>
    <s v="March"/>
    <s v="2007-13"/>
  </r>
  <r>
    <d v="2007-04-02T00:00:00"/>
    <n v="90.471061000000006"/>
    <n v="1.1511300000000091"/>
    <n v="-1.3130089999999939"/>
    <n v="48.35"/>
    <n v="17.5"/>
    <n v="93.903604999999985"/>
    <n v="0.99174299999998539"/>
    <n v="-1.7366829999999993"/>
    <n v="48.35"/>
    <n v="17.5"/>
    <x v="4"/>
    <x v="10"/>
    <s v="April"/>
    <s v="2007-14"/>
  </r>
  <r>
    <d v="2007-04-10T00:00:00"/>
    <n v="91.176439999999999"/>
    <n v="0.70537899999999354"/>
    <n v="-1.5938230000000004"/>
    <n v="48.35"/>
    <n v="17.5"/>
    <n v="94.334735999999992"/>
    <n v="0.4311310000000077"/>
    <n v="-2.0653430000000128"/>
    <n v="48.35"/>
    <n v="17.5"/>
    <x v="4"/>
    <x v="10"/>
    <s v="April"/>
    <s v="2007-15"/>
  </r>
  <r>
    <d v="2007-04-16T00:00:00"/>
    <n v="91.994012000000012"/>
    <n v="0.81757200000001262"/>
    <n v="-2.2359499999999883"/>
    <n v="48.35"/>
    <n v="17.5"/>
    <n v="94.855547000000001"/>
    <n v="0.52081100000000902"/>
    <n v="-2.7868649999999917"/>
    <n v="48.35"/>
    <n v="17.5"/>
    <x v="4"/>
    <x v="10"/>
    <s v="April"/>
    <s v="2007-16"/>
  </r>
  <r>
    <d v="2007-04-23T00:00:00"/>
    <n v="92.933350000000004"/>
    <n v="0.93933799999999223"/>
    <n v="-2.4183220000000034"/>
    <n v="48.35"/>
    <n v="17.5"/>
    <n v="95.389550999999997"/>
    <n v="0.53400399999999593"/>
    <n v="-3.1106539999999967"/>
    <n v="48.35"/>
    <n v="17.5"/>
    <x v="4"/>
    <x v="10"/>
    <s v="April"/>
    <s v="2007-17"/>
  </r>
  <r>
    <d v="2007-04-30T00:00:00"/>
    <n v="93.453507999999985"/>
    <n v="0.5201579999999808"/>
    <n v="-2.6779400000000066"/>
    <n v="48.35"/>
    <n v="17.5"/>
    <n v="95.714405999999997"/>
    <n v="0.32485499999999945"/>
    <n v="-3.1858660000000043"/>
    <n v="48.35"/>
    <n v="17.5"/>
    <x v="4"/>
    <x v="10"/>
    <s v="April"/>
    <s v="2007-18"/>
  </r>
  <r>
    <d v="2007-05-07T00:00:00"/>
    <n v="94.426373999999981"/>
    <n v="0.97286599999999623"/>
    <n v="-2.034567000000024"/>
    <n v="48.35"/>
    <n v="17.5"/>
    <n v="96.118266000000006"/>
    <n v="0.40386000000000877"/>
    <n v="-2.7843019999999967"/>
    <n v="48.35"/>
    <n v="17.5"/>
    <x v="4"/>
    <x v="11"/>
    <s v="May"/>
    <s v="2007-19"/>
  </r>
  <r>
    <d v="2007-05-14T00:00:00"/>
    <n v="95.071353999999999"/>
    <n v="0.64498000000001809"/>
    <n v="-1.3201230000000095"/>
    <n v="48.35"/>
    <n v="17.5"/>
    <n v="96.467446999999993"/>
    <n v="0.34918099999998731"/>
    <n v="-2.2770080000000092"/>
    <n v="48.35"/>
    <n v="17.5"/>
    <x v="4"/>
    <x v="11"/>
    <s v="May"/>
    <s v="2007-20"/>
  </r>
  <r>
    <d v="2007-05-21T00:00:00"/>
    <n v="95.705787000000001"/>
    <n v="0.63443300000000136"/>
    <n v="-0.39332799999999679"/>
    <n v="48.35"/>
    <n v="17.5"/>
    <n v="96.688691999999989"/>
    <n v="0.22124499999999614"/>
    <n v="-1.8084940000000103"/>
    <n v="48.35"/>
    <n v="17.5"/>
    <x v="4"/>
    <x v="11"/>
    <s v="May"/>
    <s v="2007-21"/>
  </r>
  <r>
    <d v="2007-05-28T00:00:00"/>
    <n v="96.162215999999987"/>
    <n v="0.45642899999998576"/>
    <n v="0.79767499999999814"/>
    <n v="48.35"/>
    <n v="17.5"/>
    <n v="96.990185000000011"/>
    <n v="0.30149300000002199"/>
    <n v="-0.7027829999999966"/>
    <n v="48.35"/>
    <n v="17.5"/>
    <x v="4"/>
    <x v="11"/>
    <s v="May"/>
    <s v="2007-22"/>
  </r>
  <r>
    <d v="2007-06-04T00:00:00"/>
    <n v="96.512986999999995"/>
    <n v="0.35077100000000883"/>
    <n v="1.2759630000000044"/>
    <n v="48.35"/>
    <n v="17.5"/>
    <n v="97.191477999999989"/>
    <n v="0.20129299999997841"/>
    <n v="-0.36349900000000446"/>
    <n v="48.35"/>
    <n v="17.5"/>
    <x v="4"/>
    <x v="0"/>
    <s v="June"/>
    <s v="2007-23"/>
  </r>
  <r>
    <d v="2007-06-11T00:00:00"/>
    <n v="96.613450999999998"/>
    <n v="0.10046400000000233"/>
    <n v="1.1186000000000007"/>
    <n v="48.35"/>
    <n v="17.5"/>
    <n v="97.199683000000007"/>
    <n v="8.2050000000180034E-3"/>
    <n v="-0.55235399999999402"/>
    <n v="48.35"/>
    <n v="17.5"/>
    <x v="4"/>
    <x v="0"/>
    <s v="June"/>
    <s v="2007-24"/>
  </r>
  <r>
    <d v="2007-06-18T00:00:00"/>
    <n v="96.559406999999993"/>
    <n v="-5.4044000000004644E-2"/>
    <n v="1.1169299999999822"/>
    <n v="48.35"/>
    <n v="17.5"/>
    <n v="97.112813000000003"/>
    <n v="-8.6870000000004666E-2"/>
    <n v="-0.6530169999999913"/>
    <n v="48.35"/>
    <n v="17.5"/>
    <x v="4"/>
    <x v="0"/>
    <s v="June"/>
    <s v="2007-25"/>
  </r>
  <r>
    <d v="2007-06-25T00:00:00"/>
    <n v="96.542167000000006"/>
    <n v="-1.7239999999986821E-2"/>
    <n v="1.5703390000000184"/>
    <n v="48.35"/>
    <n v="17.5"/>
    <n v="97.123016000000007"/>
    <n v="1.0203000000004181E-2"/>
    <n v="-0.24083199999999749"/>
    <n v="48.35"/>
    <n v="17.5"/>
    <x v="4"/>
    <x v="0"/>
    <s v="June"/>
    <s v="2007-26"/>
  </r>
  <r>
    <d v="2007-07-02T00:00:00"/>
    <n v="96.358249999999998"/>
    <n v="-0.1839170000000081"/>
    <n v="1.0906659999999988"/>
    <n v="48.35"/>
    <n v="17.5"/>
    <n v="96.88715599999999"/>
    <n v="-0.23586000000001661"/>
    <n v="-0.7129510000000181"/>
    <n v="48.35"/>
    <n v="17.5"/>
    <x v="4"/>
    <x v="1"/>
    <s v="July"/>
    <s v="2007-27"/>
  </r>
  <r>
    <d v="2007-07-09T00:00:00"/>
    <n v="96.196229999999986"/>
    <n v="-0.16202000000001249"/>
    <n v="0.50166199999998184"/>
    <n v="48.35"/>
    <n v="17.5"/>
    <n v="96.778120999999999"/>
    <n v="-0.10903499999999156"/>
    <n v="-1.2164740000000052"/>
    <n v="48.35"/>
    <n v="17.5"/>
    <x v="4"/>
    <x v="1"/>
    <s v="July"/>
    <s v="2007-28"/>
  </r>
  <r>
    <d v="2007-07-16T00:00:00"/>
    <n v="96.20974600000001"/>
    <n v="1.3516000000024064E-2"/>
    <n v="-0.6721380000000039"/>
    <n v="48.35"/>
    <n v="17.5"/>
    <n v="96.785415"/>
    <n v="7.294000000001688E-3"/>
    <n v="-1.957743999999991"/>
    <n v="48.35"/>
    <n v="17.5"/>
    <x v="4"/>
    <x v="1"/>
    <s v="July"/>
    <s v="2007-29"/>
  </r>
  <r>
    <d v="2007-07-23T00:00:00"/>
    <n v="96.232653999999997"/>
    <n v="2.2907999999986828E-2"/>
    <n v="-1.5519350000000003"/>
    <n v="48.35"/>
    <n v="17.5"/>
    <n v="96.829441000000003"/>
    <n v="4.4026000000002341E-2"/>
    <n v="-2.5760630000000049"/>
    <n v="48.35"/>
    <n v="17.5"/>
    <x v="4"/>
    <x v="1"/>
    <s v="July"/>
    <s v="2007-30"/>
  </r>
  <r>
    <d v="2007-07-30T00:00:00"/>
    <n v="96.196604999999991"/>
    <n v="-3.6049000000005549E-2"/>
    <n v="-1.6331950000000006"/>
    <n v="48.35"/>
    <n v="17.5"/>
    <n v="96.765517000000003"/>
    <n v="-6.3924000000000092E-2"/>
    <n v="-2.6485880000000037"/>
    <n v="48.35"/>
    <n v="17.5"/>
    <x v="4"/>
    <x v="1"/>
    <s v="July"/>
    <s v="2007-31"/>
  </r>
  <r>
    <d v="2007-08-06T00:00:00"/>
    <n v="96.147015999999994"/>
    <n v="-4.9588999999997441E-2"/>
    <n v="-1.904648999999992"/>
    <n v="48.35"/>
    <n v="17.5"/>
    <n v="96.719837999999996"/>
    <n v="-4.5679000000006909E-2"/>
    <n v="-2.8529120000000034"/>
    <n v="48.35"/>
    <n v="17.5"/>
    <x v="4"/>
    <x v="2"/>
    <s v="August"/>
    <s v="2007-32"/>
  </r>
  <r>
    <d v="2007-08-13T00:00:00"/>
    <n v="95.999734999999987"/>
    <n v="-0.14728100000000666"/>
    <n v="-1.817165000000017"/>
    <n v="48.35"/>
    <n v="17.5"/>
    <n v="96.699594000000005"/>
    <n v="-2.0243999999991047E-2"/>
    <n v="-2.7466340000000002"/>
    <n v="48.35"/>
    <n v="17.5"/>
    <x v="4"/>
    <x v="2"/>
    <s v="August"/>
    <s v="2007-33"/>
  </r>
  <r>
    <d v="2007-08-20T00:00:00"/>
    <n v="95.306029000000009"/>
    <n v="-0.69370599999997751"/>
    <n v="-0.43724799999999675"/>
    <n v="48.35"/>
    <n v="17.5"/>
    <n v="96.594070000000016"/>
    <n v="-0.1055239999999884"/>
    <n v="-1.3337819999999851"/>
    <n v="48.35"/>
    <n v="17.5"/>
    <x v="4"/>
    <x v="2"/>
    <s v="August"/>
    <s v="2007-34"/>
  </r>
  <r>
    <d v="2007-08-27T00:00:00"/>
    <n v="95.002753999999982"/>
    <n v="-0.30327500000002772"/>
    <n v="0.60149099999998157"/>
    <n v="48.35"/>
    <n v="17.5"/>
    <n v="96.367761000000002"/>
    <n v="-0.22630900000001475"/>
    <n v="-0.30353399999998487"/>
    <n v="48.35"/>
    <n v="17.5"/>
    <x v="4"/>
    <x v="2"/>
    <s v="August"/>
    <s v="2007-35"/>
  </r>
  <r>
    <d v="2007-09-03T00:00:00"/>
    <n v="94.80359"/>
    <n v="-0.19916399999998191"/>
    <n v="1.9226099999999917"/>
    <n v="48.35"/>
    <n v="17.5"/>
    <n v="96.373106000000007"/>
    <n v="5.3450000000054843E-3"/>
    <n v="0.44928799999999569"/>
    <n v="48.35"/>
    <n v="17.5"/>
    <x v="4"/>
    <x v="3"/>
    <s v="September"/>
    <s v="2007-36"/>
  </r>
  <r>
    <d v="2007-09-10T00:00:00"/>
    <n v="94.634482999999989"/>
    <n v="-0.169107000000011"/>
    <n v="3.1533329999999893"/>
    <n v="48.35"/>
    <n v="17.5"/>
    <n v="96.336757000000006"/>
    <n v="-3.6349000000001297E-2"/>
    <n v="0.99853500000000395"/>
    <n v="48.35"/>
    <n v="17.5"/>
    <x v="4"/>
    <x v="3"/>
    <s v="September"/>
    <s v="2007-37"/>
  </r>
  <r>
    <d v="2007-09-17T00:00:00"/>
    <n v="94.653323"/>
    <n v="1.8840000000011514E-2"/>
    <n v="4.876687000000004"/>
    <n v="48.35"/>
    <n v="17.5"/>
    <n v="96.44531400000001"/>
    <n v="0.10855700000000468"/>
    <n v="1.496403000000015"/>
    <n v="48.35"/>
    <n v="17.5"/>
    <x v="4"/>
    <x v="3"/>
    <s v="September"/>
    <s v="2007-38"/>
  </r>
  <r>
    <d v="2007-09-24T00:00:00"/>
    <n v="94.912046000000004"/>
    <n v="0.25872300000000337"/>
    <n v="6.7105920000000054"/>
    <n v="48.35"/>
    <n v="17.5"/>
    <n v="96.896065000000007"/>
    <n v="0.45075099999999679"/>
    <n v="3.3825890000000101"/>
    <n v="48.35"/>
    <n v="17.5"/>
    <x v="4"/>
    <x v="3"/>
    <s v="September"/>
    <s v="2007-39"/>
  </r>
  <r>
    <d v="2007-10-01T00:00:00"/>
    <n v="96.393332999999998"/>
    <n v="1.4812869999999947"/>
    <n v="9.4466159999999775"/>
    <n v="50.35"/>
    <n v="17.5"/>
    <n v="98.513787000000008"/>
    <n v="1.6177220000000005"/>
    <n v="6.3834599999999995"/>
    <n v="50.35"/>
    <n v="17.5"/>
    <x v="4"/>
    <x v="4"/>
    <s v="October"/>
    <s v="2007-40"/>
  </r>
  <r>
    <d v="2007-10-08T00:00:00"/>
    <n v="97.138126999999997"/>
    <n v="0.74479399999999885"/>
    <n v="10.54071399999998"/>
    <n v="50.35"/>
    <n v="17.5"/>
    <n v="99.099854999999991"/>
    <n v="0.58606799999998316"/>
    <n v="7.357734999999991"/>
    <n v="50.35"/>
    <n v="17.5"/>
    <x v="4"/>
    <x v="4"/>
    <s v="October"/>
    <s v="2007-41"/>
  </r>
  <r>
    <d v="2007-10-15T00:00:00"/>
    <n v="97.192101000000008"/>
    <n v="5.3974000000010847E-2"/>
    <n v="11.282522"/>
    <n v="50.35"/>
    <n v="17.5"/>
    <n v="99.181410999999997"/>
    <n v="8.1556000000006179E-2"/>
    <n v="7.5895960000000002"/>
    <n v="50.35"/>
    <n v="17.5"/>
    <x v="4"/>
    <x v="4"/>
    <s v="October"/>
    <s v="2007-42"/>
  </r>
  <r>
    <d v="2007-10-22T00:00:00"/>
    <n v="97.805838999999992"/>
    <n v="0.61373799999998369"/>
    <n v="12.069962999999987"/>
    <n v="50.35"/>
    <n v="17.5"/>
    <n v="99.894885999999985"/>
    <n v="0.71347499999998831"/>
    <n v="8.6790839999999747"/>
    <n v="50.35"/>
    <n v="17.5"/>
    <x v="4"/>
    <x v="4"/>
    <s v="October"/>
    <s v="2007-43"/>
  </r>
  <r>
    <d v="2007-10-29T00:00:00"/>
    <n v="98.263275999999991"/>
    <n v="0.45743699999999876"/>
    <n v="12.661498999999992"/>
    <n v="50.35"/>
    <n v="17.5"/>
    <n v="100.694424"/>
    <n v="0.79953800000001252"/>
    <n v="9.5289590000000004"/>
    <n v="50.35"/>
    <n v="17.5"/>
    <x v="4"/>
    <x v="4"/>
    <s v="October"/>
    <s v="2007-44"/>
  </r>
  <r>
    <d v="2007-11-05T00:00:00"/>
    <n v="99.364923999999988"/>
    <n v="1.1016479999999973"/>
    <n v="13.826196999999993"/>
    <n v="50.35"/>
    <n v="17.5"/>
    <n v="102.16035400000001"/>
    <n v="1.4659300000000144"/>
    <n v="11.038452000000021"/>
    <n v="50.35"/>
    <n v="17.5"/>
    <x v="4"/>
    <x v="5"/>
    <s v="November"/>
    <s v="2007-45"/>
  </r>
  <r>
    <d v="2007-11-12T00:00:00"/>
    <n v="100.74229299999999"/>
    <n v="1.3773690000000016"/>
    <n v="15.254408999999995"/>
    <n v="50.35"/>
    <n v="17.5"/>
    <n v="104.172417"/>
    <n v="2.0120629999999835"/>
    <n v="13.025306"/>
    <n v="50.35"/>
    <n v="17.5"/>
    <x v="4"/>
    <x v="5"/>
    <s v="November"/>
    <s v="2007-46"/>
  </r>
  <r>
    <d v="2007-11-19T00:00:00"/>
    <n v="101.46819400000001"/>
    <n v="0.72590100000002167"/>
    <n v="16.013915000000011"/>
    <n v="50.35"/>
    <n v="17.5"/>
    <n v="105.28447800000001"/>
    <n v="1.1120610000000113"/>
    <n v="14.11448399999999"/>
    <n v="50.35"/>
    <n v="17.5"/>
    <x v="4"/>
    <x v="5"/>
    <s v="November"/>
    <s v="2007-47"/>
  </r>
  <r>
    <d v="2007-11-26T00:00:00"/>
    <n v="102.12973599999999"/>
    <n v="0.66154199999998298"/>
    <n v="16.660289999999989"/>
    <n v="50.35"/>
    <n v="17.5"/>
    <n v="106.254374"/>
    <n v="0.96989599999999143"/>
    <n v="15.084383999999986"/>
    <n v="50.35"/>
    <n v="17.5"/>
    <x v="4"/>
    <x v="5"/>
    <s v="November"/>
    <s v="2007-48"/>
  </r>
  <r>
    <d v="2007-12-03T00:00:00"/>
    <n v="102.58212699999999"/>
    <n v="0.45239099999999155"/>
    <n v="17.117841285714292"/>
    <n v="50.35"/>
    <n v="17.5"/>
    <n v="107.19211200000002"/>
    <n v="0.93773800000002439"/>
    <n v="15.689767000000018"/>
    <n v="50.35"/>
    <n v="17.5"/>
    <x v="4"/>
    <x v="6"/>
    <s v="December"/>
    <s v="2007-49"/>
  </r>
  <r>
    <d v="2007-12-10T00:00:00"/>
    <n v="102.66679999999999"/>
    <n v="8.4673000000009324E-2"/>
    <n v="15.223174999999998"/>
    <n v="50.35"/>
    <n v="17.5"/>
    <n v="107.473207"/>
    <n v="0.28109499999997922"/>
    <n v="14.514076000000003"/>
    <n v="50.35"/>
    <n v="17.5"/>
    <x v="4"/>
    <x v="6"/>
    <s v="December"/>
    <s v="2007-50"/>
  </r>
  <r>
    <d v="2007-12-17T00:00:00"/>
    <n v="102.599261"/>
    <n v="-6.7538999999996463E-2"/>
    <n v="14.903639999999996"/>
    <n v="50.35"/>
    <n v="17.5"/>
    <n v="107.556386"/>
    <n v="8.3179000000001224E-2"/>
    <n v="14.299578999999994"/>
    <n v="50.35"/>
    <n v="17.5"/>
    <x v="4"/>
    <x v="6"/>
    <s v="December"/>
    <s v="2007-51"/>
  </r>
  <r>
    <d v="2007-12-24T00:00:00"/>
    <n v="102.526972"/>
    <n v="-7.2288999999997827E-2"/>
    <n v="14.622534999999999"/>
    <n v="50.35"/>
    <n v="17.5"/>
    <n v="107.50416000000001"/>
    <n v="-5.2225999999990336E-2"/>
    <n v="14.089417000000012"/>
    <n v="50.35"/>
    <n v="17.5"/>
    <x v="4"/>
    <x v="6"/>
    <s v="December"/>
    <s v="2007-52"/>
  </r>
  <r>
    <d v="2007-12-31T00:00:00"/>
    <n v="102.662329"/>
    <n v="0.13535699999999906"/>
    <n v="14.80914700000001"/>
    <n v="50.35"/>
    <n v="17.5"/>
    <n v="107.605689"/>
    <n v="0.1015289999999851"/>
    <n v="14.203513999999998"/>
    <n v="50.35"/>
    <n v="17.5"/>
    <x v="4"/>
    <x v="6"/>
    <s v="December"/>
    <s v="2007-53"/>
  </r>
  <r>
    <d v="2008-01-07T00:00:00"/>
    <n v="103.370474"/>
    <n v="0.7081450000000018"/>
    <n v="15.709933000000007"/>
    <n v="50.35"/>
    <n v="17.5"/>
    <n v="108.294534"/>
    <n v="0.6888450000000006"/>
    <n v="15.183537000000015"/>
    <n v="50.35"/>
    <n v="17.5"/>
    <x v="5"/>
    <x v="7"/>
    <s v="January"/>
    <s v="2008-02"/>
  </r>
  <r>
    <d v="2008-01-14T00:00:00"/>
    <n v="103.82266499999999"/>
    <n v="0.45219099999998491"/>
    <n v="16.72761899999999"/>
    <n v="50.35"/>
    <n v="17.5"/>
    <n v="108.769324"/>
    <n v="0.47478999999999871"/>
    <n v="17.215644999999995"/>
    <n v="50.35"/>
    <n v="17.5"/>
    <x v="5"/>
    <x v="7"/>
    <s v="January"/>
    <s v="2008-03"/>
  </r>
  <r>
    <d v="2008-01-21T00:00:00"/>
    <n v="104.22351599999999"/>
    <n v="0.40085100000000295"/>
    <n v="17.944647999999987"/>
    <n v="50.35"/>
    <n v="17.5"/>
    <n v="109.08954300000001"/>
    <n v="0.32021900000000869"/>
    <n v="18.635815000000008"/>
    <n v="50.35"/>
    <n v="17.5"/>
    <x v="5"/>
    <x v="7"/>
    <s v="January"/>
    <s v="2008-04"/>
  </r>
  <r>
    <d v="2008-01-28T00:00:00"/>
    <n v="104.22473800000002"/>
    <n v="1.2220000000269238E-3"/>
    <n v="18.567623000000026"/>
    <n v="50.35"/>
    <n v="17.5"/>
    <n v="109.10698400000001"/>
    <n v="1.7441000000005147E-2"/>
    <n v="19.409244000000001"/>
    <n v="50.35"/>
    <n v="17.5"/>
    <x v="5"/>
    <x v="7"/>
    <s v="January"/>
    <s v="2008-05"/>
  </r>
  <r>
    <d v="2008-02-04T00:00:00"/>
    <n v="104.02678699999998"/>
    <n v="-0.19795100000003174"/>
    <n v="18.408757999999992"/>
    <n v="50.35"/>
    <n v="17.5"/>
    <n v="108.98769500000002"/>
    <n v="-0.11928899999999487"/>
    <n v="19.360599000000008"/>
    <n v="50.35"/>
    <n v="17.5"/>
    <x v="5"/>
    <x v="8"/>
    <s v="February"/>
    <s v="2008-06"/>
  </r>
  <r>
    <d v="2008-02-11T00:00:00"/>
    <n v="103.67020199999999"/>
    <n v="-0.35658499999999549"/>
    <n v="17.547555000000003"/>
    <n v="50.35"/>
    <n v="17.5"/>
    <n v="108.86261200000001"/>
    <n v="-0.12508300000000361"/>
    <n v="18.753423000000012"/>
    <n v="50.35"/>
    <n v="17.5"/>
    <x v="5"/>
    <x v="8"/>
    <s v="February"/>
    <s v="2008-07"/>
  </r>
  <r>
    <d v="2008-02-18T00:00:00"/>
    <n v="103.695297"/>
    <n v="2.5095000000007417E-2"/>
    <n v="17.096181000000001"/>
    <n v="50.35"/>
    <n v="17.5"/>
    <n v="108.98832900000001"/>
    <n v="0.12571699999999453"/>
    <n v="18.438950999999989"/>
    <n v="50.35"/>
    <n v="17.5"/>
    <x v="5"/>
    <x v="8"/>
    <s v="February"/>
    <s v="2008-08"/>
  </r>
  <r>
    <d v="2008-02-25T00:00:00"/>
    <n v="104.648274"/>
    <n v="0.95297700000000418"/>
    <n v="17.581823"/>
    <n v="50.35"/>
    <n v="17.5"/>
    <n v="110.209473"/>
    <n v="1.2211439999999953"/>
    <n v="19.186281999999977"/>
    <n v="50.35"/>
    <n v="17.5"/>
    <x v="5"/>
    <x v="8"/>
    <s v="February"/>
    <s v="2008-09"/>
  </r>
  <r>
    <d v="2008-03-03T00:00:00"/>
    <n v="105.23825299999999"/>
    <n v="0.58997899999998538"/>
    <n v="17.493280999999996"/>
    <n v="50.35"/>
    <n v="17.5"/>
    <n v="110.903592"/>
    <n v="0.6941190000000006"/>
    <n v="19.311495000000008"/>
    <n v="50.35"/>
    <n v="17.5"/>
    <x v="5"/>
    <x v="9"/>
    <s v="March"/>
    <s v="2008-10"/>
  </r>
  <r>
    <d v="2008-03-10T00:00:00"/>
    <n v="105.95728799999999"/>
    <n v="0.7190350000000052"/>
    <n v="17.477555999999993"/>
    <n v="50.35"/>
    <n v="17.5"/>
    <n v="112.22829300000001"/>
    <n v="1.3247010000000046"/>
    <n v="20.061240999999995"/>
    <n v="50.35"/>
    <n v="17.5"/>
    <x v="5"/>
    <x v="9"/>
    <s v="March"/>
    <s v="2008-11"/>
  </r>
  <r>
    <d v="2008-03-17T00:00:00"/>
    <n v="106.41453199999998"/>
    <n v="0.45724399999998866"/>
    <n v="17.480068999999972"/>
    <n v="50.35"/>
    <n v="17.5"/>
    <n v="113.08173300000001"/>
    <n v="0.85344000000000619"/>
    <n v="20.476153000000025"/>
    <n v="50.35"/>
    <n v="17.5"/>
    <x v="5"/>
    <x v="9"/>
    <s v="March"/>
    <s v="2008-12"/>
  </r>
  <r>
    <d v="2008-03-24T00:00:00"/>
    <n v="106.904702"/>
    <n v="0.49017000000002042"/>
    <n v="17.584771000000003"/>
    <n v="50.35"/>
    <n v="17.5"/>
    <n v="114.401065"/>
    <n v="1.3193319999999886"/>
    <n v="21.489203000000003"/>
    <n v="50.35"/>
    <n v="17.5"/>
    <x v="5"/>
    <x v="9"/>
    <s v="March"/>
    <s v="2008-13"/>
  </r>
  <r>
    <d v="2008-03-31T00:00:00"/>
    <n v="107.10092999999999"/>
    <n v="0.19622799999999074"/>
    <n v="16.629868999999985"/>
    <n v="50.35"/>
    <n v="17.5"/>
    <n v="114.786378"/>
    <n v="0.38531299999999646"/>
    <n v="20.882773000000014"/>
    <n v="50.35"/>
    <n v="17.5"/>
    <x v="5"/>
    <x v="9"/>
    <s v="March"/>
    <s v="2008-14"/>
  </r>
  <r>
    <d v="2008-04-07T00:00:00"/>
    <n v="107.23669500000003"/>
    <n v="0.13576500000003477"/>
    <n v="16.060255000000026"/>
    <n v="50.35"/>
    <n v="17.5"/>
    <n v="115.46992700000001"/>
    <n v="0.68354900000001351"/>
    <n v="21.13519100000002"/>
    <n v="50.35"/>
    <n v="17.5"/>
    <x v="5"/>
    <x v="10"/>
    <s v="April"/>
    <s v="2008-15"/>
  </r>
  <r>
    <d v="2008-04-14T00:00:00"/>
    <n v="107.61287"/>
    <n v="0.37617499999997506"/>
    <n v="15.618857999999989"/>
    <n v="50.35"/>
    <n v="17.5"/>
    <n v="116.50716700000001"/>
    <n v="1.0372399999999971"/>
    <n v="21.651620000000008"/>
    <n v="50.35"/>
    <n v="17.5"/>
    <x v="5"/>
    <x v="10"/>
    <s v="April"/>
    <s v="2008-16"/>
  </r>
  <r>
    <d v="2008-04-21T00:00:00"/>
    <n v="108.571038"/>
    <n v="0.95816800000000057"/>
    <n v="15.637687999999997"/>
    <n v="50.35"/>
    <n v="17.5"/>
    <n v="118.056865"/>
    <n v="1.5496979999999922"/>
    <n v="22.667314000000005"/>
    <n v="50.35"/>
    <n v="17.5"/>
    <x v="5"/>
    <x v="10"/>
    <s v="April"/>
    <s v="2008-17"/>
  </r>
  <r>
    <d v="2008-04-28T00:00:00"/>
    <n v="109.49959299999999"/>
    <n v="0.92855499999998869"/>
    <n v="16.046085000000005"/>
    <n v="50.35"/>
    <n v="17.5"/>
    <n v="119.09900300000001"/>
    <n v="1.0421380000000084"/>
    <n v="23.384597000000014"/>
    <n v="50.35"/>
    <n v="17.5"/>
    <x v="5"/>
    <x v="10"/>
    <s v="April"/>
    <s v="2008-18"/>
  </r>
  <r>
    <d v="2008-05-05T00:00:00"/>
    <n v="110.297523"/>
    <n v="0.79793000000000802"/>
    <n v="15.871149000000017"/>
    <n v="50.35"/>
    <n v="17.5"/>
    <n v="120.36836300000002"/>
    <n v="1.269360000000006"/>
    <n v="24.250097000000011"/>
    <n v="50.35"/>
    <n v="17.5"/>
    <x v="5"/>
    <x v="11"/>
    <s v="May"/>
    <s v="2008-19"/>
  </r>
  <r>
    <d v="2008-05-12T00:00:00"/>
    <n v="111.042185"/>
    <n v="0.74466200000000526"/>
    <n v="15.970831000000004"/>
    <n v="50.35"/>
    <n v="17.5"/>
    <n v="121.48515300000001"/>
    <n v="1.1167899999999946"/>
    <n v="25.017706000000018"/>
    <n v="50.35"/>
    <n v="17.5"/>
    <x v="5"/>
    <x v="11"/>
    <s v="May"/>
    <s v="2008-20"/>
  </r>
  <r>
    <d v="2008-05-19T00:00:00"/>
    <n v="112.959507"/>
    <n v="1.9173219999999986"/>
    <n v="17.253720000000001"/>
    <n v="50.35"/>
    <n v="17.5"/>
    <n v="124.50248300000001"/>
    <n v="3.0173300000000012"/>
    <n v="27.813791000000023"/>
    <n v="50.35"/>
    <n v="17.5"/>
    <x v="5"/>
    <x v="11"/>
    <s v="May"/>
    <s v="2008-21"/>
  </r>
  <r>
    <d v="2008-05-26T00:00:00"/>
    <n v="114.78663800000001"/>
    <n v="1.8271310000000085"/>
    <n v="18.624422000000024"/>
    <n v="50.35"/>
    <n v="17.5"/>
    <n v="127.214268"/>
    <n v="2.7117849999999919"/>
    <n v="30.224082999999993"/>
    <n v="50.35"/>
    <n v="17.5"/>
    <x v="5"/>
    <x v="11"/>
    <s v="May"/>
    <s v="2008-22"/>
  </r>
  <r>
    <d v="2008-06-02T00:00:00"/>
    <n v="116.026901"/>
    <n v="1.2402629999999846"/>
    <n v="19.513914"/>
    <n v="50.35"/>
    <n v="17.5"/>
    <n v="128.823004"/>
    <n v="1.6087359999999933"/>
    <n v="31.631526000000008"/>
    <n v="50.35"/>
    <n v="17.5"/>
    <x v="5"/>
    <x v="0"/>
    <s v="June"/>
    <s v="2008-23"/>
  </r>
  <r>
    <d v="2008-06-09T00:00:00"/>
    <n v="116.85714299999999"/>
    <n v="0.83024199999999837"/>
    <n v="20.243691999999996"/>
    <n v="50.35"/>
    <n v="17.5"/>
    <n v="129.68112399999998"/>
    <n v="0.85811999999998534"/>
    <n v="32.481440999999975"/>
    <n v="50.35"/>
    <n v="17.5"/>
    <x v="5"/>
    <x v="0"/>
    <s v="June"/>
    <s v="2008-24"/>
  </r>
  <r>
    <d v="2008-06-16T00:00:00"/>
    <n v="117.69308400000001"/>
    <n v="0.83594100000001959"/>
    <n v="21.13367700000002"/>
    <n v="50.35"/>
    <n v="17.5"/>
    <n v="130.66208599999999"/>
    <n v="0.98096200000000522"/>
    <n v="33.549272999999985"/>
    <n v="50.35"/>
    <n v="17.5"/>
    <x v="5"/>
    <x v="0"/>
    <s v="June"/>
    <s v="2008-25"/>
  </r>
  <r>
    <d v="2008-06-23T00:00:00"/>
    <n v="118.439536"/>
    <n v="0.74645199999999079"/>
    <n v="21.897368999999998"/>
    <n v="50.35"/>
    <n v="17.5"/>
    <n v="131.45034700000002"/>
    <n v="0.78826100000003407"/>
    <n v="34.327331000000015"/>
    <n v="50.35"/>
    <n v="17.5"/>
    <x v="5"/>
    <x v="0"/>
    <s v="June"/>
    <s v="2008-26"/>
  </r>
  <r>
    <d v="2008-06-30T00:00:00"/>
    <n v="118.84484700000002"/>
    <n v="0.40531100000001175"/>
    <n v="22.486597000000017"/>
    <n v="50.35"/>
    <n v="17.5"/>
    <n v="132.03092599999999"/>
    <n v="0.58057899999997176"/>
    <n v="35.143770000000004"/>
    <n v="50.35"/>
    <n v="17.5"/>
    <x v="5"/>
    <x v="0"/>
    <s v="June"/>
    <s v="2008-27"/>
  </r>
  <r>
    <d v="2008-07-07T00:00:00"/>
    <n v="119.27641"/>
    <n v="0.43156299999998282"/>
    <n v="23.080180000000013"/>
    <n v="50.35"/>
    <n v="17.5"/>
    <n v="132.552662"/>
    <n v="0.5217360000000042"/>
    <n v="35.774540999999999"/>
    <n v="50.35"/>
    <n v="17.5"/>
    <x v="5"/>
    <x v="1"/>
    <s v="July"/>
    <s v="2008-28"/>
  </r>
  <r>
    <d v="2008-07-14T00:00:00"/>
    <n v="119.438039"/>
    <n v="0.16162900000000491"/>
    <n v="23.228292999999994"/>
    <n v="50.35"/>
    <n v="17.5"/>
    <n v="132.87205299999999"/>
    <n v="0.31939099999999598"/>
    <n v="36.086637999999994"/>
    <n v="50.35"/>
    <n v="17.5"/>
    <x v="5"/>
    <x v="1"/>
    <s v="July"/>
    <s v="2008-29"/>
  </r>
  <r>
    <d v="2008-07-21T00:00:00"/>
    <n v="119.401111"/>
    <n v="-3.6928000000003181E-2"/>
    <n v="23.168457000000004"/>
    <n v="50.35"/>
    <n v="17.5"/>
    <n v="132.887911"/>
    <n v="1.5858000000008587E-2"/>
    <n v="36.05847"/>
    <n v="50.35"/>
    <n v="17.5"/>
    <x v="5"/>
    <x v="1"/>
    <s v="July"/>
    <s v="2008-30"/>
  </r>
  <r>
    <d v="2008-07-28T00:00:00"/>
    <n v="116.91113999999999"/>
    <n v="-2.4899710000000113"/>
    <n v="20.714534999999998"/>
    <n v="50.35"/>
    <n v="17.5"/>
    <n v="130.71054199999998"/>
    <n v="-2.1773690000000272"/>
    <n v="33.945024999999973"/>
    <n v="50.35"/>
    <n v="17.5"/>
    <x v="5"/>
    <x v="1"/>
    <s v="July"/>
    <s v="2008-31"/>
  </r>
  <r>
    <d v="2008-08-04T00:00:00"/>
    <n v="115.060215"/>
    <n v="-1.8509249999999895"/>
    <n v="18.913199000000006"/>
    <n v="50.35"/>
    <n v="17.5"/>
    <n v="128.193622"/>
    <n v="-2.5169199999999705"/>
    <n v="31.473784000000009"/>
    <n v="50.35"/>
    <n v="17.5"/>
    <x v="5"/>
    <x v="2"/>
    <s v="August"/>
    <s v="2008-32"/>
  </r>
  <r>
    <d v="2008-08-11T00:00:00"/>
    <n v="113.922513"/>
    <n v="-1.1377020000000044"/>
    <n v="17.922778000000008"/>
    <n v="50.35"/>
    <n v="17.5"/>
    <n v="126.19607800000001"/>
    <n v="-1.9975439999999907"/>
    <n v="29.496484000000009"/>
    <n v="50.35"/>
    <n v="17.5"/>
    <x v="5"/>
    <x v="2"/>
    <s v="August"/>
    <s v="2008-33"/>
  </r>
  <r>
    <d v="2008-08-18T00:00:00"/>
    <n v="112.21504400000001"/>
    <n v="-1.707468999999989"/>
    <n v="16.909014999999997"/>
    <n v="50.35"/>
    <n v="17.5"/>
    <n v="124.09707000000002"/>
    <n v="-2.0990079999999978"/>
    <n v="27.503"/>
    <n v="50.35"/>
    <n v="17.5"/>
    <x v="5"/>
    <x v="2"/>
    <s v="August"/>
    <s v="2008-34"/>
  </r>
  <r>
    <d v="2008-08-25T00:00:00"/>
    <n v="112.02256100000001"/>
    <n v="-0.19248299999999574"/>
    <n v="17.019807000000029"/>
    <n v="50.35"/>
    <n v="17.5"/>
    <n v="123.73582300000001"/>
    <n v="-0.36124700000000587"/>
    <n v="27.368062000000009"/>
    <n v="50.35"/>
    <n v="17.5"/>
    <x v="5"/>
    <x v="2"/>
    <s v="August"/>
    <s v="2008-35"/>
  </r>
  <r>
    <d v="2008-09-01T00:00:00"/>
    <n v="112.19775800000001"/>
    <n v="0.17519699999999716"/>
    <n v="17.394168000000008"/>
    <n v="50.35"/>
    <n v="17.5"/>
    <n v="123.88610200000002"/>
    <n v="0.15027900000001182"/>
    <n v="27.512996000000015"/>
    <n v="50.35"/>
    <n v="17.5"/>
    <x v="5"/>
    <x v="3"/>
    <s v="September"/>
    <s v="2008-36"/>
  </r>
  <r>
    <d v="2008-09-08T00:00:00"/>
    <n v="112.546851"/>
    <n v="0.34909299999999632"/>
    <n v="17.912368000000015"/>
    <n v="50.35"/>
    <n v="17.5"/>
    <n v="124.196186"/>
    <n v="0.31008399999997494"/>
    <n v="27.859428999999992"/>
    <n v="50.35"/>
    <n v="17.5"/>
    <x v="5"/>
    <x v="3"/>
    <s v="September"/>
    <s v="2008-37"/>
  </r>
  <r>
    <d v="2008-09-15T00:00:00"/>
    <n v="112.51230999999999"/>
    <n v="-3.4541000000018585E-2"/>
    <n v="17.858986999999985"/>
    <n v="50.35"/>
    <n v="17.5"/>
    <n v="124.143165"/>
    <n v="-5.3021000000001095E-2"/>
    <n v="27.697850999999986"/>
    <n v="50.35"/>
    <n v="17.5"/>
    <x v="5"/>
    <x v="3"/>
    <s v="September"/>
    <s v="2008-38"/>
  </r>
  <r>
    <d v="2008-09-22T00:00:00"/>
    <n v="110.81019999999999"/>
    <n v="-1.7021099999999905"/>
    <n v="15.898153999999991"/>
    <n v="50.35"/>
    <n v="17.5"/>
    <n v="122.609331"/>
    <n v="-1.5338339999999988"/>
    <n v="25.71326599999999"/>
    <n v="50.35"/>
    <n v="17.5"/>
    <x v="5"/>
    <x v="3"/>
    <s v="September"/>
    <s v="2008-39"/>
  </r>
  <r>
    <d v="2008-09-29T00:00:00"/>
    <n v="109.84891"/>
    <n v="-0.9612899999999911"/>
    <n v="13.455577000000005"/>
    <n v="50.35"/>
    <n v="17.5"/>
    <n v="121.64725299999999"/>
    <n v="-0.96207800000000532"/>
    <n v="23.133465999999984"/>
    <n v="50.35"/>
    <n v="17.5"/>
    <x v="5"/>
    <x v="3"/>
    <s v="September"/>
    <s v="2008-40"/>
  </r>
  <r>
    <d v="2008-10-06T00:00:00"/>
    <n v="109.452068"/>
    <n v="-0.39684200000000658"/>
    <n v="12.313941"/>
    <n v="50.35"/>
    <n v="17.5"/>
    <n v="121.13648599999999"/>
    <n v="-0.5107670000000013"/>
    <n v="22.036631"/>
    <n v="50.35"/>
    <n v="17.5"/>
    <x v="5"/>
    <x v="4"/>
    <s v="October"/>
    <s v="2008-41"/>
  </r>
  <r>
    <d v="2008-10-13T00:00:00"/>
    <n v="107.03952900000002"/>
    <n v="-2.4125389999999811"/>
    <n v="9.8474280000000078"/>
    <n v="50.35"/>
    <n v="17.5"/>
    <n v="118.42286"/>
    <n v="-2.7136259999999908"/>
    <n v="19.241449000000003"/>
    <n v="50.35"/>
    <n v="17.5"/>
    <x v="5"/>
    <x v="4"/>
    <s v="October"/>
    <s v="2008-42"/>
  </r>
  <r>
    <d v="2008-10-20T00:00:00"/>
    <n v="102.658131"/>
    <n v="-4.3813980000000186"/>
    <n v="4.8522920000000056"/>
    <n v="50.35"/>
    <n v="17.5"/>
    <n v="114.31017199999999"/>
    <n v="-4.1126880000000057"/>
    <n v="14.415286000000009"/>
    <n v="50.35"/>
    <n v="17.5"/>
    <x v="5"/>
    <x v="4"/>
    <s v="October"/>
    <s v="2008-43"/>
  </r>
  <r>
    <d v="2008-10-27T00:00:00"/>
    <n v="98.622067999999999"/>
    <n v="-4.0360629999999986"/>
    <n v="0.35879200000000822"/>
    <n v="50.35"/>
    <n v="17.5"/>
    <n v="111.010963"/>
    <n v="-3.2992089999999905"/>
    <n v="10.316539000000006"/>
    <n v="50.35"/>
    <n v="17.5"/>
    <x v="5"/>
    <x v="4"/>
    <s v="October"/>
    <s v="2008-44"/>
  </r>
  <r>
    <d v="2008-11-03T00:00:00"/>
    <n v="97.399640999999988"/>
    <n v="-1.2224270000000104"/>
    <n v="-1.9652829999999994"/>
    <n v="50.35"/>
    <n v="17.5"/>
    <n v="109.86699700000001"/>
    <n v="-1.1439659999999918"/>
    <n v="7.7066429999999997"/>
    <n v="50.35"/>
    <n v="17.5"/>
    <x v="5"/>
    <x v="5"/>
    <s v="November"/>
    <s v="2008-45"/>
  </r>
  <r>
    <d v="2008-11-10T00:00:00"/>
    <n v="95.890529999999998"/>
    <n v="-1.5091109999999901"/>
    <n v="-4.8517629999999912"/>
    <n v="50.35"/>
    <n v="17.5"/>
    <n v="109.12974300000002"/>
    <n v="-0.73725399999999297"/>
    <n v="4.9573260000000232"/>
    <n v="50.35"/>
    <n v="17.5"/>
    <x v="5"/>
    <x v="5"/>
    <s v="November"/>
    <s v="2008-46"/>
  </r>
  <r>
    <d v="2008-11-17T00:00:00"/>
    <n v="94.832461000000009"/>
    <n v="-1.058068999999989"/>
    <n v="-6.6357330000000019"/>
    <n v="50.35"/>
    <n v="17.5"/>
    <n v="108.72693900000002"/>
    <n v="-0.40280400000000327"/>
    <n v="3.4424610000000087"/>
    <n v="50.35"/>
    <n v="17.5"/>
    <x v="5"/>
    <x v="5"/>
    <s v="November"/>
    <s v="2008-47"/>
  </r>
  <r>
    <d v="2008-11-24T00:00:00"/>
    <n v="92.787666000000002"/>
    <n v="-2.0447950000000077"/>
    <n v="-9.3420699999999925"/>
    <n v="50.35"/>
    <n v="17.5"/>
    <n v="107.778352"/>
    <n v="-0.94858700000001761"/>
    <n v="1.5239779999999996"/>
    <n v="50.35"/>
    <n v="17.5"/>
    <x v="5"/>
    <x v="5"/>
    <s v="November"/>
    <s v="2008-48"/>
  </r>
  <r>
    <d v="2008-12-01T00:00:00"/>
    <n v="91.470286000000002"/>
    <n v="-1.31738"/>
    <n v="-11.111840999999984"/>
    <n v="52.35"/>
    <n v="15"/>
    <n v="106.56166999999999"/>
    <n v="-1.2166820000000058"/>
    <n v="-0.63044200000003059"/>
    <n v="52.35"/>
    <n v="15"/>
    <x v="5"/>
    <x v="6"/>
    <s v="December"/>
    <s v="2008-49"/>
  </r>
  <r>
    <d v="2008-12-08T00:00:00"/>
    <n v="90.156317000000001"/>
    <n v="-1.3139690000000002"/>
    <n v="-12.510482999999994"/>
    <n v="52.35"/>
    <n v="15"/>
    <n v="104.86512299999998"/>
    <n v="-1.6965470000000096"/>
    <n v="-2.6080840000000194"/>
    <n v="52.35"/>
    <n v="15"/>
    <x v="5"/>
    <x v="6"/>
    <s v="December"/>
    <s v="2008-50"/>
  </r>
  <r>
    <d v="2008-12-15T00:00:00"/>
    <n v="89.065689000000006"/>
    <n v="-1.0906279999999953"/>
    <n v="-13.533571999999992"/>
    <n v="52.35"/>
    <n v="15"/>
    <n v="101.240612"/>
    <n v="-3.6245109999999841"/>
    <n v="-6.3157740000000047"/>
    <n v="52.35"/>
    <n v="15"/>
    <x v="5"/>
    <x v="6"/>
    <s v="December"/>
    <s v="2008-51"/>
  </r>
  <r>
    <d v="2008-12-22T00:00:00"/>
    <n v="88.014310000000009"/>
    <n v="-1.0513789999999972"/>
    <n v="-14.512661999999992"/>
    <n v="52.35"/>
    <n v="15"/>
    <n v="99.937153000000009"/>
    <n v="-1.3034589999999895"/>
    <n v="-7.5670070000000038"/>
    <n v="52.35"/>
    <n v="15"/>
    <x v="5"/>
    <x v="6"/>
    <s v="December"/>
    <s v="2008-52"/>
  </r>
  <r>
    <d v="2008-12-29T00:00:00"/>
    <n v="87.344305000000006"/>
    <n v="-0.67000500000000329"/>
    <n v="-15.318023999999994"/>
    <n v="52.35"/>
    <n v="15"/>
    <n v="99.17337999999998"/>
    <n v="-0.7637730000000289"/>
    <n v="-8.4323090000000178"/>
    <n v="52.35"/>
    <n v="15"/>
    <x v="5"/>
    <x v="6"/>
    <s v="December"/>
    <s v="2008-53"/>
  </r>
  <r>
    <d v="2009-01-05T00:00:00"/>
    <n v="85.422568999999996"/>
    <n v="-1.9217360000000099"/>
    <n v="-17.947905000000006"/>
    <n v="52.35"/>
    <n v="15"/>
    <n v="97.570595000000012"/>
    <n v="-1.6027849999999688"/>
    <n v="-10.723938999999987"/>
    <n v="52.35"/>
    <n v="15"/>
    <x v="6"/>
    <x v="7"/>
    <s v="January"/>
    <s v="2009-02"/>
  </r>
  <r>
    <d v="2009-01-12T00:00:00"/>
    <n v="86.018714000000003"/>
    <n v="0.59614500000000703"/>
    <n v="-17.803950999999984"/>
    <n v="52.35"/>
    <n v="15"/>
    <n v="98.316420999999991"/>
    <n v="0.74582599999997967"/>
    <n v="-10.452903000000006"/>
    <n v="52.35"/>
    <n v="15"/>
    <x v="6"/>
    <x v="7"/>
    <s v="January"/>
    <s v="2009-03"/>
  </r>
  <r>
    <d v="2009-01-19T00:00:00"/>
    <n v="86.194496000000015"/>
    <n v="0.17578200000001232"/>
    <n v="-18.029019999999974"/>
    <n v="52.35"/>
    <n v="15"/>
    <n v="98.448597000000007"/>
    <n v="0.13217600000001539"/>
    <n v="-10.640946"/>
    <n v="52.35"/>
    <n v="15"/>
    <x v="6"/>
    <x v="7"/>
    <s v="January"/>
    <s v="2009-04"/>
  </r>
  <r>
    <d v="2009-01-26T00:00:00"/>
    <n v="87.417686000000003"/>
    <n v="1.2231899999999882"/>
    <n v="-16.807052000000013"/>
    <n v="52.35"/>
    <n v="15"/>
    <n v="99.385249999999999"/>
    <n v="0.93665299999999263"/>
    <n v="-9.7217340000000121"/>
    <n v="52.35"/>
    <n v="15"/>
    <x v="6"/>
    <x v="7"/>
    <s v="January"/>
    <s v="2009-05"/>
  </r>
  <r>
    <d v="2009-02-02T00:00:00"/>
    <n v="88.160800999999992"/>
    <n v="0.74311499999998887"/>
    <n v="-15.865985999999992"/>
    <n v="52.35"/>
    <n v="15"/>
    <n v="99.821377999999996"/>
    <n v="0.43612799999999652"/>
    <n v="-9.1663170000000207"/>
    <n v="52.35"/>
    <n v="15"/>
    <x v="6"/>
    <x v="8"/>
    <s v="February"/>
    <s v="2009-06"/>
  </r>
  <r>
    <d v="2009-02-09T00:00:00"/>
    <n v="89.276794999999993"/>
    <n v="1.1159940000000006"/>
    <n v="-14.393406999999996"/>
    <n v="52.35"/>
    <n v="15"/>
    <n v="100.31308300000001"/>
    <n v="0.49170500000001027"/>
    <n v="-8.5495290000000068"/>
    <n v="52.35"/>
    <n v="15"/>
    <x v="6"/>
    <x v="8"/>
    <s v="February"/>
    <s v="2009-07"/>
  </r>
  <r>
    <d v="2009-02-16T00:00:00"/>
    <n v="90.120513000000003"/>
    <n v="0.84371800000000974"/>
    <n v="-13.574783999999994"/>
    <n v="52.35"/>
    <n v="15"/>
    <n v="100.858645"/>
    <n v="0.54556199999998967"/>
    <n v="-8.1296840000000117"/>
    <n v="52.35"/>
    <n v="15"/>
    <x v="6"/>
    <x v="8"/>
    <s v="February"/>
    <s v="2009-08"/>
  </r>
  <r>
    <d v="2009-02-23T00:00:00"/>
    <n v="90.331889000000018"/>
    <n v="0.21137600000001555"/>
    <n v="-14.316384999999983"/>
    <n v="52.35"/>
    <n v="15"/>
    <n v="100.81457"/>
    <n v="-4.4074999999992315E-2"/>
    <n v="-9.3949029999999993"/>
    <n v="52.35"/>
    <n v="15"/>
    <x v="6"/>
    <x v="8"/>
    <s v="February"/>
    <s v="2009-09"/>
  </r>
  <r>
    <d v="2009-03-02T00:00:00"/>
    <n v="90.28252599999999"/>
    <n v="-4.9363000000028023E-2"/>
    <n v="-14.955726999999996"/>
    <n v="52.35"/>
    <n v="15"/>
    <n v="100.64411299999999"/>
    <n v="-0.17045700000001318"/>
    <n v="-10.259479000000013"/>
    <n v="52.35"/>
    <n v="15"/>
    <x v="6"/>
    <x v="9"/>
    <s v="March"/>
    <s v="2009-10"/>
  </r>
  <r>
    <d v="2009-03-09T00:00:00"/>
    <n v="90.153572000000011"/>
    <n v="-0.12895399999997892"/>
    <n v="-15.80371599999998"/>
    <n v="52.35"/>
    <n v="15"/>
    <n v="100.02847"/>
    <n v="-0.6156429999999915"/>
    <n v="-12.199823000000009"/>
    <n v="52.35"/>
    <n v="15"/>
    <x v="6"/>
    <x v="9"/>
    <s v="March"/>
    <s v="2009-11"/>
  </r>
  <r>
    <d v="2009-03-16T00:00:00"/>
    <n v="90.158703999999986"/>
    <n v="5.1319999999748234E-3"/>
    <n v="-16.255827999999994"/>
    <n v="52.35"/>
    <n v="15"/>
    <n v="99.821476000000004"/>
    <n v="-0.20699399999999457"/>
    <n v="-13.26025700000001"/>
    <n v="52.35"/>
    <n v="15"/>
    <x v="6"/>
    <x v="9"/>
    <s v="March"/>
    <s v="2009-12"/>
  </r>
  <r>
    <d v="2009-03-23T00:00:00"/>
    <n v="90.164739000000012"/>
    <n v="6.0350000000255477E-3"/>
    <n v="-16.739962999999989"/>
    <n v="52.35"/>
    <n v="15"/>
    <n v="99.520951000000011"/>
    <n v="-0.30052499999999327"/>
    <n v="-14.880113999999992"/>
    <n v="52.35"/>
    <n v="15"/>
    <x v="6"/>
    <x v="9"/>
    <s v="March"/>
    <s v="2009-13"/>
  </r>
  <r>
    <d v="2009-03-30T00:00:00"/>
    <n v="91.345055000000002"/>
    <n v="1.1803159999999906"/>
    <n v="-15.755874999999989"/>
    <n v="52.35"/>
    <n v="15"/>
    <n v="99.975093000000001"/>
    <n v="0.45414199999999028"/>
    <n v="-14.811284999999998"/>
    <n v="52.35"/>
    <n v="15"/>
    <x v="6"/>
    <x v="9"/>
    <s v="March"/>
    <s v="2009-14"/>
  </r>
  <r>
    <d v="2009-04-06T00:00:00"/>
    <n v="93.717652999999999"/>
    <n v="2.3725979999999964"/>
    <n v="-13.519042000000027"/>
    <n v="54.19"/>
    <n v="15"/>
    <n v="102.143905"/>
    <n v="2.1688120000000026"/>
    <n v="-13.326022000000009"/>
    <n v="54.19"/>
    <n v="15"/>
    <x v="6"/>
    <x v="10"/>
    <s v="April"/>
    <s v="2009-15"/>
  </r>
  <r>
    <d v="2009-04-13T00:00:00"/>
    <n v="94.108026999999993"/>
    <n v="0.39037399999999423"/>
    <n v="-13.504843000000008"/>
    <n v="54.19"/>
    <n v="15"/>
    <n v="102.436117"/>
    <n v="0.29221199999999214"/>
    <n v="-14.071050000000014"/>
    <n v="54.19"/>
    <n v="15"/>
    <x v="6"/>
    <x v="10"/>
    <s v="April"/>
    <s v="2009-16"/>
  </r>
  <r>
    <d v="2009-04-20T00:00:00"/>
    <n v="94.623217999999994"/>
    <n v="0.51519100000000151"/>
    <n v="-13.947820000000007"/>
    <n v="54.19"/>
    <n v="15"/>
    <n v="102.706221"/>
    <n v="0.27010400000000345"/>
    <n v="-15.350644000000003"/>
    <n v="54.19"/>
    <n v="15"/>
    <x v="6"/>
    <x v="10"/>
    <s v="April"/>
    <s v="2009-17"/>
  </r>
  <r>
    <d v="2009-04-27T00:00:00"/>
    <n v="95.133962000000011"/>
    <n v="0.51074400000001674"/>
    <n v="-14.365630999999979"/>
    <n v="54.19"/>
    <n v="15"/>
    <n v="102.829212"/>
    <n v="0.12299099999999896"/>
    <n v="-16.269791000000012"/>
    <n v="54.19"/>
    <n v="15"/>
    <x v="6"/>
    <x v="10"/>
    <s v="April"/>
    <s v="2009-18"/>
  </r>
  <r>
    <d v="2009-05-04T00:00:00"/>
    <n v="95.595408000000006"/>
    <n v="0.46144599999999514"/>
    <n v="-14.702114999999992"/>
    <n v="54.19"/>
    <n v="15"/>
    <n v="102.79798900000002"/>
    <n v="-3.1222999999982903E-2"/>
    <n v="-17.570374000000001"/>
    <n v="54.19"/>
    <n v="15"/>
    <x v="6"/>
    <x v="11"/>
    <s v="May"/>
    <s v="2009-19"/>
  </r>
  <r>
    <d v="2009-05-11T00:00:00"/>
    <n v="96.586976000000007"/>
    <n v="0.99156800000000089"/>
    <n v="-14.455208999999996"/>
    <n v="54.19"/>
    <n v="15"/>
    <n v="103.09914000000001"/>
    <n v="0.30115099999999018"/>
    <n v="-18.386013000000005"/>
    <n v="54.19"/>
    <n v="15"/>
    <x v="6"/>
    <x v="11"/>
    <s v="May"/>
    <s v="2009-20"/>
  </r>
  <r>
    <d v="2009-05-18T00:00:00"/>
    <n v="97.544747999999998"/>
    <n v="0.95777199999999141"/>
    <n v="-15.414759000000004"/>
    <n v="54.19"/>
    <n v="15"/>
    <n v="103.36646500000001"/>
    <n v="0.26732499999999959"/>
    <n v="-21.136018000000007"/>
    <n v="54.19"/>
    <n v="15"/>
    <x v="6"/>
    <x v="11"/>
    <s v="May"/>
    <s v="2009-21"/>
  </r>
  <r>
    <d v="2009-05-25T00:00:00"/>
    <n v="98.899267000000009"/>
    <n v="1.3545190000000105"/>
    <n v="-15.887371000000002"/>
    <n v="54.19"/>
    <n v="15"/>
    <n v="103.54596100000001"/>
    <n v="0.17949600000000032"/>
    <n v="-23.668306999999999"/>
    <n v="54.19"/>
    <n v="15"/>
    <x v="6"/>
    <x v="11"/>
    <s v="May"/>
    <s v="2009-22"/>
  </r>
  <r>
    <d v="2009-06-01T00:00:00"/>
    <n v="99.385001999999986"/>
    <n v="0.48573499999997694"/>
    <n v="-16.641899000000009"/>
    <n v="54.19"/>
    <n v="15"/>
    <n v="103.552087"/>
    <n v="6.1259999999947468E-3"/>
    <n v="-25.270916999999997"/>
    <n v="54.19"/>
    <n v="15"/>
    <x v="6"/>
    <x v="0"/>
    <s v="June"/>
    <s v="2009-23"/>
  </r>
  <r>
    <d v="2009-06-08T00:00:00"/>
    <n v="100.58954800000001"/>
    <n v="1.2045460000000219"/>
    <n v="-16.267594999999986"/>
    <n v="54.19"/>
    <n v="15"/>
    <n v="103.77838700000001"/>
    <n v="0.22630000000000905"/>
    <n v="-25.902736999999973"/>
    <n v="54.19"/>
    <n v="15"/>
    <x v="6"/>
    <x v="0"/>
    <s v="June"/>
    <s v="2009-24"/>
  </r>
  <r>
    <d v="2009-06-15T00:00:00"/>
    <n v="101.97936300000001"/>
    <n v="1.3898149999999987"/>
    <n v="-15.713721000000007"/>
    <n v="54.19"/>
    <n v="15"/>
    <n v="104.50103899999999"/>
    <n v="0.72265199999998231"/>
    <n v="-26.161046999999996"/>
    <n v="54.19"/>
    <n v="15"/>
    <x v="6"/>
    <x v="0"/>
    <s v="June"/>
    <s v="2009-25"/>
  </r>
  <r>
    <d v="2009-06-22T00:00:00"/>
    <n v="102.80786200000001"/>
    <n v="0.82849900000000787"/>
    <n v="-15.63167399999999"/>
    <n v="54.19"/>
    <n v="15"/>
    <n v="104.91693100000001"/>
    <n v="0.4158920000000137"/>
    <n v="-26.533416000000017"/>
    <n v="54.19"/>
    <n v="15"/>
    <x v="6"/>
    <x v="0"/>
    <s v="June"/>
    <s v="2009-26"/>
  </r>
  <r>
    <d v="2009-06-29T00:00:00"/>
    <n v="103.302665"/>
    <n v="0.49480299999999033"/>
    <n v="-15.542182000000011"/>
    <n v="54.19"/>
    <n v="15"/>
    <n v="105.052808"/>
    <n v="0.13587699999999359"/>
    <n v="-26.978117999999995"/>
    <n v="54.19"/>
    <n v="15"/>
    <x v="6"/>
    <x v="0"/>
    <s v="June"/>
    <s v="2009-27"/>
  </r>
  <r>
    <d v="2009-07-06T00:00:00"/>
    <n v="103.566712"/>
    <n v="0.26404699999999082"/>
    <n v="-15.709698000000003"/>
    <n v="54.19"/>
    <n v="15"/>
    <n v="105.10804300000001"/>
    <n v="5.5235000000010359E-2"/>
    <n v="-27.444618999999989"/>
    <n v="54.19"/>
    <n v="15"/>
    <x v="6"/>
    <x v="1"/>
    <s v="July"/>
    <s v="2009-28"/>
  </r>
  <r>
    <d v="2009-07-13T00:00:00"/>
    <n v="102.784542"/>
    <n v="-0.78216999999999359"/>
    <n v="-16.653497000000002"/>
    <n v="54.19"/>
    <n v="15"/>
    <n v="104.043972"/>
    <n v="-1.0640710000000126"/>
    <n v="-28.828080999999997"/>
    <n v="54.19"/>
    <n v="15"/>
    <x v="6"/>
    <x v="1"/>
    <s v="July"/>
    <s v="2009-29"/>
  </r>
  <r>
    <d v="2009-07-20T00:00:00"/>
    <n v="102.219436"/>
    <n v="-0.56510600000000011"/>
    <n v="-17.181674999999998"/>
    <n v="54.19"/>
    <n v="15"/>
    <n v="102.99478300000001"/>
    <n v="-1.0491889999999842"/>
    <n v="-29.89312799999999"/>
    <n v="54.19"/>
    <n v="15"/>
    <x v="6"/>
    <x v="1"/>
    <s v="July"/>
    <s v="2009-30"/>
  </r>
  <r>
    <d v="2009-07-27T00:00:00"/>
    <n v="102.17393200000001"/>
    <n v="-4.5503999999993994E-2"/>
    <n v="-14.737207999999981"/>
    <n v="54.19"/>
    <n v="15"/>
    <n v="102.90580000000001"/>
    <n v="-8.8982999999998924E-2"/>
    <n v="-27.804741999999962"/>
    <n v="54.19"/>
    <n v="15"/>
    <x v="6"/>
    <x v="1"/>
    <s v="July"/>
    <s v="2009-31"/>
  </r>
  <r>
    <d v="2009-08-03T00:00:00"/>
    <n v="102.35533099999999"/>
    <n v="0.18139899999998477"/>
    <n v="-12.704884000000007"/>
    <n v="54.19"/>
    <n v="15"/>
    <n v="103.20272199999999"/>
    <n v="0.29692199999998081"/>
    <n v="-24.990900000000011"/>
    <n v="54.19"/>
    <n v="15"/>
    <x v="6"/>
    <x v="2"/>
    <s v="August"/>
    <s v="2009-32"/>
  </r>
  <r>
    <d v="2009-08-10T00:00:00"/>
    <n v="103.011629"/>
    <n v="0.65629800000000671"/>
    <n v="-10.910883999999996"/>
    <n v="54.19"/>
    <n v="15"/>
    <n v="103.79442800000001"/>
    <n v="0.59170600000001627"/>
    <n v="-22.401650000000004"/>
    <n v="54.19"/>
    <n v="15"/>
    <x v="6"/>
    <x v="2"/>
    <s v="August"/>
    <s v="2009-33"/>
  </r>
  <r>
    <d v="2009-08-17T00:00:00"/>
    <n v="103.955395"/>
    <n v="0.94376599999999655"/>
    <n v="-8.2596490000000102"/>
    <n v="54.19"/>
    <n v="15"/>
    <n v="104.449727"/>
    <n v="0.6552989999999852"/>
    <n v="-19.647343000000021"/>
    <n v="54.19"/>
    <n v="15"/>
    <x v="6"/>
    <x v="2"/>
    <s v="August"/>
    <s v="2009-34"/>
  </r>
  <r>
    <d v="2009-08-24T00:00:00"/>
    <n v="104.69857999999999"/>
    <n v="0.74318499999999688"/>
    <n v="-7.3239810000000176"/>
    <n v="54.19"/>
    <n v="15"/>
    <n v="105.109871"/>
    <n v="0.66014400000000251"/>
    <n v="-18.625952000000012"/>
    <n v="54.19"/>
    <n v="15"/>
    <x v="6"/>
    <x v="2"/>
    <s v="August"/>
    <s v="2009-35"/>
  </r>
  <r>
    <d v="2009-08-31T00:00:00"/>
    <n v="105.10995600000001"/>
    <n v="0.41137600000001839"/>
    <n v="-7.0878019999999964"/>
    <n v="54.19"/>
    <n v="15"/>
    <n v="105.50102799999999"/>
    <n v="0.39115699999999265"/>
    <n v="-18.385074000000031"/>
    <n v="54.19"/>
    <n v="15"/>
    <x v="6"/>
    <x v="2"/>
    <s v="August"/>
    <s v="2009-36"/>
  </r>
  <r>
    <d v="2009-09-07T00:00:00"/>
    <n v="106.850234"/>
    <n v="1.7402779999999893"/>
    <n v="-5.6966170000000034"/>
    <n v="56.19"/>
    <n v="15"/>
    <n v="107.30015999999999"/>
    <n v="1.7991320000000002"/>
    <n v="-16.896026000000006"/>
    <n v="56.19"/>
    <n v="15"/>
    <x v="6"/>
    <x v="3"/>
    <s v="September"/>
    <s v="2009-37"/>
  </r>
  <r>
    <d v="2009-09-14T00:00:00"/>
    <n v="106.431934"/>
    <n v="-0.41830000000000211"/>
    <n v="-6.0803759999999869"/>
    <n v="56.19"/>
    <n v="15"/>
    <n v="107.08787800000002"/>
    <n v="-0.21228199999997344"/>
    <n v="-17.055286999999979"/>
    <n v="56.19"/>
    <n v="15"/>
    <x v="6"/>
    <x v="3"/>
    <s v="September"/>
    <s v="2009-38"/>
  </r>
  <r>
    <d v="2009-09-21T00:00:00"/>
    <n v="105.95612400000002"/>
    <n v="-0.47580999999998141"/>
    <n v="-4.8540759999999779"/>
    <n v="56.19"/>
    <n v="15"/>
    <n v="106.79198000000001"/>
    <n v="-0.29589800000000821"/>
    <n v="-15.817350999999988"/>
    <n v="56.19"/>
    <n v="15"/>
    <x v="6"/>
    <x v="3"/>
    <s v="September"/>
    <s v="2009-39"/>
  </r>
  <r>
    <d v="2009-09-28T00:00:00"/>
    <n v="105.43691600000001"/>
    <n v="-0.51920800000000611"/>
    <n v="-4.4119939999999929"/>
    <n v="56.19"/>
    <n v="15"/>
    <n v="106.391081"/>
    <n v="-0.40089900000000966"/>
    <n v="-15.256171999999992"/>
    <n v="56.19"/>
    <n v="15"/>
    <x v="6"/>
    <x v="3"/>
    <s v="September"/>
    <s v="2009-40"/>
  </r>
  <r>
    <d v="2009-10-05T00:00:00"/>
    <n v="104.867458"/>
    <n v="-0.56945800000001157"/>
    <n v="-4.5846099999999979"/>
    <n v="56.19"/>
    <n v="15"/>
    <n v="105.847508"/>
    <n v="-0.54357299999999498"/>
    <n v="-15.288977999999986"/>
    <n v="56.19"/>
    <n v="15"/>
    <x v="6"/>
    <x v="4"/>
    <s v="October"/>
    <s v="2009-41"/>
  </r>
  <r>
    <d v="2009-10-12T00:00:00"/>
    <n v="104.71270100000001"/>
    <n v="-0.15475699999998938"/>
    <n v="-2.3268280000000061"/>
    <n v="56.19"/>
    <n v="15"/>
    <n v="105.68810999999999"/>
    <n v="-0.15939800000001014"/>
    <n v="-12.734750000000005"/>
    <n v="56.19"/>
    <n v="15"/>
    <x v="6"/>
    <x v="4"/>
    <s v="October"/>
    <s v="2009-42"/>
  </r>
  <r>
    <d v="2009-10-19T00:00:00"/>
    <n v="105.08438200000001"/>
    <n v="0.37168099999999527"/>
    <n v="2.4262510000000077"/>
    <n v="56.19"/>
    <n v="15"/>
    <n v="106.27989399999998"/>
    <n v="0.59178399999998987"/>
    <n v="-8.0302780000000098"/>
    <n v="56.19"/>
    <n v="15"/>
    <x v="6"/>
    <x v="4"/>
    <s v="October"/>
    <s v="2009-43"/>
  </r>
  <r>
    <d v="2009-10-26T00:00:00"/>
    <n v="106.75587300000001"/>
    <n v="1.6714910000000032"/>
    <n v="8.1338050000000095"/>
    <n v="56.19"/>
    <n v="15"/>
    <n v="107.778406"/>
    <n v="1.4985120000000194"/>
    <n v="-3.2325569999999999"/>
    <n v="56.19"/>
    <n v="15"/>
    <x v="6"/>
    <x v="4"/>
    <s v="October"/>
    <s v="2009-44"/>
  </r>
  <r>
    <d v="2009-11-02T00:00:00"/>
    <n v="107.43145800000001"/>
    <n v="0.6755849999999981"/>
    <n v="10.031817000000018"/>
    <n v="56.19"/>
    <n v="15"/>
    <n v="108.510193"/>
    <n v="0.73178699999999708"/>
    <n v="-1.356804000000011"/>
    <n v="56.19"/>
    <n v="15"/>
    <x v="6"/>
    <x v="5"/>
    <s v="November"/>
    <s v="2009-45"/>
  </r>
  <r>
    <d v="2009-11-09T00:00:00"/>
    <n v="108.10007800000001"/>
    <n v="0.66862000000000421"/>
    <n v="12.209548000000012"/>
    <n v="56.19"/>
    <n v="15"/>
    <n v="109.351895"/>
    <n v="0.84170199999999795"/>
    <n v="0.22215199999997992"/>
    <n v="56.19"/>
    <n v="15"/>
    <x v="6"/>
    <x v="5"/>
    <s v="November"/>
    <s v="2009-46"/>
  </r>
  <r>
    <d v="2009-11-16T00:00:00"/>
    <n v="108.483895"/>
    <n v="0.38381699999999341"/>
    <n v="13.651433999999995"/>
    <n v="56.19"/>
    <n v="15"/>
    <n v="109.64535600000001"/>
    <n v="0.29346100000000774"/>
    <n v="0.91841699999999094"/>
    <n v="56.19"/>
    <n v="15"/>
    <x v="6"/>
    <x v="5"/>
    <s v="November"/>
    <s v="2009-47"/>
  </r>
  <r>
    <d v="2009-11-23T00:00:00"/>
    <n v="108.73341000000001"/>
    <n v="0.24951500000000237"/>
    <n v="15.945744000000005"/>
    <n v="56.19"/>
    <n v="15"/>
    <n v="109.871875"/>
    <n v="0.22651899999999614"/>
    <n v="2.0935230000000047"/>
    <n v="56.19"/>
    <n v="15"/>
    <x v="6"/>
    <x v="5"/>
    <s v="November"/>
    <s v="2009-48"/>
  </r>
  <r>
    <d v="2009-11-30T00:00:00"/>
    <n v="108.79216099999999"/>
    <n v="5.8750999999986675E-2"/>
    <n v="17.321874999999991"/>
    <n v="56.19"/>
    <n v="15"/>
    <n v="109.98578800000001"/>
    <n v="0.11391300000001081"/>
    <n v="3.4241180000000213"/>
    <n v="56.19"/>
    <n v="15"/>
    <x v="6"/>
    <x v="5"/>
    <s v="November"/>
    <s v="2009-49"/>
  </r>
  <r>
    <d v="2009-12-07T00:00:00"/>
    <n v="108.637429"/>
    <n v="-0.15473199999999565"/>
    <n v="18.481111999999996"/>
    <n v="56.19"/>
    <n v="15"/>
    <n v="109.871982"/>
    <n v="-0.11380600000001095"/>
    <n v="5.0068590000000199"/>
    <n v="56.19"/>
    <n v="15"/>
    <x v="6"/>
    <x v="6"/>
    <s v="December"/>
    <s v="2009-50"/>
  </r>
  <r>
    <d v="2009-12-14T00:00:00"/>
    <n v="108.49736899999999"/>
    <n v="-0.1400600000000054"/>
    <n v="19.431679999999986"/>
    <n v="56.19"/>
    <n v="15"/>
    <n v="109.568286"/>
    <n v="-0.30369600000000219"/>
    <n v="8.3276740000000018"/>
    <n v="56.19"/>
    <n v="15"/>
    <x v="6"/>
    <x v="6"/>
    <s v="December"/>
    <s v="2009-51"/>
  </r>
  <r>
    <d v="2009-12-21T00:00:00"/>
    <n v="107.466071"/>
    <n v="-1.0312979999999925"/>
    <n v="19.451760999999991"/>
    <n v="56.19"/>
    <n v="15"/>
    <n v="109.126373"/>
    <n v="-0.44191299999999956"/>
    <n v="9.1892199999999917"/>
    <n v="56.19"/>
    <n v="15"/>
    <x v="6"/>
    <x v="6"/>
    <s v="December"/>
    <s v="2009-52"/>
  </r>
  <r>
    <d v="2009-12-28T00:00:00"/>
    <n v="107.44304199999999"/>
    <n v="-2.3029000000008182E-2"/>
    <n v="20.098736999999986"/>
    <n v="56.19"/>
    <n v="15"/>
    <n v="109.171881"/>
    <n v="4.5507999999998106E-2"/>
    <n v="9.9985010000000187"/>
    <n v="56.19"/>
    <n v="15"/>
    <x v="6"/>
    <x v="6"/>
    <s v="December"/>
    <s v="2009-53"/>
  </r>
  <r>
    <d v="2010-01-04T00:00:00"/>
    <n v="109.34044399999999"/>
    <n v="1.8974019999999996"/>
    <n v="23.917874999999995"/>
    <n v="56.19"/>
    <n v="17.5"/>
    <n v="111.075737"/>
    <n v="1.9038560000000047"/>
    <n v="13.505141999999992"/>
    <n v="56.19"/>
    <n v="17.5"/>
    <x v="7"/>
    <x v="7"/>
    <s v="January"/>
    <s v="2010-02"/>
  </r>
  <r>
    <d v="2010-01-11T00:00:00"/>
    <n v="110.72232100000001"/>
    <n v="1.3818770000000171"/>
    <n v="24.703607000000005"/>
    <n v="56.19"/>
    <n v="17.5"/>
    <n v="112.593144"/>
    <n v="1.5174069999999915"/>
    <n v="14.276723000000004"/>
    <n v="56.19"/>
    <n v="17.5"/>
    <x v="7"/>
    <x v="7"/>
    <s v="January"/>
    <s v="2010-03"/>
  </r>
  <r>
    <d v="2010-01-18T00:00:00"/>
    <n v="111.601865"/>
    <n v="0.87954399999999566"/>
    <n v="25.407368999999989"/>
    <n v="56.19"/>
    <n v="17.5"/>
    <n v="113.38911099999999"/>
    <n v="0.79596699999999032"/>
    <n v="14.940513999999979"/>
    <n v="56.19"/>
    <n v="17.5"/>
    <x v="7"/>
    <x v="7"/>
    <s v="January"/>
    <s v="2010-04"/>
  </r>
  <r>
    <d v="2010-01-25T00:00:00"/>
    <n v="111.86565400000002"/>
    <n v="0.26378900000001693"/>
    <n v="24.447968000000017"/>
    <n v="56.19"/>
    <n v="17.5"/>
    <n v="113.711136"/>
    <n v="0.32202500000001066"/>
    <n v="14.325885999999997"/>
    <n v="56.19"/>
    <n v="17.5"/>
    <x v="7"/>
    <x v="7"/>
    <s v="January"/>
    <s v="2010-05"/>
  </r>
  <r>
    <d v="2010-02-01T00:00:00"/>
    <n v="111.90562199999999"/>
    <n v="3.9967999999973358E-2"/>
    <n v="23.744821000000002"/>
    <n v="56.19"/>
    <n v="17.5"/>
    <n v="113.74896400000002"/>
    <n v="3.7828000000018847E-2"/>
    <n v="13.927586000000019"/>
    <n v="56.19"/>
    <n v="17.5"/>
    <x v="7"/>
    <x v="8"/>
    <s v="February"/>
    <s v="2010-06"/>
  </r>
  <r>
    <d v="2010-02-08T00:00:00"/>
    <n v="111.95014099999999"/>
    <n v="4.451899999999398E-2"/>
    <n v="22.673345999999995"/>
    <n v="56.19"/>
    <n v="17.5"/>
    <n v="113.790274"/>
    <n v="4.1309999999981528E-2"/>
    <n v="13.477190999999991"/>
    <n v="56.19"/>
    <n v="17.5"/>
    <x v="7"/>
    <x v="8"/>
    <s v="February"/>
    <s v="2010-07"/>
  </r>
  <r>
    <d v="2010-02-15T00:00:00"/>
    <n v="111.892903"/>
    <n v="-5.7237999999983913E-2"/>
    <n v="21.772390000000001"/>
    <n v="56.19"/>
    <n v="17.5"/>
    <n v="113.67892399999999"/>
    <n v="-0.11135000000000161"/>
    <n v="12.820278999999999"/>
    <n v="56.19"/>
    <n v="17.5"/>
    <x v="7"/>
    <x v="8"/>
    <s v="February"/>
    <s v="2010-08"/>
  </r>
  <r>
    <d v="2010-02-22T00:00:00"/>
    <n v="111.56485600000001"/>
    <n v="-0.32804699999999798"/>
    <n v="21.232966999999988"/>
    <n v="56.19"/>
    <n v="17.5"/>
    <n v="112.75824700000001"/>
    <n v="-0.92067699999998354"/>
    <n v="11.943677000000008"/>
    <n v="56.19"/>
    <n v="17.5"/>
    <x v="7"/>
    <x v="8"/>
    <s v="February"/>
    <s v="2010-09"/>
  </r>
  <r>
    <d v="2010-03-01T00:00:00"/>
    <n v="112.41734299999999"/>
    <n v="0.85248699999998223"/>
    <n v="22.134816999999998"/>
    <n v="56.19"/>
    <n v="17.5"/>
    <n v="113.407348"/>
    <n v="0.64910099999998749"/>
    <n v="12.763235000000009"/>
    <n v="56.19"/>
    <n v="17.5"/>
    <x v="7"/>
    <x v="9"/>
    <s v="March"/>
    <s v="2010-10"/>
  </r>
  <r>
    <d v="2010-03-08T00:00:00"/>
    <n v="113.71174400000002"/>
    <n v="1.2944010000000361"/>
    <n v="23.558172000000013"/>
    <n v="56.19"/>
    <n v="17.5"/>
    <n v="114.683616"/>
    <n v="1.2762680000000017"/>
    <n v="14.655146000000002"/>
    <n v="56.19"/>
    <n v="17.5"/>
    <x v="7"/>
    <x v="9"/>
    <s v="March"/>
    <s v="2010-11"/>
  </r>
  <r>
    <d v="2010-03-15T00:00:00"/>
    <n v="115.458187"/>
    <n v="1.7464429999999709"/>
    <n v="25.299483000000009"/>
    <n v="56.19"/>
    <n v="17.5"/>
    <n v="116.20988199999999"/>
    <n v="1.5262659999999926"/>
    <n v="16.388405999999989"/>
    <n v="56.19"/>
    <n v="17.5"/>
    <x v="7"/>
    <x v="9"/>
    <s v="March"/>
    <s v="2010-12"/>
  </r>
  <r>
    <d v="2010-03-22T00:00:00"/>
    <n v="116.590958"/>
    <n v="1.1327710000000053"/>
    <n v="26.426218999999989"/>
    <n v="56.19"/>
    <n v="17.5"/>
    <n v="117.282988"/>
    <n v="1.0731060000000099"/>
    <n v="17.762036999999992"/>
    <n v="56.19"/>
    <n v="17.5"/>
    <x v="7"/>
    <x v="9"/>
    <s v="March"/>
    <s v="2010-13"/>
  </r>
  <r>
    <d v="2010-03-29T00:00:00"/>
    <n v="117.28185100000002"/>
    <n v="0.69089300000001685"/>
    <n v="25.936796000000015"/>
    <n v="56.19"/>
    <n v="17.5"/>
    <n v="118.206566"/>
    <n v="0.92357799999999202"/>
    <n v="18.231472999999994"/>
    <n v="56.19"/>
    <n v="17.5"/>
    <x v="7"/>
    <x v="9"/>
    <s v="March"/>
    <s v="2010-14"/>
  </r>
  <r>
    <d v="2010-04-05T00:00:00"/>
    <n v="119.286053"/>
    <n v="2.0042019999999781"/>
    <n v="25.568399999999997"/>
    <n v="57.19"/>
    <n v="17.5"/>
    <n v="120.08948700000001"/>
    <n v="1.8829210000000103"/>
    <n v="17.945582000000002"/>
    <n v="57.19"/>
    <n v="17.5"/>
    <x v="7"/>
    <x v="10"/>
    <s v="April"/>
    <s v="2010-15"/>
  </r>
  <r>
    <d v="2010-04-12T00:00:00"/>
    <n v="119.94229500000002"/>
    <n v="0.6562420000000202"/>
    <n v="25.834268000000023"/>
    <n v="57.19"/>
    <n v="17.5"/>
    <n v="121.11309399999999"/>
    <n v="1.0236069999999842"/>
    <n v="18.676976999999994"/>
    <n v="57.19"/>
    <n v="17.5"/>
    <x v="7"/>
    <x v="10"/>
    <s v="April"/>
    <s v="2010-16"/>
  </r>
  <r>
    <d v="2010-04-19T00:00:00"/>
    <n v="120.554956"/>
    <n v="0.61266099999998858"/>
    <n v="25.93173800000001"/>
    <n v="57.19"/>
    <n v="17.5"/>
    <n v="121.743392"/>
    <n v="0.63029800000001046"/>
    <n v="19.037171000000001"/>
    <n v="57.19"/>
    <n v="17.5"/>
    <x v="7"/>
    <x v="10"/>
    <s v="April"/>
    <s v="2010-17"/>
  </r>
  <r>
    <d v="2010-04-26T00:00:00"/>
    <n v="120.987002"/>
    <n v="0.43204599999999971"/>
    <n v="25.853039999999993"/>
    <n v="57.19"/>
    <n v="17.5"/>
    <n v="122.30851200000001"/>
    <n v="0.56512000000000739"/>
    <n v="19.479300000000009"/>
    <n v="57.19"/>
    <n v="17.5"/>
    <x v="7"/>
    <x v="10"/>
    <s v="April"/>
    <s v="2010-18"/>
  </r>
  <r>
    <d v="2010-05-03T00:00:00"/>
    <n v="121.18373300000002"/>
    <n v="0.19673100000001398"/>
    <n v="25.588325000000012"/>
    <n v="57.19"/>
    <n v="17.5"/>
    <n v="122.681623"/>
    <n v="0.37311099999999442"/>
    <n v="19.883633999999986"/>
    <n v="57.19"/>
    <n v="17.5"/>
    <x v="7"/>
    <x v="11"/>
    <s v="May"/>
    <s v="2010-19"/>
  </r>
  <r>
    <d v="2010-05-10T00:00:00"/>
    <n v="121.310311"/>
    <n v="0.12657799999998076"/>
    <n v="24.723334999999992"/>
    <n v="57.19"/>
    <n v="17.5"/>
    <n v="122.81698899999998"/>
    <n v="0.13536599999997634"/>
    <n v="19.717848999999973"/>
    <n v="57.19"/>
    <n v="17.5"/>
    <x v="7"/>
    <x v="11"/>
    <s v="May"/>
    <s v="2010-20"/>
  </r>
  <r>
    <d v="2010-05-17T00:00:00"/>
    <n v="121.30394699999999"/>
    <n v="-6.3640000000049213E-3"/>
    <n v="23.759198999999995"/>
    <n v="57.19"/>
    <n v="17.5"/>
    <n v="122.83394299999999"/>
    <n v="1.695400000001257E-2"/>
    <n v="19.467477999999986"/>
    <n v="57.19"/>
    <n v="17.5"/>
    <x v="7"/>
    <x v="11"/>
    <s v="May"/>
    <s v="2010-21"/>
  </r>
  <r>
    <d v="2010-05-24T00:00:00"/>
    <n v="119.92543199999999"/>
    <n v="-1.3785150000000073"/>
    <n v="21.026164999999978"/>
    <n v="57.19"/>
    <n v="17.5"/>
    <n v="121.92259700000001"/>
    <n v="-0.91134599999998045"/>
    <n v="18.376636000000005"/>
    <n v="57.19"/>
    <n v="17.5"/>
    <x v="7"/>
    <x v="11"/>
    <s v="May"/>
    <s v="2010-22"/>
  </r>
  <r>
    <d v="2010-05-31T00:00:00"/>
    <n v="118.542993"/>
    <n v="-1.3824389999999909"/>
    <n v="19.15799100000001"/>
    <n v="57.19"/>
    <n v="17.5"/>
    <n v="120.75644499999999"/>
    <n v="-1.1661520000000252"/>
    <n v="17.204357999999985"/>
    <n v="57.19"/>
    <n v="17.5"/>
    <x v="7"/>
    <x v="11"/>
    <s v="May"/>
    <s v="2010-23"/>
  </r>
  <r>
    <d v="2010-06-07T00:00:00"/>
    <n v="118.204835"/>
    <n v="-0.33815799999999285"/>
    <n v="17.615286999999995"/>
    <n v="57.19"/>
    <n v="17.5"/>
    <n v="120.39722499999999"/>
    <n v="-0.35921999999999343"/>
    <n v="16.618837999999982"/>
    <n v="57.19"/>
    <n v="17.5"/>
    <x v="7"/>
    <x v="0"/>
    <s v="June"/>
    <s v="2010-24"/>
  </r>
  <r>
    <d v="2010-06-14T00:00:00"/>
    <n v="117.86583200000001"/>
    <n v="-0.33900299999999106"/>
    <n v="15.886469000000005"/>
    <n v="57.19"/>
    <n v="17.5"/>
    <n v="120.207196"/>
    <n v="-0.19002899999999556"/>
    <n v="15.706157000000005"/>
    <n v="57.19"/>
    <n v="17.5"/>
    <x v="7"/>
    <x v="0"/>
    <s v="June"/>
    <s v="2010-25"/>
  </r>
  <r>
    <d v="2010-06-21T00:00:00"/>
    <n v="117.80199100000002"/>
    <n v="-6.3840999999996484E-2"/>
    <n v="14.994129000000001"/>
    <n v="57.19"/>
    <n v="17.5"/>
    <n v="120.388271"/>
    <n v="0.18107500000000698"/>
    <n v="15.471339999999998"/>
    <n v="57.19"/>
    <n v="17.5"/>
    <x v="7"/>
    <x v="0"/>
    <s v="June"/>
    <s v="2010-26"/>
  </r>
  <r>
    <d v="2010-06-28T00:00:00"/>
    <n v="117.877241"/>
    <n v="7.524999999998272E-2"/>
    <n v="14.574575999999993"/>
    <n v="57.19"/>
    <n v="17.5"/>
    <n v="120.37993700000001"/>
    <n v="-8.3339999999907377E-3"/>
    <n v="15.327129000000014"/>
    <n v="57.19"/>
    <n v="17.5"/>
    <x v="7"/>
    <x v="0"/>
    <s v="June"/>
    <s v="2010-27"/>
  </r>
  <r>
    <d v="2010-07-05T00:00:00"/>
    <n v="117.90912900000001"/>
    <n v="3.1888000000009242E-2"/>
    <n v="14.342417000000012"/>
    <n v="57.19"/>
    <n v="17.5"/>
    <n v="120.43722799999999"/>
    <n v="5.7290999999977998E-2"/>
    <n v="15.329184999999981"/>
    <n v="57.19"/>
    <n v="17.5"/>
    <x v="7"/>
    <x v="1"/>
    <s v="July"/>
    <s v="2010-28"/>
  </r>
  <r>
    <d v="2010-07-12T00:00:00"/>
    <n v="117.39348100000001"/>
    <n v="-0.51564799999999877"/>
    <n v="14.608939000000007"/>
    <n v="57.19"/>
    <n v="17.5"/>
    <n v="119.782324"/>
    <n v="-0.65490399999998772"/>
    <n v="15.738352000000006"/>
    <n v="57.19"/>
    <n v="17.5"/>
    <x v="7"/>
    <x v="1"/>
    <s v="July"/>
    <s v="2010-29"/>
  </r>
  <r>
    <d v="2010-07-19T00:00:00"/>
    <n v="116.84867799999999"/>
    <n v="-0.54480300000001591"/>
    <n v="14.629241999999991"/>
    <n v="57.19"/>
    <n v="17.5"/>
    <n v="119.23992200000001"/>
    <n v="-0.54240199999999561"/>
    <n v="16.245138999999995"/>
    <n v="57.19"/>
    <n v="17.5"/>
    <x v="7"/>
    <x v="1"/>
    <s v="July"/>
    <s v="2010-30"/>
  </r>
  <r>
    <d v="2010-07-26T00:00:00"/>
    <n v="116.61429799999999"/>
    <n v="-0.23438000000000159"/>
    <n v="14.440365999999983"/>
    <n v="57.19"/>
    <n v="17.5"/>
    <n v="119.025333"/>
    <n v="-0.21458900000000369"/>
    <n v="16.11953299999999"/>
    <n v="57.19"/>
    <n v="17.5"/>
    <x v="7"/>
    <x v="1"/>
    <s v="July"/>
    <s v="2010-31"/>
  </r>
  <r>
    <d v="2010-08-02T00:00:00"/>
    <n v="116.50902600000001"/>
    <n v="-0.10527199999998516"/>
    <n v="14.153695000000013"/>
    <n v="57.19"/>
    <n v="17.5"/>
    <n v="119.028459"/>
    <n v="3.1259999999946331E-3"/>
    <n v="15.825737000000004"/>
    <n v="57.19"/>
    <n v="17.5"/>
    <x v="7"/>
    <x v="2"/>
    <s v="August"/>
    <s v="2010-32"/>
  </r>
  <r>
    <d v="2010-08-09T00:00:00"/>
    <n v="116.345645"/>
    <n v="-0.16338100000000111"/>
    <n v="13.334016000000005"/>
    <n v="57.19"/>
    <n v="17.5"/>
    <n v="118.944106"/>
    <n v="-8.4352999999993017E-2"/>
    <n v="15.149677999999994"/>
    <n v="57.19"/>
    <n v="17.5"/>
    <x v="7"/>
    <x v="2"/>
    <s v="August"/>
    <s v="2010-33"/>
  </r>
  <r>
    <d v="2010-08-16T00:00:00"/>
    <n v="116.337238"/>
    <n v="-8.4070000000053824E-3"/>
    <n v="12.381843000000003"/>
    <n v="57.19"/>
    <n v="17.5"/>
    <n v="118.786676"/>
    <n v="-0.15743000000000507"/>
    <n v="14.336949000000004"/>
    <n v="57.19"/>
    <n v="17.5"/>
    <x v="7"/>
    <x v="2"/>
    <s v="August"/>
    <s v="2010-34"/>
  </r>
  <r>
    <d v="2010-08-23T00:00:00"/>
    <n v="115.64259799999999"/>
    <n v="-0.69464000000000681"/>
    <n v="10.944018"/>
    <n v="57.19"/>
    <n v="17.5"/>
    <n v="117.90044499999999"/>
    <n v="-0.88623100000000932"/>
    <n v="12.790573999999992"/>
    <n v="57.19"/>
    <n v="17.5"/>
    <x v="7"/>
    <x v="2"/>
    <s v="August"/>
    <s v="2010-35"/>
  </r>
  <r>
    <d v="2010-08-30T00:00:00"/>
    <n v="114.98343899999999"/>
    <n v="-0.65915900000000249"/>
    <n v="9.8734829999999789"/>
    <n v="57.19"/>
    <n v="17.5"/>
    <n v="117.370968"/>
    <n v="-0.52947699999998576"/>
    <n v="11.869940000000014"/>
    <n v="57.19"/>
    <n v="17.5"/>
    <x v="7"/>
    <x v="2"/>
    <s v="August"/>
    <s v="2010-36"/>
  </r>
  <r>
    <d v="2010-09-06T00:00:00"/>
    <n v="114.59094599999999"/>
    <n v="-0.39249300000000176"/>
    <n v="7.7407119999999878"/>
    <n v="57.19"/>
    <n v="17.5"/>
    <n v="117.088216"/>
    <n v="-0.28275200000000211"/>
    <n v="9.7880560000000116"/>
    <n v="57.19"/>
    <n v="17.5"/>
    <x v="7"/>
    <x v="3"/>
    <s v="September"/>
    <s v="2010-37"/>
  </r>
  <r>
    <d v="2010-09-13T00:00:00"/>
    <n v="114.656544"/>
    <n v="6.5598000000008483E-2"/>
    <n v="8.2246099999999984"/>
    <n v="57.19"/>
    <n v="17.5"/>
    <n v="117.17352400000001"/>
    <n v="8.530800000001193E-2"/>
    <n v="10.085645999999997"/>
    <n v="57.19"/>
    <n v="17.5"/>
    <x v="7"/>
    <x v="3"/>
    <s v="September"/>
    <s v="2010-38"/>
  </r>
  <r>
    <d v="2010-09-20T00:00:00"/>
    <n v="115.06469100000001"/>
    <n v="0.4081470000000138"/>
    <n v="9.1085669999999936"/>
    <n v="57.19"/>
    <n v="17.5"/>
    <n v="117.719341"/>
    <n v="0.54581699999998534"/>
    <n v="10.927360999999991"/>
    <n v="57.19"/>
    <n v="17.5"/>
    <x v="7"/>
    <x v="3"/>
    <s v="September"/>
    <s v="2010-39"/>
  </r>
  <r>
    <d v="2010-09-27T00:00:00"/>
    <n v="115.394465"/>
    <n v="0.32977399999998624"/>
    <n v="9.957548999999986"/>
    <n v="57.19"/>
    <n v="17.5"/>
    <n v="118.10556099999999"/>
    <n v="0.38621999999999446"/>
    <n v="11.714479999999995"/>
    <n v="57.19"/>
    <n v="17.5"/>
    <x v="7"/>
    <x v="3"/>
    <s v="September"/>
    <s v="2010-40"/>
  </r>
  <r>
    <d v="2010-10-04T00:00:00"/>
    <n v="116.01308499999999"/>
    <n v="0.61861999999999284"/>
    <n v="11.14562699999999"/>
    <n v="58.19"/>
    <n v="17.5"/>
    <n v="118.970308"/>
    <n v="0.86474700000000837"/>
    <n v="13.122799999999998"/>
    <n v="58.19"/>
    <n v="17.5"/>
    <x v="7"/>
    <x v="4"/>
    <s v="October"/>
    <s v="2010-41"/>
  </r>
  <r>
    <d v="2010-10-11T00:00:00"/>
    <n v="116.78295899999999"/>
    <n v="0.7698740000000015"/>
    <n v="12.070257999999981"/>
    <n v="58.19"/>
    <n v="17.5"/>
    <n v="119.773901"/>
    <n v="0.80359299999999223"/>
    <n v="14.085791"/>
    <n v="58.19"/>
    <n v="17.5"/>
    <x v="7"/>
    <x v="4"/>
    <s v="October"/>
    <s v="2010-42"/>
  </r>
  <r>
    <d v="2010-10-18T00:00:00"/>
    <n v="117.283602"/>
    <n v="0.50064300000001083"/>
    <n v="12.199219999999997"/>
    <n v="58.19"/>
    <n v="17.5"/>
    <n v="120.603211"/>
    <n v="0.82931000000000665"/>
    <n v="14.323317000000017"/>
    <n v="58.19"/>
    <n v="17.5"/>
    <x v="7"/>
    <x v="4"/>
    <s v="October"/>
    <s v="2010-43"/>
  </r>
  <r>
    <d v="2010-10-25T00:00:00"/>
    <n v="117.73926400000002"/>
    <n v="0.455662000000018"/>
    <n v="10.983391000000012"/>
    <n v="58.19"/>
    <n v="17.5"/>
    <n v="121.17402199999999"/>
    <n v="0.57081099999999196"/>
    <n v="13.39561599999999"/>
    <n v="58.19"/>
    <n v="17.5"/>
    <x v="7"/>
    <x v="4"/>
    <s v="October"/>
    <s v="2010-44"/>
  </r>
  <r>
    <d v="2010-11-01T00:00:00"/>
    <n v="118.17751500000001"/>
    <n v="0.43825099999999395"/>
    <n v="10.746057000000008"/>
    <n v="58.19"/>
    <n v="17.5"/>
    <n v="121.66444199999999"/>
    <n v="0.4904200000000003"/>
    <n v="13.154248999999993"/>
    <n v="58.19"/>
    <n v="17.5"/>
    <x v="7"/>
    <x v="5"/>
    <s v="November"/>
    <s v="2010-45"/>
  </r>
  <r>
    <d v="2010-11-08T00:00:00"/>
    <n v="118.671395"/>
    <n v="0.4938799999999901"/>
    <n v="10.571316999999993"/>
    <n v="58.19"/>
    <n v="17.5"/>
    <n v="122.19178500000001"/>
    <n v="0.5273430000000161"/>
    <n v="12.839890000000011"/>
    <n v="58.19"/>
    <n v="17.5"/>
    <x v="7"/>
    <x v="5"/>
    <s v="November"/>
    <s v="2010-46"/>
  </r>
  <r>
    <d v="2010-11-15T00:00:00"/>
    <n v="118.797061"/>
    <n v="0.12566599999999539"/>
    <n v="10.313165999999995"/>
    <n v="58.19"/>
    <n v="17.5"/>
    <n v="122.505723"/>
    <n v="0.31393799999999317"/>
    <n v="12.860366999999997"/>
    <n v="58.19"/>
    <n v="17.5"/>
    <x v="7"/>
    <x v="5"/>
    <s v="November"/>
    <s v="2010-47"/>
  </r>
  <r>
    <d v="2010-11-22T00:00:00"/>
    <n v="118.98856600000001"/>
    <n v="0.19150500000000648"/>
    <n v="10.255155999999999"/>
    <n v="58.19"/>
    <n v="17.5"/>
    <n v="122.74464400000001"/>
    <n v="0.23892100000000482"/>
    <n v="12.872769000000005"/>
    <n v="58.19"/>
    <n v="17.5"/>
    <x v="7"/>
    <x v="5"/>
    <s v="November"/>
    <s v="2010-48"/>
  </r>
  <r>
    <d v="2010-11-29T00:00:00"/>
    <n v="119.207667"/>
    <n v="0.21910099999999488"/>
    <n v="10.415506000000008"/>
    <n v="58.19"/>
    <n v="17.5"/>
    <n v="123.200039"/>
    <n v="0.45539499999999578"/>
    <n v="13.21425099999999"/>
    <n v="58.19"/>
    <n v="17.5"/>
    <x v="7"/>
    <x v="5"/>
    <s v="November"/>
    <s v="2010-49"/>
  </r>
  <r>
    <d v="2010-12-06T00:00:00"/>
    <n v="120.541506"/>
    <n v="1.3338389999999976"/>
    <n v="11.904077000000001"/>
    <n v="58.19"/>
    <n v="17.5"/>
    <n v="124.61784"/>
    <n v="1.4178009999999972"/>
    <n v="14.745857999999998"/>
    <n v="58.19"/>
    <n v="17.5"/>
    <x v="7"/>
    <x v="6"/>
    <s v="December"/>
    <s v="2010-50"/>
  </r>
  <r>
    <d v="2010-12-13T00:00:00"/>
    <n v="121.681916"/>
    <n v="1.1404100000000028"/>
    <n v="13.184547000000009"/>
    <n v="58.19"/>
    <n v="17.5"/>
    <n v="125.774781"/>
    <n v="1.1569410000000033"/>
    <n v="16.206495000000004"/>
    <n v="58.19"/>
    <n v="17.5"/>
    <x v="7"/>
    <x v="6"/>
    <s v="December"/>
    <s v="2010-51"/>
  </r>
  <r>
    <d v="2010-12-20T00:00:00"/>
    <n v="122.309134"/>
    <n v="0.62721799999999917"/>
    <n v="14.843063000000001"/>
    <n v="58.19"/>
    <n v="17.5"/>
    <n v="126.52223799999999"/>
    <n v="0.74745699999998294"/>
    <n v="17.395864999999986"/>
    <n v="58.19"/>
    <n v="17.5"/>
    <x v="7"/>
    <x v="6"/>
    <s v="December"/>
    <s v="2010-52"/>
  </r>
  <r>
    <d v="2010-12-27T00:00:00"/>
    <n v="123.441238"/>
    <n v="1.1321039999999982"/>
    <n v="15.998196000000007"/>
    <n v="58.19"/>
    <n v="17.5"/>
    <n v="127.68028"/>
    <n v="1.1580420000000089"/>
    <n v="18.508398999999997"/>
    <n v="58.19"/>
    <n v="17.5"/>
    <x v="7"/>
    <x v="6"/>
    <s v="December"/>
    <s v="2010-53"/>
  </r>
  <r>
    <d v="2011-01-03T00:00:00"/>
    <n v="124.85238899999999"/>
    <n v="1.4111509999999896"/>
    <n v="15.511944999999997"/>
    <n v="58.95"/>
    <n v="17.5"/>
    <n v="129.111593"/>
    <n v="1.4313130000000029"/>
    <n v="18.035855999999995"/>
    <n v="58.95"/>
    <n v="17.5"/>
    <x v="8"/>
    <x v="7"/>
    <s v="January"/>
    <s v="2011-02"/>
  </r>
  <r>
    <d v="2011-01-10T00:00:00"/>
    <n v="127.398126"/>
    <n v="2.5457370000000168"/>
    <n v="16.675804999999997"/>
    <n v="58.95"/>
    <n v="20"/>
    <n v="131.59642199999999"/>
    <n v="2.4848289999999906"/>
    <n v="19.003277999999995"/>
    <n v="58.95"/>
    <n v="20"/>
    <x v="8"/>
    <x v="7"/>
    <s v="January"/>
    <s v="2011-03"/>
  </r>
  <r>
    <d v="2011-01-17T00:00:00"/>
    <n v="127.87220300000001"/>
    <n v="0.4740770000000083"/>
    <n v="16.27033800000001"/>
    <n v="58.95"/>
    <n v="20"/>
    <n v="132.32541749999999"/>
    <n v="0.72899549999999635"/>
    <n v="18.936306500000001"/>
    <n v="58.95"/>
    <n v="20"/>
    <x v="8"/>
    <x v="7"/>
    <s v="January"/>
    <s v="2011-04"/>
  </r>
  <r>
    <d v="2011-01-24T00:00:00"/>
    <n v="128.352261"/>
    <n v="0.48005799999998544"/>
    <n v="16.486606999999978"/>
    <n v="58.95"/>
    <n v="20"/>
    <n v="132.997274"/>
    <n v="0.67185650000001829"/>
    <n v="19.286138000000008"/>
    <n v="58.95"/>
    <n v="20"/>
    <x v="8"/>
    <x v="7"/>
    <s v="January"/>
    <s v="2011-05"/>
  </r>
  <r>
    <d v="2011-01-31T00:00:00"/>
    <n v="128.547955"/>
    <n v="0.19569400000000314"/>
    <n v="16.642333000000008"/>
    <n v="58.95"/>
    <n v="20"/>
    <n v="133.25377850000001"/>
    <n v="0.25650450000000546"/>
    <n v="19.504814499999995"/>
    <n v="58.95"/>
    <n v="20"/>
    <x v="8"/>
    <x v="7"/>
    <s v="January"/>
    <s v="2011-06"/>
  </r>
  <r>
    <d v="2011-02-07T00:00:00"/>
    <n v="128.63559800000002"/>
    <n v="8.7643000000014126E-2"/>
    <n v="16.685457000000028"/>
    <n v="58.95"/>
    <n v="20"/>
    <n v="133.47334549999999"/>
    <n v="0.21956699999998364"/>
    <n v="19.683071499999997"/>
    <n v="58.95"/>
    <n v="20"/>
    <x v="8"/>
    <x v="8"/>
    <s v="February"/>
    <s v="2011-07"/>
  </r>
  <r>
    <d v="2011-02-14T00:00:00"/>
    <n v="128.725403"/>
    <n v="8.9804999999984148E-2"/>
    <n v="16.832499999999996"/>
    <n v="58.95"/>
    <n v="20"/>
    <n v="133.71364250000002"/>
    <n v="0.24029700000002663"/>
    <n v="20.034718500000025"/>
    <n v="58.95"/>
    <n v="20"/>
    <x v="8"/>
    <x v="8"/>
    <s v="February"/>
    <s v="2011-08"/>
  </r>
  <r>
    <d v="2011-02-21T00:00:00"/>
    <n v="128.91914499999999"/>
    <n v="0.19374199999998609"/>
    <n v="17.35428899999998"/>
    <n v="58.95"/>
    <n v="20"/>
    <n v="134.04030500000002"/>
    <n v="0.32666249999999764"/>
    <n v="21.282058000000006"/>
    <n v="58.95"/>
    <n v="20"/>
    <x v="8"/>
    <x v="8"/>
    <s v="February"/>
    <s v="2011-09"/>
  </r>
  <r>
    <d v="2011-02-28T00:00:00"/>
    <n v="129.724965"/>
    <n v="0.80582000000001131"/>
    <n v="17.307622000000009"/>
    <n v="58.95"/>
    <n v="20"/>
    <n v="135.05562849999998"/>
    <n v="1.0153234999999654"/>
    <n v="21.648280499999984"/>
    <n v="58.95"/>
    <n v="20"/>
    <x v="8"/>
    <x v="8"/>
    <s v="February"/>
    <s v="2011-10"/>
  </r>
  <r>
    <d v="2011-03-07T00:00:00"/>
    <n v="131.28181700000002"/>
    <n v="1.5568520000000206"/>
    <n v="17.570072999999994"/>
    <n v="58.95"/>
    <n v="20"/>
    <n v="136.89818500000001"/>
    <n v="1.842556500000029"/>
    <n v="22.214569000000012"/>
    <n v="58.95"/>
    <n v="20"/>
    <x v="8"/>
    <x v="9"/>
    <s v="March"/>
    <s v="2011-11"/>
  </r>
  <r>
    <d v="2011-03-14T00:00:00"/>
    <n v="132.17616599999997"/>
    <n v="0.89434899999994855"/>
    <n v="16.717978999999971"/>
    <n v="58.95"/>
    <n v="20"/>
    <n v="138.24864149999999"/>
    <n v="1.3504564999999786"/>
    <n v="22.038759499999998"/>
    <n v="58.95"/>
    <n v="20"/>
    <x v="8"/>
    <x v="9"/>
    <s v="March"/>
    <s v="2011-12"/>
  </r>
  <r>
    <d v="2011-03-21T00:00:00"/>
    <n v="133.10945899999999"/>
    <n v="0.93329300000002036"/>
    <n v="16.518500999999986"/>
    <n v="58.95"/>
    <n v="20"/>
    <n v="139.53348099999999"/>
    <n v="1.2848395000000039"/>
    <n v="22.250492999999992"/>
    <n v="58.95"/>
    <n v="20"/>
    <x v="8"/>
    <x v="9"/>
    <s v="March"/>
    <s v="2011-13"/>
  </r>
  <r>
    <d v="2011-03-28T00:00:00"/>
    <n v="132.43715099999997"/>
    <n v="-0.67230800000001523"/>
    <n v="15.155299999999954"/>
    <n v="57.95"/>
    <n v="20"/>
    <n v="139.03752600000001"/>
    <n v="-0.49595499999998083"/>
    <n v="20.830960000000019"/>
    <n v="57.95"/>
    <n v="20"/>
    <x v="8"/>
    <x v="9"/>
    <s v="March"/>
    <s v="2011-14"/>
  </r>
  <r>
    <d v="2011-04-04T00:00:00"/>
    <n v="132.80587599999998"/>
    <n v="0.36872500000001196"/>
    <n v="13.519822999999988"/>
    <n v="57.95"/>
    <n v="20"/>
    <n v="139.45921099999998"/>
    <n v="0.42168499999996811"/>
    <n v="19.369723999999977"/>
    <n v="57.95"/>
    <n v="20"/>
    <x v="8"/>
    <x v="10"/>
    <s v="April"/>
    <s v="2011-15"/>
  </r>
  <r>
    <d v="2011-04-11T00:00:00"/>
    <n v="133.68282400000001"/>
    <n v="0.87694800000002715"/>
    <n v="13.740528999999995"/>
    <n v="57.95"/>
    <n v="20"/>
    <n v="140.33065300000001"/>
    <n v="0.87144200000003025"/>
    <n v="19.217559000000023"/>
    <n v="57.95"/>
    <n v="20"/>
    <x v="8"/>
    <x v="10"/>
    <s v="April"/>
    <s v="2011-16"/>
  </r>
  <r>
    <d v="2011-04-18T00:00:00"/>
    <n v="135.06098600000001"/>
    <n v="1.3781620000000032"/>
    <n v="14.50603000000001"/>
    <n v="57.95"/>
    <n v="20"/>
    <n v="141.33983350000003"/>
    <n v="1.0091805000000136"/>
    <n v="19.596441500000026"/>
    <n v="57.95"/>
    <n v="20"/>
    <x v="8"/>
    <x v="10"/>
    <s v="April"/>
    <s v="2011-17"/>
  </r>
  <r>
    <d v="2011-04-25T00:00:00"/>
    <n v="135.62120900000002"/>
    <n v="0.56022300000000769"/>
    <n v="14.634207000000018"/>
    <n v="57.95"/>
    <n v="20"/>
    <n v="142.11112699999998"/>
    <n v="0.77129349999995611"/>
    <n v="19.802614999999975"/>
    <n v="57.95"/>
    <n v="20"/>
    <x v="8"/>
    <x v="10"/>
    <s v="April"/>
    <s v="2011-18"/>
  </r>
  <r>
    <d v="2011-05-02T00:00:00"/>
    <n v="136.29419899999999"/>
    <n v="0.67298999999997022"/>
    <n v="15.110465999999974"/>
    <n v="57.95"/>
    <n v="20"/>
    <n v="142.526949"/>
    <n v="0.4158220000000199"/>
    <n v="19.845326"/>
    <n v="57.95"/>
    <n v="20"/>
    <x v="8"/>
    <x v="11"/>
    <s v="May"/>
    <s v="2011-19"/>
  </r>
  <r>
    <d v="2011-05-09T00:00:00"/>
    <n v="137.05266399999999"/>
    <n v="0.75846500000000106"/>
    <n v="15.742352999999994"/>
    <n v="57.95"/>
    <n v="20"/>
    <n v="143.0594055"/>
    <n v="0.532456499999995"/>
    <n v="20.242416500000019"/>
    <n v="57.95"/>
    <n v="20"/>
    <x v="8"/>
    <x v="11"/>
    <s v="May"/>
    <s v="2011-20"/>
  </r>
  <r>
    <d v="2011-05-16T00:00:00"/>
    <n v="136.39863600000001"/>
    <n v="-0.65402799999998251"/>
    <n v="15.094689000000017"/>
    <n v="57.95"/>
    <n v="20"/>
    <n v="141.49889200000001"/>
    <n v="-1.5605134999999848"/>
    <n v="18.664949000000021"/>
    <n v="57.95"/>
    <n v="20"/>
    <x v="8"/>
    <x v="11"/>
    <s v="May"/>
    <s v="2011-21"/>
  </r>
  <r>
    <d v="2011-05-23T00:00:00"/>
    <n v="136.112764"/>
    <n v="-0.28587200000001189"/>
    <n v="16.187332000000012"/>
    <n v="57.95"/>
    <n v="20"/>
    <n v="140.76737299999999"/>
    <n v="-0.73151900000002001"/>
    <n v="18.844775999999982"/>
    <n v="57.95"/>
    <n v="20"/>
    <x v="8"/>
    <x v="11"/>
    <s v="May"/>
    <s v="2011-22"/>
  </r>
  <r>
    <d v="2011-05-30T00:00:00"/>
    <n v="135.56812200000002"/>
    <n v="-0.54464199999998186"/>
    <n v="17.025129000000021"/>
    <n v="57.95"/>
    <n v="20"/>
    <n v="139.81403599999999"/>
    <n v="-0.95333700000000476"/>
    <n v="19.057591000000002"/>
    <n v="57.95"/>
    <n v="20"/>
    <x v="8"/>
    <x v="11"/>
    <s v="May"/>
    <s v="2011-23"/>
  </r>
  <r>
    <d v="2011-06-06T00:00:00"/>
    <n v="135.61502400000001"/>
    <n v="4.6901999999988675E-2"/>
    <n v="17.410189000000003"/>
    <n v="57.95"/>
    <n v="20"/>
    <n v="139.58264399999999"/>
    <n v="-0.2313919999999996"/>
    <n v="19.185418999999996"/>
    <n v="57.95"/>
    <n v="20"/>
    <x v="8"/>
    <x v="0"/>
    <s v="June"/>
    <s v="2011-24"/>
  </r>
  <r>
    <d v="2011-06-13T00:00:00"/>
    <n v="135.85587599999999"/>
    <n v="0.24085199999998963"/>
    <n v="17.990043999999983"/>
    <n v="57.95"/>
    <n v="20"/>
    <n v="139.7712425"/>
    <n v="0.18859850000001188"/>
    <n v="19.564046500000003"/>
    <n v="57.95"/>
    <n v="20"/>
    <x v="8"/>
    <x v="0"/>
    <s v="June"/>
    <s v="2011-25"/>
  </r>
  <r>
    <d v="2011-06-20T00:00:00"/>
    <n v="136.026138"/>
    <n v="0.17026200000000813"/>
    <n v="18.224146999999988"/>
    <n v="57.95"/>
    <n v="20"/>
    <n v="140.0541035"/>
    <n v="0.28286099999999692"/>
    <n v="19.665832499999993"/>
    <n v="57.95"/>
    <n v="20"/>
    <x v="8"/>
    <x v="0"/>
    <s v="June"/>
    <s v="2011-26"/>
  </r>
  <r>
    <d v="2011-06-27T00:00:00"/>
    <n v="134.86316600000001"/>
    <n v="-1.1629719999999963"/>
    <n v="16.985925000000009"/>
    <n v="57.95"/>
    <n v="20"/>
    <n v="138.76678850000002"/>
    <n v="-1.2873149999999782"/>
    <n v="18.386851500000006"/>
    <n v="57.95"/>
    <n v="20"/>
    <x v="8"/>
    <x v="0"/>
    <s v="June"/>
    <s v="2011-27"/>
  </r>
  <r>
    <d v="2011-07-04T00:00:00"/>
    <n v="133.42817600000001"/>
    <n v="-1.4349899999999991"/>
    <n v="15.519047"/>
    <n v="57.95"/>
    <n v="20"/>
    <n v="137.70202950000001"/>
    <n v="-1.0647590000000093"/>
    <n v="17.264801500000019"/>
    <n v="57.95"/>
    <n v="20"/>
    <x v="8"/>
    <x v="1"/>
    <s v="July"/>
    <s v="2011-28"/>
  </r>
  <r>
    <d v="2011-07-11T00:00:00"/>
    <n v="134.17549000000002"/>
    <n v="0.74731400000001713"/>
    <n v="16.782009000000016"/>
    <n v="57.95"/>
    <n v="20"/>
    <n v="138.39607999999998"/>
    <n v="0.69405049999997459"/>
    <n v="18.613755999999981"/>
    <n v="57.95"/>
    <n v="20"/>
    <x v="8"/>
    <x v="1"/>
    <s v="July"/>
    <s v="2011-29"/>
  </r>
  <r>
    <d v="2011-07-18T00:00:00"/>
    <n v="134.97344799999999"/>
    <n v="0.79795799999996575"/>
    <n v="18.124769999999998"/>
    <n v="57.95"/>
    <n v="20"/>
    <n v="139.36052650000002"/>
    <n v="0.96444650000003662"/>
    <n v="20.120604500000013"/>
    <n v="57.95"/>
    <n v="20"/>
    <x v="8"/>
    <x v="1"/>
    <s v="July"/>
    <s v="2011-30"/>
  </r>
  <r>
    <d v="2011-07-25T00:00:00"/>
    <n v="135.66107599999998"/>
    <n v="0.68762799999998947"/>
    <n v="19.046777999999989"/>
    <n v="57.95"/>
    <n v="20"/>
    <n v="139.954891"/>
    <n v="0.59436449999998331"/>
    <n v="20.929558"/>
    <n v="57.95"/>
    <n v="20"/>
    <x v="8"/>
    <x v="1"/>
    <s v="July"/>
    <s v="2011-31"/>
  </r>
  <r>
    <d v="2011-08-01T00:00:00"/>
    <n v="136.066812"/>
    <n v="0.40573600000001875"/>
    <n v="19.557785999999993"/>
    <n v="57.95"/>
    <n v="20"/>
    <n v="140.55483950000001"/>
    <n v="0.59994850000001065"/>
    <n v="21.526380500000016"/>
    <n v="57.95"/>
    <n v="20"/>
    <x v="8"/>
    <x v="2"/>
    <s v="August"/>
    <s v="2011-32"/>
  </r>
  <r>
    <d v="2011-08-08T00:00:00"/>
    <n v="136.46350199999998"/>
    <n v="0.39668999999997823"/>
    <n v="20.117856999999972"/>
    <n v="57.95"/>
    <n v="20"/>
    <n v="140.83914050000001"/>
    <n v="0.28430099999999925"/>
    <n v="21.895034500000008"/>
    <n v="57.95"/>
    <n v="20"/>
    <x v="8"/>
    <x v="2"/>
    <s v="August"/>
    <s v="2011-33"/>
  </r>
  <r>
    <d v="2011-08-15T00:00:00"/>
    <n v="135.947734"/>
    <n v="-0.51576799999998002"/>
    <n v="19.610495999999998"/>
    <n v="57.95"/>
    <n v="20"/>
    <n v="140.35692399999999"/>
    <n v="-0.48221650000002114"/>
    <n v="21.570247999999992"/>
    <n v="57.95"/>
    <n v="20"/>
    <x v="8"/>
    <x v="2"/>
    <s v="August"/>
    <s v="2011-34"/>
  </r>
  <r>
    <d v="2011-08-22T00:00:00"/>
    <n v="134.55921599999999"/>
    <n v="-1.3885180000000048"/>
    <n v="18.916618"/>
    <n v="57.95"/>
    <n v="20"/>
    <n v="139.04476099999999"/>
    <n v="-1.3121629999999982"/>
    <n v="21.144316000000003"/>
    <n v="57.95"/>
    <n v="20"/>
    <x v="8"/>
    <x v="2"/>
    <s v="August"/>
    <s v="2011-35"/>
  </r>
  <r>
    <d v="2011-08-29T00:00:00"/>
    <n v="134.317576"/>
    <n v="-0.24163999999998964"/>
    <n v="19.334137000000013"/>
    <n v="57.95"/>
    <n v="20"/>
    <n v="138.715473"/>
    <n v="-0.32928799999999114"/>
    <n v="21.344504999999998"/>
    <n v="57.95"/>
    <n v="20"/>
    <x v="8"/>
    <x v="2"/>
    <s v="August"/>
    <s v="2011-36"/>
  </r>
  <r>
    <d v="2011-09-05T00:00:00"/>
    <n v="134.619426"/>
    <n v="0.30185000000000173"/>
    <n v="20.028480000000016"/>
    <n v="57.95"/>
    <n v="20"/>
    <n v="138.95617799999999"/>
    <n v="0.24070499999999129"/>
    <n v="21.867961999999991"/>
    <n v="57.95"/>
    <n v="20"/>
    <x v="8"/>
    <x v="3"/>
    <s v="September"/>
    <s v="2011-37"/>
  </r>
  <r>
    <d v="2011-09-12T00:00:00"/>
    <n v="135.003197"/>
    <n v="0.38377099999999587"/>
    <n v="20.346653000000003"/>
    <n v="57.95"/>
    <n v="20"/>
    <n v="139.3984595"/>
    <n v="0.4422815000000071"/>
    <n v="22.224935499999987"/>
    <n v="57.95"/>
    <n v="20"/>
    <x v="8"/>
    <x v="3"/>
    <s v="September"/>
    <s v="2011-38"/>
  </r>
  <r>
    <d v="2011-09-19T00:00:00"/>
    <n v="135.40180799999999"/>
    <n v="0.39861099999998828"/>
    <n v="20.337116999999978"/>
    <n v="57.95"/>
    <n v="20"/>
    <n v="139.86153999999999"/>
    <n v="0.46308049999998957"/>
    <n v="22.142198999999991"/>
    <n v="57.95"/>
    <n v="20"/>
    <x v="8"/>
    <x v="3"/>
    <s v="September"/>
    <s v="2011-39"/>
  </r>
  <r>
    <d v="2011-09-26T00:00:00"/>
    <n v="135.65406400000001"/>
    <n v="0.25225600000001691"/>
    <n v="20.259599000000009"/>
    <n v="57.95"/>
    <n v="20"/>
    <n v="140.14028250000001"/>
    <n v="0.27874250000002121"/>
    <n v="22.034721500000018"/>
    <n v="57.95"/>
    <n v="20"/>
    <x v="8"/>
    <x v="3"/>
    <s v="September"/>
    <s v="2011-40"/>
  </r>
  <r>
    <d v="2011-10-03T00:00:00"/>
    <n v="135.02150800000001"/>
    <n v="-0.6325559999999939"/>
    <n v="19.008423000000022"/>
    <n v="57.95"/>
    <n v="20"/>
    <n v="139.76582050000002"/>
    <n v="-0.37446199999999408"/>
    <n v="20.795512500000015"/>
    <n v="57.95"/>
    <n v="20"/>
    <x v="8"/>
    <x v="4"/>
    <s v="October"/>
    <s v="2011-41"/>
  </r>
  <r>
    <d v="2011-10-10T00:00:00"/>
    <n v="134.47208999999998"/>
    <n v="-0.54941800000003127"/>
    <n v="17.689130999999989"/>
    <n v="57.95"/>
    <n v="20"/>
    <n v="139.5203975"/>
    <n v="-0.2454230000000166"/>
    <n v="19.746496500000006"/>
    <n v="57.95"/>
    <n v="20"/>
    <x v="8"/>
    <x v="4"/>
    <s v="October"/>
    <s v="2011-42"/>
  </r>
  <r>
    <d v="2011-10-17T00:00:00"/>
    <n v="134.48864399999999"/>
    <n v="1.6554000000013502E-2"/>
    <n v="17.205041999999992"/>
    <n v="57.95"/>
    <n v="20"/>
    <n v="139.725461"/>
    <n v="0.20506349999999429"/>
    <n v="19.122249999999994"/>
    <n v="57.95"/>
    <n v="20"/>
    <x v="8"/>
    <x v="4"/>
    <s v="October"/>
    <s v="2011-43"/>
  </r>
  <r>
    <d v="2011-10-24T00:00:00"/>
    <n v="134.65919600000001"/>
    <n v="0.17055200000001491"/>
    <n v="16.919931999999989"/>
    <n v="57.95"/>
    <n v="20"/>
    <n v="140.19426700000002"/>
    <n v="0.46880600000002914"/>
    <n v="19.020245000000031"/>
    <n v="57.95"/>
    <n v="20"/>
    <x v="8"/>
    <x v="4"/>
    <s v="October"/>
    <s v="2011-44"/>
  </r>
  <r>
    <d v="2011-10-31T00:00:00"/>
    <n v="134.73461600000002"/>
    <n v="7.5420000000008258E-2"/>
    <n v="16.557101000000003"/>
    <n v="57.95"/>
    <n v="20"/>
    <n v="140.27105"/>
    <n v="7.6782999999977619E-2"/>
    <n v="18.606608000000008"/>
    <n v="57.95"/>
    <n v="20"/>
    <x v="8"/>
    <x v="4"/>
    <s v="October"/>
    <s v="2011-45"/>
  </r>
  <r>
    <d v="2011-11-07T00:00:00"/>
    <n v="134.40536799999998"/>
    <n v="-0.32924800000003529"/>
    <n v="15.733972999999978"/>
    <n v="57.95"/>
    <n v="20"/>
    <n v="140.41673449999999"/>
    <n v="0.14568449999998734"/>
    <n v="18.22494949999998"/>
    <n v="57.95"/>
    <n v="20"/>
    <x v="8"/>
    <x v="5"/>
    <s v="November"/>
    <s v="2011-46"/>
  </r>
  <r>
    <d v="2011-11-14T00:00:00"/>
    <n v="133.67629999999997"/>
    <n v="-0.72906800000001226"/>
    <n v="14.87923899999997"/>
    <n v="57.95"/>
    <n v="20"/>
    <n v="140.53224349999999"/>
    <n v="0.11550900000000297"/>
    <n v="18.02652049999999"/>
    <n v="57.95"/>
    <n v="20"/>
    <x v="8"/>
    <x v="5"/>
    <s v="November"/>
    <s v="2011-47"/>
  </r>
  <r>
    <d v="2011-11-21T00:00:00"/>
    <n v="133.37502000000001"/>
    <n v="-0.30127999999996291"/>
    <n v="14.386454000000001"/>
    <n v="57.95"/>
    <n v="20"/>
    <n v="141.06371350000001"/>
    <n v="0.53147000000001299"/>
    <n v="18.319069499999998"/>
    <n v="57.95"/>
    <n v="20"/>
    <x v="8"/>
    <x v="5"/>
    <s v="November"/>
    <s v="2011-48"/>
  </r>
  <r>
    <d v="2011-11-28T00:00:00"/>
    <n v="133.167687"/>
    <n v="-0.20733300000000554"/>
    <n v="13.96002"/>
    <n v="57.95"/>
    <n v="20"/>
    <n v="141.09594250000001"/>
    <n v="3.2229000000000951E-2"/>
    <n v="17.895903500000003"/>
    <n v="57.95"/>
    <n v="20"/>
    <x v="8"/>
    <x v="5"/>
    <s v="November"/>
    <s v="2011-49"/>
  </r>
  <r>
    <d v="2011-12-05T00:00:00"/>
    <n v="132.777108"/>
    <n v="-0.39057900000000245"/>
    <n v="12.235602"/>
    <n v="57.95"/>
    <n v="20"/>
    <n v="140.99401"/>
    <n v="-0.10193250000000376"/>
    <n v="16.376170000000002"/>
    <n v="57.95"/>
    <n v="20"/>
    <x v="8"/>
    <x v="6"/>
    <s v="December"/>
    <s v="2011-50"/>
  </r>
  <r>
    <d v="2011-12-12T00:00:00"/>
    <n v="132.52799199999998"/>
    <n v="-0.24911600000001499"/>
    <n v="10.846075999999982"/>
    <n v="57.95"/>
    <n v="20"/>
    <n v="140.9523045"/>
    <n v="-4.1705500000006168E-2"/>
    <n v="15.177523499999992"/>
    <n v="57.95"/>
    <n v="20"/>
    <x v="8"/>
    <x v="6"/>
    <s v="December"/>
    <s v="2011-51"/>
  </r>
  <r>
    <d v="2011-12-19T00:00:00"/>
    <n v="132.48720599999999"/>
    <n v="-4.0785999999997102E-2"/>
    <n v="10.178071999999986"/>
    <n v="57.95"/>
    <n v="20"/>
    <n v="140.92594400000002"/>
    <n v="-2.6360499999981357E-2"/>
    <n v="14.403706000000028"/>
    <n v="57.95"/>
    <n v="20"/>
    <x v="8"/>
    <x v="6"/>
    <s v="December"/>
    <s v="2011-52"/>
  </r>
  <r>
    <d v="2011-12-26T00:00:00"/>
    <n v="132.40984500000002"/>
    <n v="-7.7360999999967817E-2"/>
    <n v="8.96860700000002"/>
    <n v="57.95"/>
    <n v="20"/>
    <n v="140.77337500000002"/>
    <n v="-0.15256899999999973"/>
    <n v="13.093095000000019"/>
    <n v="57.95"/>
    <n v="20"/>
    <x v="8"/>
    <x v="6"/>
    <s v="December"/>
    <s v="2011-53"/>
  </r>
  <r>
    <d v="2012-01-02T00:00:00"/>
    <n v="132.40250900000001"/>
    <n v="-7.3360000000093351E-3"/>
    <n v="7.550120000000021"/>
    <n v="57.95"/>
    <n v="20"/>
    <n v="140.83631"/>
    <n v="6.2934999999981756E-2"/>
    <n v="11.724716999999998"/>
    <n v="57.95"/>
    <n v="20"/>
    <x v="9"/>
    <x v="7"/>
    <s v="January"/>
    <s v="2012-02"/>
  </r>
  <r>
    <d v="2012-01-09T00:00:00"/>
    <n v="132.68147999999999"/>
    <n v="0.27897099999998431"/>
    <n v="5.2833539999999886"/>
    <n v="57.95"/>
    <n v="20"/>
    <n v="141.00463500000001"/>
    <n v="0.16832500000001005"/>
    <n v="9.4082130000000177"/>
    <n v="57.95"/>
    <n v="20"/>
    <x v="9"/>
    <x v="7"/>
    <s v="January"/>
    <s v="2012-03"/>
  </r>
  <r>
    <d v="2012-01-16T00:00:00"/>
    <n v="133.29412600000001"/>
    <n v="0.61264600000001224"/>
    <n v="5.4219229999999925"/>
    <n v="57.95"/>
    <n v="20"/>
    <n v="141.6858805"/>
    <n v="0.68124549999998862"/>
    <n v="9.36046300000001"/>
    <n v="57.95"/>
    <n v="20"/>
    <x v="9"/>
    <x v="7"/>
    <s v="January"/>
    <s v="2012-04"/>
  </r>
  <r>
    <d v="2012-01-23T00:00:00"/>
    <n v="133.72112100000001"/>
    <n v="0.42699500000000512"/>
    <n v="5.3688600000000122"/>
    <n v="57.95"/>
    <n v="20"/>
    <n v="142.06083399999997"/>
    <n v="0.37495349999997529"/>
    <n v="9.063559999999967"/>
    <n v="57.95"/>
    <n v="20"/>
    <x v="9"/>
    <x v="7"/>
    <s v="January"/>
    <s v="2012-05"/>
  </r>
  <r>
    <d v="2012-01-30T00:00:00"/>
    <n v="134.101384"/>
    <n v="0.38026299999998514"/>
    <n v="5.5534289999999942"/>
    <n v="57.95"/>
    <n v="20"/>
    <n v="142.44726200000002"/>
    <n v="0.38642800000005195"/>
    <n v="9.1934835000000135"/>
    <n v="57.95"/>
    <n v="20"/>
    <x v="9"/>
    <x v="7"/>
    <s v="January"/>
    <s v="2012-06"/>
  </r>
  <r>
    <d v="2012-02-06T00:00:00"/>
    <n v="134.253016"/>
    <n v="0.15163200000000643"/>
    <n v="5.6174179999999865"/>
    <n v="57.95"/>
    <n v="20"/>
    <n v="142.23780000000002"/>
    <n v="-0.20946200000000204"/>
    <n v="8.7644545000000278"/>
    <n v="57.95"/>
    <n v="20"/>
    <x v="9"/>
    <x v="8"/>
    <s v="February"/>
    <s v="2012-07"/>
  </r>
  <r>
    <d v="2012-02-13T00:00:00"/>
    <n v="134.89741099999998"/>
    <n v="0.64439499999997452"/>
    <n v="6.1720079999999768"/>
    <n v="57.95"/>
    <n v="20"/>
    <n v="142.8253785"/>
    <n v="0.58757849999997802"/>
    <n v="9.1117359999999792"/>
    <n v="57.95"/>
    <n v="20"/>
    <x v="9"/>
    <x v="8"/>
    <s v="February"/>
    <s v="2012-08"/>
  </r>
  <r>
    <d v="2012-02-20T00:00:00"/>
    <n v="135.211436268"/>
    <n v="0.31402526800002306"/>
    <n v="6.2922912680000138"/>
    <n v="57.95"/>
    <n v="20"/>
    <n v="143.15210815500001"/>
    <n v="0.32672965500000828"/>
    <n v="9.1118031549999898"/>
    <n v="57.95"/>
    <n v="20"/>
    <x v="9"/>
    <x v="8"/>
    <s v="February"/>
    <s v="2012-09"/>
  </r>
  <r>
    <d v="2012-02-27T00:00:00"/>
    <n v="136.21234999999999"/>
    <n v="1.0009137319999866"/>
    <n v="6.4873849999999891"/>
    <n v="57.95"/>
    <n v="20"/>
    <n v="143.92049050000003"/>
    <n v="0.76838234500002045"/>
    <n v="8.8648620000000449"/>
    <n v="57.95"/>
    <n v="20"/>
    <x v="9"/>
    <x v="8"/>
    <s v="February"/>
    <s v="2012-10"/>
  </r>
  <r>
    <d v="2012-03-05T00:00:00"/>
    <n v="137.30326199999999"/>
    <n v="1.090912000000003"/>
    <n v="6.0214449999999715"/>
    <n v="57.95"/>
    <n v="20"/>
    <n v="144.71150549999999"/>
    <n v="0.79101499999995895"/>
    <n v="7.8133204999999748"/>
    <n v="57.95"/>
    <n v="20"/>
    <x v="9"/>
    <x v="9"/>
    <s v="March"/>
    <s v="2012-11"/>
  </r>
  <r>
    <d v="2012-03-12T00:00:00"/>
    <n v="137.90142400000002"/>
    <n v="0.5981620000000305"/>
    <n v="5.7252580000000535"/>
    <n v="57.95"/>
    <n v="20"/>
    <n v="145.146128"/>
    <n v="0.43462250000001745"/>
    <n v="6.8974865000000136"/>
    <n v="57.95"/>
    <n v="20"/>
    <x v="9"/>
    <x v="9"/>
    <s v="March"/>
    <s v="2012-12"/>
  </r>
  <r>
    <d v="2012-03-19T00:00:00"/>
    <n v="138.95736600000001"/>
    <n v="1.0559419999999875"/>
    <n v="5.8479070000000206"/>
    <n v="57.95"/>
    <n v="20"/>
    <n v="146.16103549999997"/>
    <n v="1.0149074999999641"/>
    <n v="6.6275544999999738"/>
    <n v="57.95"/>
    <n v="20"/>
    <x v="9"/>
    <x v="9"/>
    <s v="March"/>
    <s v="2012-13"/>
  </r>
  <r>
    <d v="2012-03-26T00:00:00"/>
    <n v="139.480164"/>
    <n v="0.52279799999999454"/>
    <n v="7.0430130000000304"/>
    <n v="57.95"/>
    <n v="20"/>
    <n v="146.5582655"/>
    <n v="0.39723000000003594"/>
    <n v="7.5207394999999906"/>
    <n v="57.95"/>
    <n v="20"/>
    <x v="9"/>
    <x v="9"/>
    <s v="March"/>
    <s v="2012-14"/>
  </r>
  <r>
    <d v="2012-04-02T00:00:00"/>
    <n v="140.99301899999998"/>
    <n v="1.5128549999999734"/>
    <n v="8.1871429999999918"/>
    <n v="57.95"/>
    <n v="20"/>
    <n v="147.67977500000001"/>
    <n v="1.1215095000000019"/>
    <n v="8.2205640000000244"/>
    <n v="57.95"/>
    <n v="20"/>
    <x v="9"/>
    <x v="10"/>
    <s v="April"/>
    <s v="2012-15"/>
  </r>
  <r>
    <d v="2012-04-09T00:00:00"/>
    <n v="141.97154399999999"/>
    <n v="0.97852500000001896"/>
    <n v="8.2887199999999837"/>
    <n v="57.95"/>
    <n v="20"/>
    <n v="148.00345150000001"/>
    <n v="0.32367650000000481"/>
    <n v="7.672798499999999"/>
    <n v="57.95"/>
    <n v="20"/>
    <x v="9"/>
    <x v="10"/>
    <s v="April"/>
    <s v="2012-16"/>
  </r>
  <r>
    <d v="2012-04-16T00:00:00"/>
    <n v="142.172754"/>
    <n v="0.20121000000000322"/>
    <n v="7.1117679999999837"/>
    <n v="57.95"/>
    <n v="20"/>
    <n v="148.03770950000001"/>
    <n v="3.4257999999994126E-2"/>
    <n v="6.6978759999999795"/>
    <n v="57.95"/>
    <n v="20"/>
    <x v="9"/>
    <x v="10"/>
    <s v="April"/>
    <s v="2012-17"/>
  </r>
  <r>
    <d v="2012-04-23T00:00:00"/>
    <n v="141.75901999999999"/>
    <n v="-0.41373400000000515"/>
    <n v="6.1378109999999708"/>
    <n v="57.95"/>
    <n v="20"/>
    <n v="147.96124350000002"/>
    <n v="-7.6465999999982159E-2"/>
    <n v="5.8501165000000412"/>
    <n v="57.95"/>
    <n v="20"/>
    <x v="9"/>
    <x v="10"/>
    <s v="April"/>
    <s v="2012-18"/>
  </r>
  <r>
    <d v="2012-04-30T00:00:00"/>
    <n v="141.004212"/>
    <n v="-0.75480799999999704"/>
    <n v="4.7100130000000036"/>
    <n v="57.95"/>
    <n v="20"/>
    <n v="147.0520665"/>
    <n v="-0.9091770000000281"/>
    <n v="4.5251174999999932"/>
    <n v="57.95"/>
    <n v="20"/>
    <x v="9"/>
    <x v="10"/>
    <s v="April"/>
    <s v="2012-19"/>
  </r>
  <r>
    <d v="2012-05-07T00:00:00"/>
    <n v="140.13650200000001"/>
    <n v="-0.86770999999998821"/>
    <n v="3.0838380000000143"/>
    <n v="57.95"/>
    <n v="20"/>
    <n v="146.39621200000002"/>
    <n v="-0.65585449999997536"/>
    <n v="3.3368065000000229"/>
    <n v="57.95"/>
    <n v="20"/>
    <x v="9"/>
    <x v="11"/>
    <s v="May"/>
    <s v="2012-20"/>
  </r>
  <r>
    <d v="2012-05-14T00:00:00"/>
    <n v="138.28657399999997"/>
    <n v="-1.849928000000034"/>
    <n v="1.8879379999999628"/>
    <n v="57.95"/>
    <n v="20"/>
    <n v="144.51881"/>
    <n v="-1.8774020000000178"/>
    <n v="3.0199179999999899"/>
    <n v="57.95"/>
    <n v="20"/>
    <x v="9"/>
    <x v="11"/>
    <s v="May"/>
    <s v="2012-21"/>
  </r>
  <r>
    <d v="2012-05-21T00:00:00"/>
    <n v="135.77142000000001"/>
    <n v="-2.515153999999967"/>
    <n v="-0.34134399999999232"/>
    <n v="57.95"/>
    <n v="20"/>
    <n v="141.746612"/>
    <n v="-2.772198000000003"/>
    <n v="0.97923900000000685"/>
    <n v="57.95"/>
    <n v="20"/>
    <x v="9"/>
    <x v="11"/>
    <s v="May"/>
    <s v="2012-22"/>
  </r>
  <r>
    <d v="2012-05-28T00:00:00"/>
    <n v="134.37459400000003"/>
    <n v="-1.3968259999999759"/>
    <n v="-1.1935279999999864"/>
    <n v="57.95"/>
    <n v="20"/>
    <n v="140.49399399999999"/>
    <n v="-1.2526180000000124"/>
    <n v="0.67995799999999917"/>
    <n v="57.95"/>
    <n v="20"/>
    <x v="9"/>
    <x v="11"/>
    <s v="May"/>
    <s v="2012-23"/>
  </r>
  <r>
    <d v="2012-06-04T00:00:00"/>
    <n v="134.05828600000001"/>
    <n v="-0.31630800000002068"/>
    <n v="-1.5567379999999957"/>
    <n v="57.95"/>
    <n v="20"/>
    <n v="139.958044"/>
    <n v="-0.53594999999998549"/>
    <n v="0.37540000000001328"/>
    <n v="57.95"/>
    <n v="20"/>
    <x v="9"/>
    <x v="0"/>
    <s v="June"/>
    <s v="2012-24"/>
  </r>
  <r>
    <d v="2012-06-11T00:00:00"/>
    <n v="133.66761399999999"/>
    <n v="-0.39067200000002344"/>
    <n v="-2.1882620000000088"/>
    <n v="57.95"/>
    <n v="20"/>
    <n v="139.582426"/>
    <n v="-0.37561800000000289"/>
    <n v="-0.1888165000000015"/>
    <n v="57.95"/>
    <n v="20"/>
    <x v="9"/>
    <x v="0"/>
    <s v="June"/>
    <s v="2012-25"/>
  </r>
  <r>
    <d v="2012-06-18T00:00:00"/>
    <n v="131.99095"/>
    <n v="-1.6766639999999882"/>
    <n v="-4.0351880000000051"/>
    <n v="57.95"/>
    <n v="20"/>
    <n v="137.710644"/>
    <n v="-1.8717819999999961"/>
    <n v="-2.3434594999999945"/>
    <n v="57.95"/>
    <n v="20"/>
    <x v="9"/>
    <x v="0"/>
    <s v="June"/>
    <s v="2012-26"/>
  </r>
  <r>
    <d v="2012-06-25T00:00:00"/>
    <n v="131.54592000000002"/>
    <n v="-0.44502999999997428"/>
    <n v="-3.317245999999983"/>
    <n v="57.95"/>
    <n v="20"/>
    <n v="137.20447600000003"/>
    <n v="-0.50616799999997397"/>
    <n v="-1.5623124999999902"/>
    <n v="57.95"/>
    <n v="20"/>
    <x v="9"/>
    <x v="0"/>
    <s v="June"/>
    <s v="2012-27"/>
  </r>
  <r>
    <d v="2012-07-02T00:00:00"/>
    <n v="130.49736200000001"/>
    <n v="-1.0485580000000141"/>
    <n v="-2.930813999999998"/>
    <n v="57.95"/>
    <n v="20"/>
    <n v="135.90737000000001"/>
    <n v="-1.2971060000000136"/>
    <n v="-1.7946594999999945"/>
    <n v="57.95"/>
    <n v="20"/>
    <x v="9"/>
    <x v="1"/>
    <s v="July"/>
    <s v="2012-28"/>
  </r>
  <r>
    <d v="2012-07-09T00:00:00"/>
    <n v="131.05671599999999"/>
    <n v="0.55935399999998481"/>
    <n v="-3.1187740000000304"/>
    <n v="57.95"/>
    <n v="20"/>
    <n v="136.43673799999999"/>
    <n v="0.52936799999997675"/>
    <n v="-1.9593419999999924"/>
    <n v="57.95"/>
    <n v="20"/>
    <x v="9"/>
    <x v="1"/>
    <s v="July"/>
    <s v="2012-29"/>
  </r>
  <r>
    <d v="2012-07-16T00:00:00"/>
    <n v="131.490128"/>
    <n v="0.43341200000000413"/>
    <n v="-3.483319999999992"/>
    <n v="57.95"/>
    <n v="20"/>
    <n v="136.84723399999999"/>
    <n v="0.41049599999999486"/>
    <n v="-2.5132925000000341"/>
    <n v="57.95"/>
    <n v="20"/>
    <x v="9"/>
    <x v="1"/>
    <s v="July"/>
    <s v="2012-30"/>
  </r>
  <r>
    <d v="2012-07-23T00:00:00"/>
    <n v="132.21420599999999"/>
    <n v="0.72407799999999156"/>
    <n v="-3.4468699999999899"/>
    <n v="57.95"/>
    <n v="20"/>
    <n v="137.72045800000001"/>
    <n v="0.87322400000002176"/>
    <n v="-2.2344329999999957"/>
    <n v="57.95"/>
    <n v="20"/>
    <x v="9"/>
    <x v="1"/>
    <s v="July"/>
    <s v="2012-31"/>
  </r>
  <r>
    <d v="2012-07-30T00:00:00"/>
    <n v="132.77736899999999"/>
    <n v="0.56316300000000297"/>
    <n v="-3.2894430000000057"/>
    <n v="57.95"/>
    <n v="20"/>
    <n v="138.251048"/>
    <n v="0.53058999999998946"/>
    <n v="-2.3037915000000169"/>
    <n v="57.95"/>
    <n v="20"/>
    <x v="9"/>
    <x v="1"/>
    <s v="July"/>
    <s v="2012-32"/>
  </r>
  <r>
    <d v="2012-08-06T00:00:00"/>
    <n v="133.38968599999998"/>
    <n v="0.61231699999999023"/>
    <n v="-3.0738159999999937"/>
    <n v="57.95"/>
    <n v="20"/>
    <n v="138.7893"/>
    <n v="0.53825199999999995"/>
    <n v="-2.0498405000000162"/>
    <n v="57.95"/>
    <n v="20"/>
    <x v="9"/>
    <x v="2"/>
    <s v="August"/>
    <s v="2012-33"/>
  </r>
  <r>
    <d v="2012-08-13T00:00:00"/>
    <n v="134.268494"/>
    <n v="0.87880800000002068"/>
    <n v="-1.679239999999993"/>
    <n v="57.95"/>
    <n v="20"/>
    <n v="139.46056200000001"/>
    <n v="0.6712620000000129"/>
    <n v="-0.89636199999998212"/>
    <n v="57.95"/>
    <n v="20"/>
    <x v="9"/>
    <x v="2"/>
    <s v="August"/>
    <s v="2012-34"/>
  </r>
  <r>
    <d v="2012-08-20T00:00:00"/>
    <n v="135.72391199999998"/>
    <n v="1.4554179999999803"/>
    <n v="1.1646959999999922"/>
    <n v="57.95"/>
    <n v="20"/>
    <n v="140.78570600000003"/>
    <n v="1.325144000000023"/>
    <n v="1.740945000000039"/>
    <n v="57.95"/>
    <n v="20"/>
    <x v="9"/>
    <x v="2"/>
    <s v="August"/>
    <s v="2012-35"/>
  </r>
  <r>
    <d v="2012-08-27T00:00:00"/>
    <n v="137.09820200000001"/>
    <n v="1.3742900000000304"/>
    <n v="2.7806260000000123"/>
    <n v="57.95"/>
    <n v="20"/>
    <n v="142.168836"/>
    <n v="1.3831299999999658"/>
    <n v="3.453362999999996"/>
    <n v="57.95"/>
    <n v="20"/>
    <x v="9"/>
    <x v="2"/>
    <s v="August"/>
    <s v="2012-36"/>
  </r>
  <r>
    <d v="2012-09-03T00:00:00"/>
    <n v="138.02894799999999"/>
    <n v="0.93074599999997076"/>
    <n v="3.4095219999999813"/>
    <n v="57.95"/>
    <n v="20"/>
    <n v="142.87187200000002"/>
    <n v="0.70303600000002575"/>
    <n v="3.9156940000000304"/>
    <n v="57.95"/>
    <n v="20"/>
    <x v="9"/>
    <x v="3"/>
    <s v="September"/>
    <s v="2012-37"/>
  </r>
  <r>
    <d v="2012-09-10T00:00:00"/>
    <n v="138.90583600000002"/>
    <n v="0.87688800000003653"/>
    <n v="3.902639000000022"/>
    <n v="57.95"/>
    <n v="20"/>
    <n v="143.655124"/>
    <n v="0.78325199999997608"/>
    <n v="4.2566644999999994"/>
    <n v="57.95"/>
    <n v="20"/>
    <x v="9"/>
    <x v="3"/>
    <s v="September"/>
    <s v="2012-38"/>
  </r>
  <r>
    <d v="2012-09-17T00:00:00"/>
    <n v="139.42084"/>
    <n v="0.51500399999997626"/>
    <n v="4.0190320000000099"/>
    <n v="57.95"/>
    <n v="20"/>
    <n v="144.17528600000003"/>
    <n v="0.52016200000002755"/>
    <n v="4.3137460000000374"/>
    <n v="57.95"/>
    <n v="20"/>
    <x v="9"/>
    <x v="3"/>
    <s v="September"/>
    <s v="2012-39"/>
  </r>
  <r>
    <d v="2012-09-24T00:00:00"/>
    <n v="139.53570199999999"/>
    <n v="0.11486199999998803"/>
    <n v="3.881637999999981"/>
    <n v="57.95"/>
    <n v="20"/>
    <n v="144.35665399999999"/>
    <n v="0.18136799999996356"/>
    <n v="4.2163714999999797"/>
    <n v="57.95"/>
    <n v="20"/>
    <x v="9"/>
    <x v="3"/>
    <s v="September"/>
    <s v="2012-40"/>
  </r>
  <r>
    <d v="2012-10-01T00:00:00"/>
    <n v="138.432863"/>
    <n v="-1.1028389999999888"/>
    <n v="3.4113549999999861"/>
    <n v="57.95"/>
    <n v="20"/>
    <n v="143.28373400000001"/>
    <n v="-1.0729199999999821"/>
    <n v="3.5179134999999917"/>
    <n v="57.95"/>
    <n v="20"/>
    <x v="9"/>
    <x v="4"/>
    <s v="October"/>
    <s v="2012-41"/>
  </r>
  <r>
    <d v="2012-10-08T00:00:00"/>
    <n v="138.236786"/>
    <n v="-0.1960770000000025"/>
    <n v="3.7646960000000149"/>
    <n v="57.95"/>
    <n v="20"/>
    <n v="143.04659800000002"/>
    <n v="-0.23713599999999246"/>
    <n v="3.5262005000000158"/>
    <n v="57.95"/>
    <n v="20"/>
    <x v="9"/>
    <x v="4"/>
    <s v="October"/>
    <s v="2012-42"/>
  </r>
  <r>
    <d v="2012-10-15T00:00:00"/>
    <n v="138.34782000000001"/>
    <n v="0.11103400000001784"/>
    <n v="3.8591760000000193"/>
    <n v="57.95"/>
    <n v="20"/>
    <n v="143.23495600000001"/>
    <n v="0.18835799999999381"/>
    <n v="3.5094950000000154"/>
    <n v="57.95"/>
    <n v="20"/>
    <x v="9"/>
    <x v="4"/>
    <s v="October"/>
    <s v="2012-43"/>
  </r>
  <r>
    <d v="2012-10-22T00:00:00"/>
    <n v="138.29239100000001"/>
    <n v="-5.5429000000003725E-2"/>
    <n v="3.6331950000000006"/>
    <n v="57.95"/>
    <n v="20"/>
    <n v="143.226978"/>
    <n v="-7.9780000000084783E-3"/>
    <n v="3.0327109999999777"/>
    <n v="57.95"/>
    <n v="20"/>
    <x v="9"/>
    <x v="4"/>
    <s v="October"/>
    <s v="2012-44"/>
  </r>
  <r>
    <d v="2012-10-29T00:00:00"/>
    <n v="136.983599"/>
    <n v="-1.3087920000000111"/>
    <n v="2.2489829999999813"/>
    <n v="57.95"/>
    <n v="20"/>
    <n v="142.99806599999999"/>
    <n v="-0.22891200000000822"/>
    <n v="2.7270159999999919"/>
    <n v="57.95"/>
    <n v="20"/>
    <x v="9"/>
    <x v="4"/>
    <s v="October"/>
    <s v="2012-45"/>
  </r>
  <r>
    <d v="2012-11-05T00:00:00"/>
    <n v="136.43301499999998"/>
    <n v="-0.55058400000001484"/>
    <n v="2.0276470000000018"/>
    <n v="57.95"/>
    <n v="20"/>
    <n v="142.753433"/>
    <n v="-0.24463299999999322"/>
    <n v="2.3366985000000113"/>
    <n v="57.95"/>
    <n v="20"/>
    <x v="9"/>
    <x v="5"/>
    <s v="November"/>
    <s v="2012-46"/>
  </r>
  <r>
    <d v="2012-11-12T00:00:00"/>
    <n v="135.086015"/>
    <n v="-1.34699999999998"/>
    <n v="1.409715000000034"/>
    <n v="57.95"/>
    <n v="20"/>
    <n v="141.74304000000001"/>
    <n v="-1.0103929999999934"/>
    <n v="1.2107965000000149"/>
    <n v="57.95"/>
    <n v="20"/>
    <x v="9"/>
    <x v="5"/>
    <s v="November"/>
    <s v="2012-47"/>
  </r>
  <r>
    <d v="2012-11-19T00:00:00"/>
    <n v="134.561207"/>
    <n v="-0.52480800000000727"/>
    <n v="1.1861869999999897"/>
    <n v="57.95"/>
    <n v="20"/>
    <n v="141.32775599999999"/>
    <n v="-0.41528400000001398"/>
    <n v="0.26404249999998797"/>
    <n v="57.95"/>
    <n v="20"/>
    <x v="9"/>
    <x v="5"/>
    <s v="November"/>
    <s v="2012-48"/>
  </r>
  <r>
    <d v="2012-11-26T00:00:00"/>
    <n v="134.37590900000001"/>
    <n v="-0.18529799999998886"/>
    <n v="1.2082220000000063"/>
    <n v="57.95"/>
    <n v="20"/>
    <n v="141.12770800000001"/>
    <n v="-0.20004799999998113"/>
    <n v="3.1765500000005886E-2"/>
    <n v="57.95"/>
    <n v="20"/>
    <x v="9"/>
    <x v="5"/>
    <s v="November"/>
    <s v="2012-49"/>
  </r>
  <r>
    <d v="2012-12-03T00:00:00"/>
    <n v="133.049633"/>
    <n v="-1.3262760000000071"/>
    <n v="0.27252500000000168"/>
    <n v="57.95"/>
    <n v="20"/>
    <n v="140.90526399999999"/>
    <n v="-0.22244400000002429"/>
    <n v="-8.8746000000014647E-2"/>
    <n v="57.95"/>
    <n v="20"/>
    <x v="9"/>
    <x v="6"/>
    <s v="December"/>
    <s v="2012-50"/>
  </r>
  <r>
    <d v="2012-12-10T00:00:00"/>
    <n v="132.548633"/>
    <n v="-0.50100000000000477"/>
    <n v="2.06410000000119E-2"/>
    <n v="57.95"/>
    <n v="20"/>
    <n v="140.76424"/>
    <n v="-0.14102399999998738"/>
    <n v="-0.18806449999999586"/>
    <n v="57.95"/>
    <n v="20"/>
    <x v="9"/>
    <x v="6"/>
    <s v="December"/>
    <s v="2012-51"/>
  </r>
  <r>
    <d v="2012-12-17T00:00:00"/>
    <n v="131.97664700000001"/>
    <n v="-0.57198599999998123"/>
    <n v="-0.51055899999997223"/>
    <n v="57.95"/>
    <n v="20"/>
    <n v="140.07936999999998"/>
    <n v="-0.68487000000001785"/>
    <n v="-0.84657400000003236"/>
    <n v="57.95"/>
    <n v="20"/>
    <x v="9"/>
    <x v="6"/>
    <s v="December"/>
    <s v="2012-52"/>
  </r>
  <r>
    <d v="2012-12-24T00:00:00"/>
    <n v="131.95196300000001"/>
    <n v="-2.46840000000077E-2"/>
    <n v="-0.45788200000001211"/>
    <n v="57.95"/>
    <n v="20"/>
    <n v="139.838594"/>
    <n v="-0.24077599999998256"/>
    <n v="-0.93478100000001518"/>
    <n v="57.95"/>
    <n v="20"/>
    <x v="9"/>
    <x v="6"/>
    <s v="December"/>
    <s v="2012-53"/>
  </r>
  <r>
    <d v="2012-12-31T00:00:00"/>
    <n v="131.91955799999999"/>
    <n v="-3.2405000000011341E-2"/>
    <n v="-0.48295100000001412"/>
    <n v="57.95"/>
    <n v="20"/>
    <n v="139.81163000000001"/>
    <n v="-2.6963999999992438E-2"/>
    <n v="-1.0246799999999894"/>
    <n v="57.95"/>
    <n v="20"/>
    <x v="9"/>
    <x v="6"/>
    <s v="December"/>
    <s v="2012-54"/>
  </r>
  <r>
    <d v="2013-01-07T00:00:00"/>
    <n v="131.86071500000003"/>
    <n v="-5.884299999996756E-2"/>
    <n v="-0.82076499999996599"/>
    <n v="57.95"/>
    <n v="20"/>
    <n v="139.75267300000002"/>
    <n v="-5.8956999999992377E-2"/>
    <n v="-1.2519619999999918"/>
    <n v="57.95"/>
    <n v="20"/>
    <x v="10"/>
    <x v="7"/>
    <s v="January"/>
    <s v="2013-02"/>
  </r>
  <r>
    <d v="2013-01-14T00:00:00"/>
    <n v="132.000415"/>
    <n v="0.1396999999999764"/>
    <n v="-1.2937110000000018"/>
    <n v="57.95"/>
    <n v="20"/>
    <n v="139.67838"/>
    <n v="-7.4293000000011489E-2"/>
    <n v="-2.0075004999999919"/>
    <n v="57.95"/>
    <n v="20"/>
    <x v="10"/>
    <x v="7"/>
    <s v="January"/>
    <s v="2013-03"/>
  </r>
  <r>
    <d v="2013-01-21T00:00:00"/>
    <n v="132.21391"/>
    <n v="0.21349499999999466"/>
    <n v="-1.5072110000000123"/>
    <n v="57.95"/>
    <n v="20"/>
    <n v="139.952684"/>
    <n v="0.27430400000000077"/>
    <n v="-2.1081499999999664"/>
    <n v="57.95"/>
    <n v="20"/>
    <x v="10"/>
    <x v="7"/>
    <s v="January"/>
    <s v="2013-04"/>
  </r>
  <r>
    <d v="2013-01-28T00:00:00"/>
    <n v="132.9495"/>
    <n v="0.73559000000000196"/>
    <n v="-1.1518839999999955"/>
    <n v="57.95"/>
    <n v="20"/>
    <n v="140.766412"/>
    <n v="0.81372799999999756"/>
    <n v="-1.6808500000000208"/>
    <n v="57.95"/>
    <n v="20"/>
    <x v="10"/>
    <x v="7"/>
    <s v="January"/>
    <s v="2013-05"/>
  </r>
  <r>
    <d v="2013-02-04T00:00:00"/>
    <n v="134.380516"/>
    <n v="1.4310159999999996"/>
    <n v="0.12749999999999773"/>
    <n v="57.95"/>
    <n v="20"/>
    <n v="141.91007200000001"/>
    <n v="1.1436600000000112"/>
    <n v="-0.32772800000000757"/>
    <n v="57.95"/>
    <n v="20"/>
    <x v="10"/>
    <x v="8"/>
    <s v="February"/>
    <s v="2013-06"/>
  </r>
  <r>
    <d v="2013-02-11T00:00:00"/>
    <n v="135.560969"/>
    <n v="1.180453"/>
    <n v="0.66355800000002318"/>
    <n v="57.95"/>
    <n v="20"/>
    <n v="143.02667200000002"/>
    <n v="1.1166000000000054"/>
    <n v="0.20129350000001978"/>
    <n v="57.95"/>
    <n v="20"/>
    <x v="10"/>
    <x v="8"/>
    <s v="February"/>
    <s v="2013-07"/>
  </r>
  <r>
    <d v="2013-02-18T00:00:00"/>
    <n v="136.858936"/>
    <n v="1.2979669999999999"/>
    <n v="1.647499732"/>
    <n v="57.95"/>
    <n v="20"/>
    <n v="144.170064"/>
    <n v="1.1433919999999773"/>
    <n v="1.0179558449999888"/>
    <n v="57.95"/>
    <n v="20"/>
    <x v="10"/>
    <x v="8"/>
    <s v="February"/>
    <s v="2013-08"/>
  </r>
  <r>
    <d v="2013-02-25T00:00:00"/>
    <n v="138.49662400000003"/>
    <n v="1.6376880000000256"/>
    <n v="2.284274000000039"/>
    <n v="57.95"/>
    <n v="20"/>
    <n v="145.54502000000002"/>
    <n v="1.3749560000000258"/>
    <n v="1.6245294999999942"/>
    <n v="57.95"/>
    <n v="20"/>
    <x v="10"/>
    <x v="8"/>
    <s v="February"/>
    <s v="2013-09"/>
  </r>
  <r>
    <d v="2013-03-04T00:00:00"/>
    <n v="139.47330600000001"/>
    <n v="0.97668199999998251"/>
    <n v="2.1700440000000185"/>
    <n v="57.95"/>
    <n v="20"/>
    <n v="146.34438"/>
    <n v="0.79935999999997875"/>
    <n v="1.632874500000014"/>
    <n v="57.95"/>
    <n v="20"/>
    <x v="10"/>
    <x v="9"/>
    <s v="March"/>
    <s v="2013-10"/>
  </r>
  <r>
    <d v="2013-03-11T00:00:00"/>
    <n v="139.99731299999999"/>
    <n v="0.52400699999998324"/>
    <n v="2.0958889999999712"/>
    <n v="57.95"/>
    <n v="20"/>
    <n v="146.71072000000001"/>
    <n v="0.3663400000000081"/>
    <n v="1.5645920000000046"/>
    <n v="57.95"/>
    <n v="20"/>
    <x v="10"/>
    <x v="9"/>
    <s v="March"/>
    <s v="2013-11"/>
  </r>
  <r>
    <d v="2013-03-18T00:00:00"/>
    <n v="137.58264399999999"/>
    <n v="-2.4146690000000035"/>
    <n v="-1.3747220000000198"/>
    <n v="57.95"/>
    <n v="20"/>
    <n v="144.84169600000001"/>
    <n v="-1.869023999999996"/>
    <n v="-1.3193394999999555"/>
    <n v="57.95"/>
    <n v="20"/>
    <x v="10"/>
    <x v="9"/>
    <s v="March"/>
    <s v="2013-12"/>
  </r>
  <r>
    <d v="2013-03-25T00:00:00"/>
    <n v="137.08594400000001"/>
    <n v="-0.49669999999997572"/>
    <n v="-2.39421999999999"/>
    <n v="57.95"/>
    <n v="20"/>
    <n v="144.33430200000001"/>
    <n v="-0.50739400000000501"/>
    <n v="-2.2239634999999964"/>
    <n v="57.95"/>
    <n v="20"/>
    <x v="10"/>
    <x v="9"/>
    <s v="March"/>
    <s v="2013-13"/>
  </r>
  <r>
    <d v="2013-04-01T00:00:00"/>
    <n v="137.29717400000001"/>
    <n v="0.21123000000000047"/>
    <n v="-3.695844999999963"/>
    <n v="57.95"/>
    <n v="20"/>
    <n v="143.506238"/>
    <n v="-0.8280640000000119"/>
    <n v="-4.1735370000000103"/>
    <n v="57.95"/>
    <n v="20"/>
    <x v="10"/>
    <x v="10"/>
    <s v="April"/>
    <s v="2013-14"/>
  </r>
  <r>
    <d v="2013-04-08T00:00:00"/>
    <n v="137.30526600000002"/>
    <n v="8.0920000000048731E-3"/>
    <n v="-4.6662779999999771"/>
    <n v="57.95"/>
    <n v="20"/>
    <n v="143.13313399999998"/>
    <n v="-0.37310400000001209"/>
    <n v="-4.8703175000000272"/>
    <n v="57.95"/>
    <n v="20"/>
    <x v="10"/>
    <x v="10"/>
    <s v="April"/>
    <s v="2013-15"/>
  </r>
  <r>
    <d v="2013-04-15T00:00:00"/>
    <n v="137.10880200000003"/>
    <n v="-0.19646399999999176"/>
    <n v="-5.063951999999972"/>
    <n v="57.95"/>
    <n v="20"/>
    <n v="141.66509600000001"/>
    <n v="-1.4680379999999786"/>
    <n v="-6.3726134999999999"/>
    <n v="57.95"/>
    <n v="20"/>
    <x v="10"/>
    <x v="10"/>
    <s v="April"/>
    <s v="2013-16"/>
  </r>
  <r>
    <d v="2013-04-22T00:00:00"/>
    <n v="135.680712"/>
    <n v="-1.4280900000000258"/>
    <n v="-6.0783079999999927"/>
    <n v="57.95"/>
    <n v="20"/>
    <n v="140.63922599999998"/>
    <n v="-1.025870000000026"/>
    <n v="-7.3220175000000438"/>
    <n v="57.95"/>
    <n v="20"/>
    <x v="10"/>
    <x v="10"/>
    <s v="April"/>
    <s v="2013-17"/>
  </r>
  <r>
    <d v="2013-04-29T00:00:00"/>
    <n v="134.66240100000002"/>
    <n v="-1.0183109999999829"/>
    <n v="-6.3418109999999785"/>
    <n v="57.95"/>
    <n v="20"/>
    <n v="139.59394400000002"/>
    <n v="-1.0452819999999576"/>
    <n v="-7.4581224999999733"/>
    <n v="57.95"/>
    <n v="20"/>
    <x v="10"/>
    <x v="10"/>
    <s v="April"/>
    <s v="2013-18"/>
  </r>
  <r>
    <d v="2013-05-06T00:00:00"/>
    <n v="133.41651199999998"/>
    <n v="-1.2458890000000338"/>
    <n v="-6.7199900000000241"/>
    <n v="57.95"/>
    <n v="20"/>
    <n v="138.54057800000001"/>
    <n v="-1.0533660000000111"/>
    <n v="-7.8556340000000091"/>
    <n v="57.95"/>
    <n v="20"/>
    <x v="10"/>
    <x v="11"/>
    <s v="May"/>
    <s v="2013-19"/>
  </r>
  <r>
    <d v="2013-05-13T00:00:00"/>
    <n v="133.11905999999999"/>
    <n v="-0.29745199999999272"/>
    <n v="-5.1675139999999828"/>
    <n v="57.95"/>
    <n v="20"/>
    <n v="138.26707199999998"/>
    <n v="-0.27350600000002601"/>
    <n v="-6.2517380000000173"/>
    <n v="57.95"/>
    <n v="20"/>
    <x v="10"/>
    <x v="11"/>
    <s v="May"/>
    <s v="2013-20"/>
  </r>
  <r>
    <d v="2013-05-20T00:00:00"/>
    <n v="133.17174200000002"/>
    <n v="5.2682000000032758E-2"/>
    <n v="-2.5996779999999831"/>
    <n v="57.95"/>
    <n v="20"/>
    <n v="138.424342"/>
    <n v="0.15727000000001112"/>
    <n v="-3.3222700000000032"/>
    <n v="57.95"/>
    <n v="20"/>
    <x v="10"/>
    <x v="11"/>
    <s v="May"/>
    <s v="2013-21"/>
  </r>
  <r>
    <d v="2013-05-27T00:00:00"/>
    <n v="133.63792799999999"/>
    <n v="0.46618599999996491"/>
    <n v="-0.73666600000004223"/>
    <n v="57.95"/>
    <n v="20"/>
    <n v="138.81604299999998"/>
    <n v="0.39170099999998342"/>
    <n v="-1.6779510000000073"/>
    <n v="57.95"/>
    <n v="20"/>
    <x v="10"/>
    <x v="11"/>
    <s v="May"/>
    <s v="2013-22"/>
  </r>
  <r>
    <d v="2013-06-03T00:00:00"/>
    <n v="134.04443800000001"/>
    <n v="0.40651000000002568"/>
    <n v="-1.3847999999995864E-2"/>
    <n v="57.95"/>
    <n v="20"/>
    <n v="139.17138699999998"/>
    <n v="0.35534400000000232"/>
    <n v="-0.78665700000001948"/>
    <n v="57.95"/>
    <n v="20"/>
    <x v="10"/>
    <x v="0"/>
    <s v="June"/>
    <s v="2013-23"/>
  </r>
  <r>
    <d v="2013-06-10T00:00:00"/>
    <n v="134.29900899999998"/>
    <n v="0.25457099999997013"/>
    <n v="0.63139499999999771"/>
    <n v="57.95"/>
    <n v="20"/>
    <n v="139.433402"/>
    <n v="0.26201500000001943"/>
    <n v="-0.14902399999999716"/>
    <n v="57.95"/>
    <n v="20"/>
    <x v="10"/>
    <x v="0"/>
    <s v="June"/>
    <s v="2013-24"/>
  </r>
  <r>
    <d v="2013-06-17T00:00:00"/>
    <n v="134.45768799999999"/>
    <n v="0.15867900000000645"/>
    <n v="2.4667379999999923"/>
    <n v="57.95"/>
    <n v="20"/>
    <n v="139.536798"/>
    <n v="0.1033960000000036"/>
    <n v="1.8261540000000025"/>
    <n v="57.95"/>
    <n v="20"/>
    <x v="10"/>
    <x v="0"/>
    <s v="June"/>
    <s v="2013-25"/>
  </r>
  <r>
    <d v="2013-06-24T00:00:00"/>
    <n v="134.52005800000001"/>
    <n v="6.237000000001558E-2"/>
    <n v="2.9741379999999822"/>
    <n v="57.95"/>
    <n v="20"/>
    <n v="139.636392"/>
    <n v="9.9593999999996186E-2"/>
    <n v="2.4319159999999727"/>
    <n v="57.95"/>
    <n v="20"/>
    <x v="10"/>
    <x v="0"/>
    <s v="June"/>
    <s v="2013-26"/>
  </r>
  <r>
    <d v="2013-07-01T00:00:00"/>
    <n v="133.44030800000002"/>
    <n v="-1.07974999999999"/>
    <n v="2.9429460000000063"/>
    <n v="57.95"/>
    <n v="20"/>
    <n v="138.514228"/>
    <n v="-1.1221639999999979"/>
    <n v="2.6068579999999884"/>
    <n v="57.95"/>
    <n v="20"/>
    <x v="10"/>
    <x v="1"/>
    <s v="July"/>
    <s v="2013-27"/>
  </r>
  <r>
    <d v="2013-07-08T00:00:00"/>
    <n v="133.76930400000001"/>
    <n v="0.32899599999998941"/>
    <n v="2.7125880000000109"/>
    <n v="57.95"/>
    <n v="20"/>
    <n v="138.730852"/>
    <n v="0.21662399999999593"/>
    <n v="2.2941140000000075"/>
    <n v="57.95"/>
    <n v="20"/>
    <x v="10"/>
    <x v="1"/>
    <s v="July"/>
    <s v="2013-28"/>
  </r>
  <r>
    <d v="2013-07-15T00:00:00"/>
    <n v="134.94647799999998"/>
    <n v="1.1771739999999795"/>
    <n v="3.4563499999999863"/>
    <n v="57.95"/>
    <n v="20"/>
    <n v="139.83587"/>
    <n v="1.1050180000000012"/>
    <n v="2.9886360000000138"/>
    <n v="57.95"/>
    <n v="20"/>
    <x v="10"/>
    <x v="1"/>
    <s v="July"/>
    <s v="2013-29"/>
  </r>
  <r>
    <d v="2013-07-22T00:00:00"/>
    <n v="136.036168"/>
    <n v="1.0896900000000187"/>
    <n v="3.8219620000000134"/>
    <n v="57.95"/>
    <n v="20"/>
    <n v="140.72110600000002"/>
    <n v="0.88523600000002034"/>
    <n v="3.0006480000000124"/>
    <n v="57.95"/>
    <n v="20"/>
    <x v="10"/>
    <x v="1"/>
    <s v="July"/>
    <s v="2013-30"/>
  </r>
  <r>
    <d v="2013-07-29T00:00:00"/>
    <n v="136.86846699999998"/>
    <n v="0.8322989999999777"/>
    <n v="4.0910979999999881"/>
    <n v="57.95"/>
    <n v="20"/>
    <n v="141.4359"/>
    <n v="0.7147939999999835"/>
    <n v="3.1848520000000065"/>
    <n v="57.95"/>
    <n v="20"/>
    <x v="10"/>
    <x v="1"/>
    <s v="July"/>
    <s v="2013-31"/>
  </r>
  <r>
    <d v="2013-08-05T00:00:00"/>
    <n v="137.015534"/>
    <n v="0.14706700000002115"/>
    <n v="3.6258480000000191"/>
    <n v="57.95"/>
    <n v="20"/>
    <n v="141.67454000000001"/>
    <n v="0.23864000000000374"/>
    <n v="2.8852400000000102"/>
    <n v="57.95"/>
    <n v="20"/>
    <x v="10"/>
    <x v="2"/>
    <s v="August"/>
    <s v="2013-32"/>
  </r>
  <r>
    <d v="2013-08-12T00:00:00"/>
    <n v="137.13020200000003"/>
    <n v="0.11466800000002308"/>
    <n v="2.8617080000000215"/>
    <n v="57.95"/>
    <n v="20"/>
    <n v="141.822056"/>
    <n v="0.14751599999999598"/>
    <n v="2.3614939999999933"/>
    <n v="57.95"/>
    <n v="20"/>
    <x v="10"/>
    <x v="2"/>
    <s v="August"/>
    <s v="2013-33"/>
  </r>
  <r>
    <d v="2013-08-19T00:00:00"/>
    <n v="136.998616"/>
    <n v="-0.13158600000002707"/>
    <n v="1.274704000000014"/>
    <n v="57.95"/>
    <n v="20"/>
    <n v="141.73261600000004"/>
    <n v="-8.9439999999967768E-2"/>
    <n v="0.94691000000000258"/>
    <n v="57.95"/>
    <n v="20"/>
    <x v="10"/>
    <x v="2"/>
    <s v="August"/>
    <s v="2013-34"/>
  </r>
  <r>
    <d v="2013-08-28T00:00:00"/>
    <n v="136.82743200000002"/>
    <n v="-0.17118399999998246"/>
    <n v="-0.27076999999999884"/>
    <n v="57.95"/>
    <n v="20"/>
    <n v="141.777568"/>
    <n v="4.4951999999966574E-2"/>
    <n v="-0.39126799999999662"/>
    <n v="57.95"/>
    <n v="20"/>
    <x v="10"/>
    <x v="2"/>
    <s v="August"/>
    <s v="2013-35"/>
  </r>
  <r>
    <d v="2013-09-02T00:00:00"/>
    <n v="137.13656"/>
    <n v="0.30912799999998697"/>
    <n v="-0.89238799999998264"/>
    <n v="57.95"/>
    <n v="20"/>
    <n v="142.09303799999998"/>
    <n v="0.31546999999997638"/>
    <n v="-0.77883400000004599"/>
    <n v="57.95"/>
    <n v="20"/>
    <x v="10"/>
    <x v="3"/>
    <s v="September"/>
    <s v="2013-36"/>
  </r>
  <r>
    <d v="2013-09-09T00:00:00"/>
    <n v="137.60209899999998"/>
    <n v="0.46553899999997839"/>
    <n v="-1.3037370000000408"/>
    <n v="57.95"/>
    <n v="20"/>
    <n v="142.67081200000001"/>
    <n v="0.57777400000003354"/>
    <n v="-0.98431199999998853"/>
    <n v="57.95"/>
    <n v="20"/>
    <x v="10"/>
    <x v="3"/>
    <s v="September"/>
    <s v="2013-37"/>
  </r>
  <r>
    <d v="2013-09-16T00:00:00"/>
    <n v="137.47292899999999"/>
    <n v="-0.12916999999998779"/>
    <n v="-1.9479110000000048"/>
    <n v="57.95"/>
    <n v="20"/>
    <n v="142.52039400000001"/>
    <n v="-0.15041800000000194"/>
    <n v="-1.654892000000018"/>
    <n v="57.95"/>
    <n v="20"/>
    <x v="10"/>
    <x v="3"/>
    <s v="September"/>
    <s v="2013-38"/>
  </r>
  <r>
    <d v="2013-09-23T00:00:00"/>
    <n v="136.95380399999999"/>
    <n v="-0.5191250000000025"/>
    <n v="-2.5818979999999954"/>
    <n v="57.95"/>
    <n v="20"/>
    <n v="142.08849599999999"/>
    <n v="-0.4318980000000181"/>
    <n v="-2.2681579999999997"/>
    <n v="57.95"/>
    <n v="20"/>
    <x v="10"/>
    <x v="3"/>
    <s v="September"/>
    <s v="2013-39"/>
  </r>
  <r>
    <d v="2013-09-30T00:00:00"/>
    <n v="133.40168199999999"/>
    <n v="-3.5521219999999971"/>
    <n v="-5.0311810000000037"/>
    <n v="57.95"/>
    <n v="20"/>
    <n v="140.19415999999998"/>
    <n v="-1.8943360000000098"/>
    <n v="-3.0895740000000274"/>
    <n v="57.95"/>
    <n v="20"/>
    <x v="10"/>
    <x v="3"/>
    <s v="September"/>
    <s v="2013-40"/>
  </r>
  <r>
    <d v="2013-10-07T00:00:00"/>
    <n v="131.620834"/>
    <n v="-1.7808479999999918"/>
    <n v="-6.6159519999999929"/>
    <n v="57.95"/>
    <n v="20"/>
    <n v="138.833854"/>
    <n v="-1.36030599999998"/>
    <n v="-4.2127440000000149"/>
    <n v="57.95"/>
    <n v="20"/>
    <x v="10"/>
    <x v="4"/>
    <s v="October"/>
    <s v="2013-41"/>
  </r>
  <r>
    <d v="2013-10-14T00:00:00"/>
    <n v="131.674207"/>
    <n v="5.3372999999993453E-2"/>
    <n v="-6.6736130000000173"/>
    <n v="57.95"/>
    <n v="20"/>
    <n v="139.15173300000004"/>
    <n v="0.31787900000003333"/>
    <n v="-4.0832229999999754"/>
    <n v="57.95"/>
    <n v="20"/>
    <x v="10"/>
    <x v="4"/>
    <s v="October"/>
    <s v="2013-42"/>
  </r>
  <r>
    <d v="2013-10-21T00:00:00"/>
    <n v="131.533006"/>
    <n v="-0.14120099999999525"/>
    <n v="-6.7593850000000089"/>
    <n v="57.95"/>
    <n v="20"/>
    <n v="138.99436399999999"/>
    <n v="-0.15736900000004539"/>
    <n v="-4.2326140000000123"/>
    <n v="57.95"/>
    <n v="20"/>
    <x v="10"/>
    <x v="4"/>
    <s v="October"/>
    <s v="2013-43"/>
  </r>
  <r>
    <d v="2013-10-28T00:00:00"/>
    <n v="131.41811599999997"/>
    <n v="-0.11489000000003102"/>
    <n v="-5.5654830000000288"/>
    <n v="57.95"/>
    <n v="20"/>
    <n v="138.87785500000001"/>
    <n v="-0.11650899999997932"/>
    <n v="-4.1202109999999834"/>
    <n v="57.95"/>
    <n v="20"/>
    <x v="10"/>
    <x v="4"/>
    <s v="October"/>
    <s v="2013-44"/>
  </r>
  <r>
    <d v="2013-11-04T00:00:00"/>
    <n v="129.92194499999999"/>
    <n v="-1.4961709999999755"/>
    <n v="-6.5110699999999895"/>
    <n v="57.95"/>
    <n v="20"/>
    <n v="137.51446800000002"/>
    <n v="-1.3633869999999888"/>
    <n v="-5.238964999999979"/>
    <n v="57.95"/>
    <n v="20"/>
    <x v="10"/>
    <x v="5"/>
    <s v="November"/>
    <s v="2013-45"/>
  </r>
  <r>
    <d v="2013-11-11T00:00:00"/>
    <n v="129.705026"/>
    <n v="-0.21691899999999009"/>
    <n v="-5.3809889999999996"/>
    <n v="57.95"/>
    <n v="20"/>
    <n v="137.32368400000001"/>
    <n v="-0.19078400000000784"/>
    <n v="-4.4193559999999934"/>
    <n v="57.95"/>
    <n v="20"/>
    <x v="10"/>
    <x v="5"/>
    <s v="November"/>
    <s v="2013-46"/>
  </r>
  <r>
    <d v="2013-11-18T00:00:00"/>
    <n v="129.88799799999998"/>
    <n v="0.18297199999997815"/>
    <n v="-4.6732090000000142"/>
    <n v="57.95"/>
    <n v="20"/>
    <n v="137.47142200000002"/>
    <n v="0.14773800000000392"/>
    <n v="-3.8563339999999755"/>
    <n v="57.95"/>
    <n v="20"/>
    <x v="10"/>
    <x v="5"/>
    <s v="November"/>
    <s v="2013-47"/>
  </r>
  <r>
    <d v="2013-11-25T00:00:00"/>
    <n v="130.03340399999999"/>
    <n v="0.14540600000000836"/>
    <n v="-4.3425050000000169"/>
    <n v="57.95"/>
    <n v="20"/>
    <n v="137.72114300000001"/>
    <n v="0.24972099999999386"/>
    <n v="-3.4065650000000005"/>
    <n v="57.95"/>
    <n v="20"/>
    <x v="10"/>
    <x v="5"/>
    <s v="November"/>
    <s v="2013-48"/>
  </r>
  <r>
    <d v="2013-12-02T00:00:00"/>
    <n v="130.253998"/>
    <n v="0.22059400000000551"/>
    <n v="-2.7956350000000043"/>
    <n v="57.95"/>
    <n v="20"/>
    <n v="137.89805999999999"/>
    <n v="0.17691699999997468"/>
    <n v="-3.0072040000000015"/>
    <n v="57.95"/>
    <n v="20"/>
    <x v="10"/>
    <x v="6"/>
    <s v="December"/>
    <s v="2013-49"/>
  </r>
  <r>
    <d v="2013-12-09T00:00:00"/>
    <n v="130.76437099999998"/>
    <n v="0.51037299999998709"/>
    <n v="-1.7842620000000124"/>
    <n v="57.95"/>
    <n v="20"/>
    <n v="138.55344100000002"/>
    <n v="0.65538100000003396"/>
    <n v="-2.2107989999999802"/>
    <n v="57.95"/>
    <n v="20"/>
    <x v="10"/>
    <x v="6"/>
    <s v="December"/>
    <s v="2013-50"/>
  </r>
  <r>
    <d v="2013-12-16T00:00:00"/>
    <n v="130.96074199999998"/>
    <n v="0.19637099999999919"/>
    <n v="-1.015905000000032"/>
    <n v="57.95"/>
    <n v="20"/>
    <n v="138.84163799999999"/>
    <n v="0.28819699999996828"/>
    <n v="-1.2377319999999941"/>
    <n v="57.95"/>
    <n v="20"/>
    <x v="10"/>
    <x v="6"/>
    <s v="December"/>
    <s v="2013-51"/>
  </r>
  <r>
    <d v="2013-12-23T00:00:00"/>
    <n v="130.05188100000001"/>
    <n v="-0.90886099999997327"/>
    <n v="-1.9000819999999976"/>
    <n v="57.95"/>
    <n v="20"/>
    <n v="138.16987"/>
    <n v="-0.67176799999998593"/>
    <n v="-1.6687239999999974"/>
    <n v="57.95"/>
    <n v="20"/>
    <x v="10"/>
    <x v="6"/>
    <s v="December"/>
    <s v="2013-52"/>
  </r>
  <r>
    <d v="2013-12-30T00:00:00"/>
    <n v="130.03394499999999"/>
    <n v="-1.7936000000020158E-2"/>
    <n v="-1.8856130000000064"/>
    <n v="57.95"/>
    <n v="20"/>
    <n v="137.97954800000002"/>
    <n v="-0.19032199999998056"/>
    <n v="-1.8320819999999856"/>
    <n v="57.95"/>
    <n v="20"/>
    <x v="10"/>
    <x v="6"/>
    <s v="December"/>
    <s v="2013-53"/>
  </r>
  <r>
    <d v="2014-01-06T00:00:00"/>
    <n v="130.256192"/>
    <n v="0.22224700000001008"/>
    <n v="-1.6045230000000288"/>
    <n v="57.95"/>
    <n v="20"/>
    <n v="138.114304"/>
    <n v="0.13475599999998167"/>
    <n v="-1.6383690000000115"/>
    <n v="57.95"/>
    <n v="20"/>
    <x v="11"/>
    <x v="7"/>
    <s v="January"/>
    <s v="2014-02"/>
  </r>
  <r>
    <d v="2014-01-13T00:00:00"/>
    <n v="130.35634899999999"/>
    <n v="0.10015699999999583"/>
    <n v="-1.6440660000000094"/>
    <n v="57.95"/>
    <n v="20"/>
    <n v="138.33954900000001"/>
    <n v="0.22524500000000103"/>
    <n v="-1.338830999999999"/>
    <n v="57.95"/>
    <n v="20"/>
    <x v="11"/>
    <x v="7"/>
    <s v="January"/>
    <s v="2014-03"/>
  </r>
  <r>
    <d v="2014-01-20T00:00:00"/>
    <n v="129.36717099999998"/>
    <n v="-0.98917800000000966"/>
    <n v="-2.8467390000000137"/>
    <n v="57.95"/>
    <n v="20"/>
    <n v="137.23146600000001"/>
    <n v="-1.1080829999999935"/>
    <n v="-2.7212179999999933"/>
    <n v="57.95"/>
    <n v="20"/>
    <x v="11"/>
    <x v="7"/>
    <s v="January"/>
    <s v="2014-04"/>
  </r>
  <r>
    <d v="2014-01-27T00:00:00"/>
    <n v="129.02084399999998"/>
    <n v="-0.34632700000000227"/>
    <n v="-3.9286560000000179"/>
    <n v="57.95"/>
    <n v="20"/>
    <n v="136.93848"/>
    <n v="-0.29298600000001329"/>
    <n v="-3.8279320000000041"/>
    <n v="57.95"/>
    <n v="20"/>
    <x v="11"/>
    <x v="7"/>
    <s v="January"/>
    <s v="2014-05"/>
  </r>
  <r>
    <d v="2014-02-03T00:00:00"/>
    <n v="128.854164"/>
    <n v="-0.16667999999998528"/>
    <n v="-5.5263520000000028"/>
    <n v="57.95"/>
    <n v="20"/>
    <n v="136.843692"/>
    <n v="-9.4787999999994099E-2"/>
    <n v="-5.0663800000000094"/>
    <n v="57.95"/>
    <n v="20"/>
    <x v="11"/>
    <x v="8"/>
    <s v="February"/>
    <s v="2014-06"/>
  </r>
  <r>
    <d v="2014-02-10T00:00:00"/>
    <n v="128.813028"/>
    <n v="-4.113599999999451E-2"/>
    <n v="-6.7479409999999973"/>
    <n v="57.95"/>
    <n v="20"/>
    <n v="136.84497999999999"/>
    <n v="1.2879999999881875E-3"/>
    <n v="-6.1816920000000266"/>
    <n v="57.95"/>
    <n v="20"/>
    <x v="11"/>
    <x v="8"/>
    <s v="February"/>
    <s v="2014-07"/>
  </r>
  <r>
    <d v="2014-02-17T00:00:00"/>
    <n v="129.156083"/>
    <n v="0.34305499999999256"/>
    <n v="-7.7028530000000046"/>
    <n v="57.95"/>
    <n v="20"/>
    <n v="136.80595300000002"/>
    <n v="-3.9026999999975942E-2"/>
    <n v="-7.3641109999999799"/>
    <n v="57.95"/>
    <n v="20"/>
    <x v="11"/>
    <x v="8"/>
    <s v="February"/>
    <s v="2014-08"/>
  </r>
  <r>
    <d v="2014-02-24T00:00:00"/>
    <n v="129.20190500000001"/>
    <n v="4.582200000001535E-2"/>
    <n v="-9.2947190000000148"/>
    <n v="57.95"/>
    <n v="20"/>
    <n v="136.94979799999999"/>
    <n v="0.14384499999997047"/>
    <n v="-8.5952220000000352"/>
    <n v="57.95"/>
    <n v="20"/>
    <x v="11"/>
    <x v="8"/>
    <s v="February"/>
    <s v="2014-09"/>
  </r>
  <r>
    <d v="2014-03-03T00:00:00"/>
    <n v="129.35819599999999"/>
    <n v="0.15629099999998175"/>
    <n v="-10.115110000000016"/>
    <n v="57.95"/>
    <n v="20"/>
    <n v="137.15048899999999"/>
    <n v="0.20069100000000617"/>
    <n v="-9.1938910000000078"/>
    <n v="57.95"/>
    <n v="20"/>
    <x v="11"/>
    <x v="9"/>
    <s v="March"/>
    <s v="2014-10"/>
  </r>
  <r>
    <d v="2014-03-10T00:00:00"/>
    <n v="129.385392"/>
    <n v="2.7196000000003551E-2"/>
    <n v="-10.611920999999995"/>
    <n v="57.95"/>
    <n v="20"/>
    <n v="137.07808700000001"/>
    <n v="-7.2401999999982536E-2"/>
    <n v="-9.6326329999999984"/>
    <n v="57.95"/>
    <n v="20"/>
    <x v="11"/>
    <x v="9"/>
    <s v="March"/>
    <s v="2014-11"/>
  </r>
  <r>
    <d v="2014-03-17T00:00:00"/>
    <n v="128.75718499999999"/>
    <n v="-0.62820700000000329"/>
    <n v="-8.8254589999999951"/>
    <n v="57.95"/>
    <n v="20"/>
    <n v="136.26726400000001"/>
    <n v="-0.81082299999999918"/>
    <n v="-8.5744320000000016"/>
    <n v="57.95"/>
    <n v="20"/>
    <x v="11"/>
    <x v="9"/>
    <s v="March"/>
    <s v="2014-12"/>
  </r>
  <r>
    <d v="2014-03-24T00:00:00"/>
    <n v="128.57118199999999"/>
    <n v="-0.18600299999999947"/>
    <n v="-8.5147620000000188"/>
    <n v="57.95"/>
    <n v="20"/>
    <n v="135.99780400000003"/>
    <n v="-0.26945999999998094"/>
    <n v="-8.3364979999999775"/>
    <n v="57.95"/>
    <n v="20"/>
    <x v="11"/>
    <x v="9"/>
    <s v="March"/>
    <s v="2014-13"/>
  </r>
  <r>
    <d v="2014-03-31T00:00:00"/>
    <n v="128.76130999999998"/>
    <n v="0.1901279999999872"/>
    <n v="-8.5358640000000321"/>
    <n v="57.95"/>
    <n v="20"/>
    <n v="135.886517"/>
    <n v="-0.11128700000003278"/>
    <n v="-7.6197209999999984"/>
    <n v="57.95"/>
    <n v="20"/>
    <x v="11"/>
    <x v="9"/>
    <s v="March"/>
    <s v="2014-14"/>
  </r>
  <r>
    <d v="2014-04-07T00:00:00"/>
    <n v="128.71284299999999"/>
    <n v="-4.8466999999988047E-2"/>
    <n v="-8.592423000000025"/>
    <n v="57.95"/>
    <n v="20"/>
    <n v="136.00898599999999"/>
    <n v="0.12246899999999528"/>
    <n v="-7.124147999999991"/>
    <n v="57.95"/>
    <n v="20"/>
    <x v="11"/>
    <x v="10"/>
    <s v="April"/>
    <s v="2014-15"/>
  </r>
  <r>
    <d v="2014-04-14T00:00:00"/>
    <n v="128.89086800000001"/>
    <n v="0.17802500000001942"/>
    <n v="-8.2179340000000138"/>
    <n v="57.95"/>
    <n v="20"/>
    <n v="136.05353000000002"/>
    <n v="4.4544000000030337E-2"/>
    <n v="-5.6115659999999821"/>
    <n v="57.95"/>
    <n v="20"/>
    <x v="11"/>
    <x v="10"/>
    <s v="April"/>
    <s v="2014-16"/>
  </r>
  <r>
    <d v="2014-04-21T00:00:00"/>
    <n v="129.11240000000001"/>
    <n v="0.22153199999999629"/>
    <n v="-6.5683119999999917"/>
    <n v="57.95"/>
    <n v="20"/>
    <n v="136.11527100000001"/>
    <n v="6.1740999999983615E-2"/>
    <n v="-4.5239549999999724"/>
    <n v="57.95"/>
    <n v="20"/>
    <x v="11"/>
    <x v="10"/>
    <s v="April"/>
    <s v="2014-17"/>
  </r>
  <r>
    <d v="2014-04-28T00:00:00"/>
    <n v="129.09442099999998"/>
    <n v="-1.797900000002528E-2"/>
    <n v="-5.5679800000000341"/>
    <n v="57.95"/>
    <n v="20"/>
    <n v="135.93039400000001"/>
    <n v="-0.18487700000000018"/>
    <n v="-3.663550000000015"/>
    <n v="57.95"/>
    <n v="20"/>
    <x v="11"/>
    <x v="10"/>
    <s v="April"/>
    <s v="2014-18"/>
  </r>
  <r>
    <d v="2014-05-05T00:00:00"/>
    <n v="129.26613199999997"/>
    <n v="0.17171099999998773"/>
    <n v="-4.1503800000000126"/>
    <n v="57.95"/>
    <n v="20"/>
    <n v="136.16088500000001"/>
    <n v="0.23049100000000067"/>
    <n v="-2.3796930000000032"/>
    <n v="57.95"/>
    <n v="20"/>
    <x v="11"/>
    <x v="11"/>
    <s v="May"/>
    <s v="2014-19"/>
  </r>
  <r>
    <d v="2014-05-12T00:00:00"/>
    <n v="129.49770899999999"/>
    <n v="0.23157700000001569"/>
    <n v="-3.6213510000000042"/>
    <n v="57.95"/>
    <n v="20"/>
    <n v="136.36838600000002"/>
    <n v="0.20750100000000771"/>
    <n v="-1.8986859999999695"/>
    <n v="57.95"/>
    <n v="20"/>
    <x v="11"/>
    <x v="11"/>
    <s v="May"/>
    <s v="2014-20"/>
  </r>
  <r>
    <d v="2014-05-19T00:00:00"/>
    <n v="129.41837900000002"/>
    <n v="-7.9329999999970369E-2"/>
    <n v="-3.7533630000000073"/>
    <n v="57.95"/>
    <n v="20"/>
    <n v="136.16587900000002"/>
    <n v="-0.20250699999999711"/>
    <n v="-2.2584629999999777"/>
    <n v="57.95"/>
    <n v="20"/>
    <x v="11"/>
    <x v="11"/>
    <s v="May"/>
    <s v="2014-21"/>
  </r>
  <r>
    <d v="2014-05-26T00:00:00"/>
    <n v="129.51083600000001"/>
    <n v="9.2456999999996015E-2"/>
    <n v="-4.1270919999999762"/>
    <n v="57.95"/>
    <n v="20"/>
    <n v="136.35768300000001"/>
    <n v="0.19180399999999054"/>
    <n v="-2.4583599999999706"/>
    <n v="57.95"/>
    <n v="20"/>
    <x v="11"/>
    <x v="11"/>
    <s v="May"/>
    <s v="2014-22"/>
  </r>
  <r>
    <d v="2014-06-02T00:00:00"/>
    <n v="129.63180999999997"/>
    <n v="0.12097399999996128"/>
    <n v="-4.4126280000000406"/>
    <n v="57.95"/>
    <n v="20"/>
    <n v="136.37573"/>
    <n v="1.8046999999995705E-2"/>
    <n v="-2.7956569999999772"/>
    <n v="57.95"/>
    <n v="20"/>
    <x v="11"/>
    <x v="0"/>
    <s v="June"/>
    <s v="2014-23"/>
  </r>
  <r>
    <d v="2014-06-09T00:00:00"/>
    <n v="129.69266399999998"/>
    <n v="6.0854000000006181E-2"/>
    <n v="-4.6063450000000046"/>
    <n v="57.95"/>
    <n v="20"/>
    <n v="136.040524"/>
    <n v="-0.33520599999999945"/>
    <n v="-3.3928779999999961"/>
    <n v="57.95"/>
    <n v="20"/>
    <x v="11"/>
    <x v="0"/>
    <s v="June"/>
    <s v="2014-24"/>
  </r>
  <r>
    <d v="2014-06-16T00:00:00"/>
    <n v="129.880144"/>
    <n v="0.18748000000002207"/>
    <n v="-4.577543999999989"/>
    <n v="57.95"/>
    <n v="20"/>
    <n v="135.54180200000002"/>
    <n v="-0.49872199999998656"/>
    <n v="-3.9949959999999862"/>
    <n v="57.95"/>
    <n v="20"/>
    <x v="11"/>
    <x v="0"/>
    <s v="June"/>
    <s v="2014-25"/>
  </r>
  <r>
    <d v="2014-06-23T00:00:00"/>
    <n v="130.142156"/>
    <n v="0.26201199999999858"/>
    <n v="-4.377902000000006"/>
    <n v="57.95"/>
    <n v="20"/>
    <n v="135.500857"/>
    <n v="-4.0945000000021992E-2"/>
    <n v="-4.1355350000000044"/>
    <n v="57.95"/>
    <n v="20"/>
    <x v="11"/>
    <x v="0"/>
    <s v="June"/>
    <s v="2014-26"/>
  </r>
  <r>
    <d v="2014-06-30T00:00:00"/>
    <n v="130.68705"/>
    <n v="0.54489399999999932"/>
    <n v="-2.7532580000000166"/>
    <n v="57.95"/>
    <n v="20"/>
    <n v="136.03758400000001"/>
    <n v="0.53672700000001328"/>
    <n v="-2.4766439999999932"/>
    <n v="57.95"/>
    <n v="20"/>
    <x v="11"/>
    <x v="0"/>
    <s v="June"/>
    <s v="2014-27"/>
  </r>
  <r>
    <d v="2014-07-07T00:00:00"/>
    <n v="131.099919"/>
    <n v="0.4128690000000006"/>
    <n v="-2.6693850000000054"/>
    <n v="57.95"/>
    <n v="20"/>
    <n v="136.21809500000001"/>
    <n v="0.18051099999999565"/>
    <n v="-2.5127569999999935"/>
    <n v="57.95"/>
    <n v="20"/>
    <x v="11"/>
    <x v="1"/>
    <s v="July"/>
    <s v="2014-28"/>
  </r>
  <r>
    <d v="2014-07-14T00:00:00"/>
    <n v="131.11149700000001"/>
    <n v="1.1578000000014299E-2"/>
    <n v="-3.8349809999999707"/>
    <n v="57.95"/>
    <n v="20"/>
    <n v="136.17090200000001"/>
    <n v="-4.7192999999992935E-2"/>
    <n v="-3.6649679999999876"/>
    <n v="57.95"/>
    <n v="20"/>
    <x v="11"/>
    <x v="1"/>
    <s v="July"/>
    <s v="2014-29"/>
  </r>
  <r>
    <d v="2014-07-21T00:00:00"/>
    <n v="131.04472099999998"/>
    <n v="-6.6776000000032809E-2"/>
    <n v="-4.9914470000000222"/>
    <n v="57.95"/>
    <n v="20"/>
    <n v="135.68729200000001"/>
    <n v="-0.48360999999999876"/>
    <n v="-5.0338140000000067"/>
    <n v="57.95"/>
    <n v="20"/>
    <x v="11"/>
    <x v="1"/>
    <s v="July"/>
    <s v="2014-30"/>
  </r>
  <r>
    <d v="2014-07-28T00:00:00"/>
    <n v="130.829579"/>
    <n v="-0.21514199999998596"/>
    <n v="-6.0388879999999858"/>
    <n v="57.95"/>
    <n v="20"/>
    <n v="135.504648"/>
    <n v="-0.18264400000001046"/>
    <n v="-5.9312520000000006"/>
    <n v="57.95"/>
    <n v="20"/>
    <x v="11"/>
    <x v="1"/>
    <s v="July"/>
    <s v="2014-31"/>
  </r>
  <r>
    <d v="2014-08-04T00:00:00"/>
    <n v="129.62610100000001"/>
    <n v="-1.2034779999999898"/>
    <n v="-7.3894329999999968"/>
    <n v="57.95"/>
    <n v="20"/>
    <n v="134.30514200000002"/>
    <n v="-1.1995059999999853"/>
    <n v="-7.3693979999999897"/>
    <n v="57.95"/>
    <n v="20"/>
    <x v="11"/>
    <x v="2"/>
    <s v="August"/>
    <s v="2014-32"/>
  </r>
  <r>
    <d v="2014-08-11T00:00:00"/>
    <n v="129.41438299999999"/>
    <n v="-0.21171800000001895"/>
    <n v="-7.7158190000000388"/>
    <n v="57.95"/>
    <n v="20"/>
    <n v="133.851055"/>
    <n v="-0.45408700000001545"/>
    <n v="-7.9710010000000011"/>
    <n v="57.95"/>
    <n v="20"/>
    <x v="11"/>
    <x v="2"/>
    <s v="August"/>
    <s v="2014-33"/>
  </r>
  <r>
    <d v="2014-08-18T00:00:00"/>
    <n v="129.291968"/>
    <n v="-0.1224149999999895"/>
    <n v="-7.7066480000000013"/>
    <n v="57.95"/>
    <n v="20"/>
    <n v="133.74293299999999"/>
    <n v="-0.10812200000000871"/>
    <n v="-7.9896830000000421"/>
    <n v="57.95"/>
    <n v="20"/>
    <x v="11"/>
    <x v="2"/>
    <s v="August"/>
    <s v="2014-34"/>
  </r>
  <r>
    <d v="2014-08-25T00:00:00"/>
    <n v="128.342308078489"/>
    <n v="-0.94965992151099954"/>
    <n v="-8.4851239215110184"/>
    <n v="57.95"/>
    <n v="20"/>
    <n v="133.1618836912464"/>
    <n v="-0.58104930875359173"/>
    <n v="-8.6156843087536004"/>
    <n v="57.95"/>
    <n v="20"/>
    <x v="11"/>
    <x v="2"/>
    <s v="August"/>
    <s v="2014-35"/>
  </r>
  <r>
    <d v="2014-09-01T00:00:00"/>
    <n v="128.00941659328362"/>
    <n v="-0.33289148520537992"/>
    <n v="-9.1271434067163852"/>
    <n v="57.95"/>
    <n v="20"/>
    <n v="132.76814251684459"/>
    <n v="-0.39374117440181067"/>
    <n v="-9.3248954831553874"/>
    <n v="57.95"/>
    <n v="20"/>
    <x v="11"/>
    <x v="3"/>
    <s v="September"/>
    <s v="2014-36"/>
  </r>
  <r>
    <d v="2014-09-08T00:00:00"/>
    <n v="128.34305732556072"/>
    <n v="0.33364073227710378"/>
    <n v="-9.2590416744392599"/>
    <n v="57.95"/>
    <n v="20"/>
    <n v="133.09017074232111"/>
    <n v="0.32202822547651522"/>
    <n v="-9.5806412576789057"/>
    <n v="57.95"/>
    <n v="20"/>
    <x v="11"/>
    <x v="3"/>
    <s v="September"/>
    <s v="2014-37"/>
  </r>
  <r>
    <d v="2014-09-15T00:00:00"/>
    <n v="128.43335735216516"/>
    <n v="9.0300026604438699E-2"/>
    <n v="-9.0395716478348334"/>
    <n v="57.95"/>
    <n v="20"/>
    <n v="133.13145405940608"/>
    <n v="4.1283317084975124E-2"/>
    <n v="-9.3889399405939287"/>
    <n v="57.95"/>
    <n v="20"/>
    <x v="11"/>
    <x v="3"/>
    <s v="September"/>
    <s v="2014-38"/>
  </r>
  <r>
    <d v="2014-09-22T00:00:00"/>
    <n v="128.61695035375567"/>
    <n v="0.18359300159050918"/>
    <n v="-8.3368536462443217"/>
    <n v="57.95"/>
    <n v="20"/>
    <n v="133.31890915296231"/>
    <n v="0.18745509355622403"/>
    <n v="-8.7695868470376865"/>
    <n v="57.95"/>
    <n v="20"/>
    <x v="11"/>
    <x v="3"/>
    <s v="September"/>
    <s v="2014-39"/>
  </r>
  <r>
    <d v="2014-09-29T00:00:00"/>
    <n v="128.59320006130426"/>
    <n v="-2.375029245141036E-2"/>
    <n v="-4.8084819386957349"/>
    <n v="57.95"/>
    <n v="20"/>
    <n v="133.23312085690392"/>
    <n v="-8.578829605838223E-2"/>
    <n v="-6.961039143096059"/>
    <n v="57.95"/>
    <n v="20"/>
    <x v="11"/>
    <x v="3"/>
    <s v="September"/>
    <s v="2014-40"/>
  </r>
  <r>
    <d v="2014-10-06T00:00:00"/>
    <n v="126.78491776759481"/>
    <n v="-1.8082822937094534"/>
    <n v="-4.8359162324051965"/>
    <n v="57.95"/>
    <n v="20"/>
    <n v="131.43183198251728"/>
    <n v="-1.8012888743866426"/>
    <n v="-7.4020220174827216"/>
    <n v="57.95"/>
    <n v="20"/>
    <x v="11"/>
    <x v="4"/>
    <s v="October"/>
    <s v="2014-41"/>
  </r>
  <r>
    <d v="2014-10-13T00:00:00"/>
    <n v="126.49926711709757"/>
    <n v="-0.2856506504972316"/>
    <n v="-5.1749398829024216"/>
    <n v="57.95"/>
    <n v="20"/>
    <n v="131.0819765451586"/>
    <n v="-0.34985543735868418"/>
    <n v="-8.0697564548414391"/>
    <n v="57.95"/>
    <n v="20"/>
    <x v="11"/>
    <x v="4"/>
    <s v="October"/>
    <s v="2014-42"/>
  </r>
  <r>
    <d v="2014-10-20T00:00:00"/>
    <n v="125.40349229072044"/>
    <n v="-1.0957748263771379"/>
    <n v="-6.1295137092795642"/>
    <n v="57.95"/>
    <n v="20"/>
    <n v="129.99717782692747"/>
    <n v="-1.0847987182311272"/>
    <n v="-8.9971861730725209"/>
    <n v="57.95"/>
    <n v="20"/>
    <x v="11"/>
    <x v="4"/>
    <s v="October"/>
    <s v="2014-43"/>
  </r>
  <r>
    <d v="2014-10-27T00:00:00"/>
    <n v="125.11373542785068"/>
    <n v="-0.28975686286975133"/>
    <n v="-6.3043805721492845"/>
    <n v="57.95"/>
    <n v="20"/>
    <n v="129.71674404436067"/>
    <n v="-0.28043378256680285"/>
    <n v="-9.1611109556393444"/>
    <n v="57.95"/>
    <n v="20"/>
    <x v="11"/>
    <x v="4"/>
    <s v="October"/>
    <s v="2014-44"/>
  </r>
  <r>
    <d v="2014-11-03T00:00:00"/>
    <n v="123.93878706354707"/>
    <n v="-1.1749483643036172"/>
    <n v="-5.9831579364529262"/>
    <n v="57.95"/>
    <n v="20"/>
    <n v="128.55709969866805"/>
    <n v="-1.1596443456926124"/>
    <n v="-8.957368301331968"/>
    <n v="57.95"/>
    <n v="20"/>
    <x v="11"/>
    <x v="5"/>
    <s v="November"/>
    <s v="2014-45"/>
  </r>
  <r>
    <d v="2014-11-10T00:00:00"/>
    <n v="122.94293023483374"/>
    <n v="-0.99585682871332892"/>
    <n v="-6.762095765166265"/>
    <n v="57.95"/>
    <n v="20"/>
    <n v="127.59488314642692"/>
    <n v="-0.96221655224113078"/>
    <n v="-9.728800853573091"/>
    <n v="57.95"/>
    <n v="20"/>
    <x v="11"/>
    <x v="5"/>
    <s v="November"/>
    <s v="2014-46"/>
  </r>
  <r>
    <d v="2014-11-17T00:00:00"/>
    <n v="122.50137777603679"/>
    <n v="-0.4415524587969486"/>
    <n v="-7.3866202239631917"/>
    <n v="57.95"/>
    <n v="20"/>
    <n v="127.30886460251439"/>
    <n v="-0.28601854391253312"/>
    <n v="-10.162557397485628"/>
    <n v="57.95"/>
    <n v="20"/>
    <x v="11"/>
    <x v="5"/>
    <s v="November"/>
    <s v="2014-47"/>
  </r>
  <r>
    <d v="2014-11-24T00:00:00"/>
    <n v="122.29458215198052"/>
    <n v="-0.20679562405626939"/>
    <n v="-7.7388218480194695"/>
    <n v="57.95"/>
    <n v="20"/>
    <n v="127.16689626675107"/>
    <n v="-0.14196833576332324"/>
    <n v="-10.554246733248945"/>
    <n v="57.95"/>
    <n v="20"/>
    <x v="11"/>
    <x v="5"/>
    <s v="November"/>
    <s v="2014-48"/>
  </r>
  <r>
    <d v="2014-12-01T00:00:00"/>
    <n v="121.17819332596842"/>
    <n v="-1.1163888260120984"/>
    <n v="-9.0758046740315734"/>
    <n v="57.95"/>
    <n v="20"/>
    <n v="126.11136628651238"/>
    <n v="-1.0555299802386884"/>
    <n v="-11.786693713487608"/>
    <n v="57.95"/>
    <n v="20"/>
    <x v="11"/>
    <x v="6"/>
    <s v="December"/>
    <s v="2014-49"/>
  </r>
  <r>
    <d v="2014-12-08T00:00:00"/>
    <n v="119.83314859532217"/>
    <n v="-1.3450447306462507"/>
    <n v="-10.931222404677811"/>
    <n v="57.95"/>
    <n v="20"/>
    <n v="124.78581491139718"/>
    <n v="-1.3255513751151966"/>
    <n v="-13.767626088602839"/>
    <n v="57.95"/>
    <n v="20"/>
    <x v="11"/>
    <x v="6"/>
    <s v="December"/>
    <s v="2014-50"/>
  </r>
  <r>
    <d v="2014-12-15T00:00:00"/>
    <n v="116.30130202079251"/>
    <n v="-3.5318465745296663"/>
    <n v="-14.659439979207477"/>
    <n v="57.95"/>
    <n v="20"/>
    <n v="122.43040990582345"/>
    <n v="-2.3554050055737292"/>
    <n v="-16.411228094176536"/>
    <n v="57.95"/>
    <n v="20"/>
    <x v="11"/>
    <x v="6"/>
    <s v="December"/>
    <s v="2014-51"/>
  </r>
  <r>
    <d v="2014-12-22T00:00:00"/>
    <n v="113.66277198261409"/>
    <n v="-2.6385300381784162"/>
    <n v="-16.38910901738592"/>
    <n v="57.95"/>
    <n v="20"/>
    <n v="120.81395354935341"/>
    <n v="-1.6164563564700387"/>
    <n v="-17.355916450646589"/>
    <n v="57.95"/>
    <n v="20"/>
    <x v="11"/>
    <x v="6"/>
    <s v="December"/>
    <s v="2014-52"/>
  </r>
  <r>
    <d v="2014-12-29T00:00:00"/>
    <n v="113.16029904817108"/>
    <n v="-0.50247293444300567"/>
    <n v="-16.873645951828905"/>
    <n v="57.95"/>
    <n v="20"/>
    <n v="120.36327337434955"/>
    <n v="-0.45068017500386759"/>
    <n v="-17.616274625650476"/>
    <n v="57.95"/>
    <n v="20"/>
    <x v="11"/>
    <x v="6"/>
    <s v="December"/>
    <s v="2014-53"/>
  </r>
  <r>
    <d v="2015-01-05T00:00:00"/>
    <n v="111.06263896516052"/>
    <n v="-2.0976600830105667"/>
    <n v="-19.193553034839482"/>
    <n v="57.95"/>
    <n v="20"/>
    <n v="117.93335943095734"/>
    <n v="-2.4299139433922079"/>
    <n v="-20.180944569042666"/>
    <n v="57.95"/>
    <n v="20"/>
    <x v="12"/>
    <x v="7"/>
    <s v="January"/>
    <s v="2015-02"/>
  </r>
  <r>
    <d v="2015-01-12T00:00:00"/>
    <n v="108.86588767255694"/>
    <n v="-2.1967512926035795"/>
    <n v="-21.490461327443057"/>
    <n v="57.95"/>
    <n v="20"/>
    <n v="116.22067961428183"/>
    <n v="-1.7126798166755037"/>
    <n v="-22.11886938571817"/>
    <n v="57.95"/>
    <n v="20"/>
    <x v="12"/>
    <x v="7"/>
    <s v="January"/>
    <s v="2015-03"/>
  </r>
  <r>
    <d v="2015-01-19T00:00:00"/>
    <n v="106.82572363792367"/>
    <n v="-2.0401640346332641"/>
    <n v="-22.541447362076312"/>
    <n v="57.95"/>
    <n v="20"/>
    <n v="114.32765419282902"/>
    <n v="-1.893025421452819"/>
    <n v="-22.903811807170996"/>
    <n v="57.95"/>
    <n v="20"/>
    <x v="12"/>
    <x v="7"/>
    <s v="January"/>
    <s v="2015-04"/>
  </r>
  <r>
    <d v="2015-01-26T00:00:00"/>
    <n v="106.31989007720998"/>
    <n v="-0.50583356071369678"/>
    <n v="-22.700953922790006"/>
    <n v="57.95"/>
    <n v="20"/>
    <n v="113.76040358721184"/>
    <n v="-0.56725060561717555"/>
    <n v="-23.178076412788158"/>
    <n v="57.95"/>
    <n v="20"/>
    <x v="12"/>
    <x v="7"/>
    <s v="January"/>
    <s v="2015-05"/>
  </r>
  <r>
    <d v="2015-02-02T00:00:00"/>
    <n v="106.04228537981643"/>
    <n v="-0.27760469739354221"/>
    <n v="-22.811878620183563"/>
    <n v="57.95"/>
    <n v="20"/>
    <n v="113.6131025055633"/>
    <n v="-0.14730108164853561"/>
    <n v="-23.2305894944367"/>
    <n v="57.95"/>
    <n v="20"/>
    <x v="12"/>
    <x v="8"/>
    <s v="February"/>
    <s v="2015-06"/>
  </r>
  <r>
    <d v="2015-02-09T00:00:00"/>
    <n v="106.35479458348546"/>
    <n v="0.31250920366902335"/>
    <n v="-22.458233416514545"/>
    <n v="57.95"/>
    <n v="20"/>
    <n v="113.90980522702691"/>
    <n v="0.29670272146360332"/>
    <n v="-22.935174772973085"/>
    <n v="57.95"/>
    <n v="20"/>
    <x v="12"/>
    <x v="8"/>
    <s v="February"/>
    <s v="2015-07"/>
  </r>
  <r>
    <d v="2015-02-16T00:00:00"/>
    <n v="107.26008264293782"/>
    <n v="0.90528805945236002"/>
    <n v="-21.896000357062178"/>
    <n v="57.95"/>
    <n v="20"/>
    <n v="114.72561351904383"/>
    <n v="0.81580829201692495"/>
    <n v="-22.080339480956184"/>
    <n v="57.95"/>
    <n v="20"/>
    <x v="12"/>
    <x v="8"/>
    <s v="February"/>
    <s v="2015-08"/>
  </r>
  <r>
    <d v="2015-02-23T00:00:00"/>
    <n v="108.34400623996967"/>
    <n v="1.0839235970318555"/>
    <n v="-20.857898760030338"/>
    <n v="57.95"/>
    <n v="20"/>
    <n v="115.73850957400292"/>
    <n v="1.0128960549590857"/>
    <n v="-21.211288425997068"/>
    <n v="57.95"/>
    <n v="20"/>
    <x v="12"/>
    <x v="8"/>
    <s v="February"/>
    <s v="2015-09"/>
  </r>
  <r>
    <d v="2015-03-02T00:00:00"/>
    <n v="109.19915790626507"/>
    <n v="0.85515166629539863"/>
    <n v="-20.159038093734921"/>
    <n v="57.95"/>
    <n v="20"/>
    <n v="116.6354767356095"/>
    <n v="0.89696716160658241"/>
    <n v="-20.515012264390492"/>
    <n v="57.95"/>
    <n v="20"/>
    <x v="12"/>
    <x v="9"/>
    <s v="March"/>
    <s v="2015-10"/>
  </r>
  <r>
    <d v="2015-03-09T00:00:00"/>
    <n v="110.07092717790935"/>
    <n v="0.87176927164428264"/>
    <n v="-19.314464822090642"/>
    <n v="57.95"/>
    <n v="20"/>
    <n v="117.51039038501291"/>
    <n v="0.87491364940341043"/>
    <n v="-19.567696614987099"/>
    <n v="57.95"/>
    <n v="20"/>
    <x v="12"/>
    <x v="9"/>
    <s v="March"/>
    <s v="2015-11"/>
  </r>
  <r>
    <d v="2015-03-16T00:00:00"/>
    <n v="111.03681412344369"/>
    <n v="0.96588694553433641"/>
    <n v="-17.720370876556302"/>
    <n v="57.95"/>
    <n v="20"/>
    <n v="118.26367215065976"/>
    <n v="0.75328176564684668"/>
    <n v="-18.003591849340253"/>
    <n v="57.95"/>
    <n v="20"/>
    <x v="12"/>
    <x v="9"/>
    <s v="March"/>
    <s v="2015-12"/>
  </r>
  <r>
    <d v="2015-03-23T00:00:00"/>
    <n v="111.6473828102704"/>
    <n v="0.61056868682670995"/>
    <n v="-16.923799189729593"/>
    <n v="57.95"/>
    <n v="20"/>
    <n v="118.71027965878702"/>
    <n v="0.4466075081272578"/>
    <n v="-17.287524341213015"/>
    <n v="57.95"/>
    <n v="20"/>
    <x v="12"/>
    <x v="9"/>
    <s v="March"/>
    <s v="2015-13"/>
  </r>
  <r>
    <d v="2015-03-30T00:00:00"/>
    <n v="112.06053744198424"/>
    <n v="0.41315463171383726"/>
    <n v="-16.700772558015743"/>
    <n v="57.95"/>
    <n v="20"/>
    <n v="118.97182870497286"/>
    <n v="0.26154904618584851"/>
    <n v="-16.914688295027133"/>
    <n v="57.95"/>
    <n v="20"/>
    <x v="12"/>
    <x v="9"/>
    <s v="March"/>
    <s v="2015-14"/>
  </r>
  <r>
    <d v="2015-04-06T00:00:00"/>
    <n v="112.37431970848152"/>
    <n v="0.31378226649728447"/>
    <n v="-16.33852329151847"/>
    <n v="57.95"/>
    <n v="20"/>
    <n v="119.08711266078592"/>
    <n v="0.11528395581305517"/>
    <n v="-16.921873339214073"/>
    <n v="57.95"/>
    <n v="20"/>
    <x v="12"/>
    <x v="10"/>
    <s v="April"/>
    <s v="2015-15"/>
  </r>
  <r>
    <d v="2015-04-13T00:00:00"/>
    <n v="112.52205799606996"/>
    <n v="0.14773828758843877"/>
    <n v="-16.368810003930051"/>
    <n v="57.95"/>
    <n v="20"/>
    <n v="119.14610841678709"/>
    <n v="5.899575600116691E-2"/>
    <n v="-16.907421583212937"/>
    <n v="57.95"/>
    <n v="20"/>
    <x v="12"/>
    <x v="10"/>
    <s v="April"/>
    <s v="2015-16"/>
  </r>
  <r>
    <d v="2015-04-20T00:00:00"/>
    <n v="112.87172797910024"/>
    <n v="0.34966998303028163"/>
    <n v="-16.240672020899765"/>
    <n v="57.95"/>
    <n v="20"/>
    <n v="119.13872069858513"/>
    <n v="-7.3877182019543852E-3"/>
    <n v="-16.976550301414875"/>
    <n v="57.95"/>
    <n v="20"/>
    <x v="12"/>
    <x v="10"/>
    <s v="April"/>
    <s v="2015-17"/>
  </r>
  <r>
    <d v="2015-04-27T00:00:00"/>
    <n v="113.55083442185972"/>
    <n v="0.67910644275947618"/>
    <n v="-15.543586578140264"/>
    <n v="57.95"/>
    <n v="20"/>
    <n v="119.57730631659689"/>
    <n v="0.43858561801175711"/>
    <n v="-16.353087683403118"/>
    <n v="57.95"/>
    <n v="20"/>
    <x v="12"/>
    <x v="10"/>
    <s v="April"/>
    <s v="2015-18"/>
  </r>
  <r>
    <d v="2015-05-04T00:00:00"/>
    <n v="114.27048613743514"/>
    <n v="0.71965171557542362"/>
    <n v="-14.995645862564828"/>
    <n v="57.95"/>
    <n v="20"/>
    <n v="119.99644286750025"/>
    <n v="0.41913655090336022"/>
    <n v="-16.164442132499758"/>
    <n v="57.95"/>
    <n v="20"/>
    <x v="12"/>
    <x v="11"/>
    <s v="May"/>
    <s v="2015-19"/>
  </r>
  <r>
    <d v="2015-05-11T00:00:00"/>
    <n v="115.09808401144393"/>
    <n v="0.82759787400878793"/>
    <n v="-14.399624988556056"/>
    <n v="57.95"/>
    <n v="20"/>
    <n v="120.59334734839467"/>
    <n v="0.59690448089442327"/>
    <n v="-15.775038651605342"/>
    <n v="57.95"/>
    <n v="20"/>
    <x v="12"/>
    <x v="11"/>
    <s v="May"/>
    <s v="2015-20"/>
  </r>
  <r>
    <d v="2015-05-18T00:00:00"/>
    <n v="115.73924360687818"/>
    <n v="0.64115959543424594"/>
    <n v="-13.67913539312184"/>
    <n v="57.95"/>
    <n v="20"/>
    <n v="121.03637913317567"/>
    <n v="0.44303178478099881"/>
    <n v="-15.129499866824347"/>
    <n v="57.95"/>
    <n v="20"/>
    <x v="12"/>
    <x v="11"/>
    <s v="May"/>
    <s v="2015-21"/>
  </r>
  <r>
    <d v="2015-05-25T00:00:00"/>
    <n v="116.02439211158249"/>
    <n v="0.28514850470430986"/>
    <n v="-13.486443888417526"/>
    <n v="57.95"/>
    <n v="20"/>
    <n v="121.31895591605726"/>
    <n v="0.28257678288159127"/>
    <n v="-15.038727083942746"/>
    <n v="57.95"/>
    <n v="20"/>
    <x v="12"/>
    <x v="11"/>
    <s v="May"/>
    <s v="2015-22"/>
  </r>
  <r>
    <d v="2015-06-01T00:00:00"/>
    <n v="116.13139585692821"/>
    <n v="0.10700374534572177"/>
    <n v="-13.500414143071765"/>
    <n v="57.95"/>
    <n v="20"/>
    <n v="121.30045011742648"/>
    <n v="-1.8505798630783943E-2"/>
    <n v="-15.075279882573525"/>
    <n v="57.95"/>
    <n v="20"/>
    <x v="12"/>
    <x v="0"/>
    <s v="June"/>
    <s v="2015-23"/>
  </r>
  <r>
    <d v="2015-06-08T00:00:00"/>
    <n v="116.25539498811986"/>
    <n v="0.12399913119165262"/>
    <n v="-13.437269011880119"/>
    <n v="57.95"/>
    <n v="20"/>
    <n v="121.33792309333279"/>
    <n v="3.747297590631149E-2"/>
    <n v="-14.702600906667215"/>
    <n v="57.95"/>
    <n v="20"/>
    <x v="12"/>
    <x v="0"/>
    <s v="June"/>
    <s v="2015-24"/>
  </r>
  <r>
    <d v="2015-06-15T00:00:00"/>
    <n v="116.38640209039085"/>
    <n v="0.13100710227098489"/>
    <n v="-13.493741909609156"/>
    <n v="57.95"/>
    <n v="20"/>
    <n v="121.30046621305074"/>
    <n v="-3.745688028205052E-2"/>
    <n v="-14.241335786949278"/>
    <n v="57.95"/>
    <n v="20"/>
    <x v="12"/>
    <x v="0"/>
    <s v="June"/>
    <s v="2015-25"/>
  </r>
  <r>
    <d v="2015-06-22T00:00:00"/>
    <n v="116.59589142616274"/>
    <n v="0.20948933577189166"/>
    <n v="-13.546264573837263"/>
    <n v="57.95"/>
    <n v="20"/>
    <n v="121.20601117770603"/>
    <n v="-9.4455035344708449E-2"/>
    <n v="-14.294845822293965"/>
    <n v="57.95"/>
    <n v="20"/>
    <x v="12"/>
    <x v="0"/>
    <s v="June"/>
    <s v="2015-26"/>
  </r>
  <r>
    <d v="2015-06-29T00:00:00"/>
    <n v="116.55014221623694"/>
    <n v="-4.5749209925801892E-2"/>
    <n v="-14.136907783763064"/>
    <n v="57.95"/>
    <n v="20"/>
    <n v="120.99038837570538"/>
    <n v="-0.21562280200065231"/>
    <n v="-15.047195624294631"/>
    <n v="57.95"/>
    <n v="20"/>
    <x v="12"/>
    <x v="0"/>
    <s v="June"/>
    <s v="2015-27"/>
  </r>
  <r>
    <d v="2015-07-06T00:00:00"/>
    <n v="116.33630392500584"/>
    <n v="-0.21383829123109876"/>
    <n v="-14.763615074994163"/>
    <n v="57.95"/>
    <n v="20"/>
    <n v="120.76364281723835"/>
    <n v="-0.22674555846703015"/>
    <n v="-15.454452182761656"/>
    <n v="57.95"/>
    <n v="20"/>
    <x v="12"/>
    <x v="1"/>
    <s v="July"/>
    <s v="2015-28"/>
  </r>
  <r>
    <d v="2015-07-13T00:00:00"/>
    <n v="116.40604037906674"/>
    <n v="6.9736454060901565E-2"/>
    <n v="-14.705456620933276"/>
    <n v="57.95"/>
    <n v="20"/>
    <n v="118.8318056400137"/>
    <n v="-1.9318371772246508"/>
    <n v="-17.339096359986314"/>
    <n v="57.95"/>
    <n v="20"/>
    <x v="12"/>
    <x v="1"/>
    <s v="July"/>
    <s v="2015-29"/>
  </r>
  <r>
    <d v="2015-07-20T00:00:00"/>
    <n v="116.78612008860753"/>
    <n v="0.3800797095407944"/>
    <n v="-14.258600911392449"/>
    <n v="57.95"/>
    <n v="20"/>
    <n v="118.4345219885877"/>
    <n v="-0.39728365142599387"/>
    <n v="-17.252770011412309"/>
    <n v="57.95"/>
    <n v="20"/>
    <x v="12"/>
    <x v="1"/>
    <s v="July"/>
    <s v="2015-30"/>
  </r>
  <r>
    <d v="2015-07-27T00:00:00"/>
    <n v="116.44193636427696"/>
    <n v="-0.34418372433057698"/>
    <n v="-14.38764263572304"/>
    <n v="57.95"/>
    <n v="20"/>
    <n v="116.95480374041566"/>
    <n v="-1.4797182481720483"/>
    <n v="-18.549844259584347"/>
    <n v="57.95"/>
    <n v="20"/>
    <x v="12"/>
    <x v="1"/>
    <s v="July"/>
    <s v="2015-31"/>
  </r>
  <r>
    <d v="2015-08-03T00:00:00"/>
    <n v="116.11628672779446"/>
    <n v="-0.32564963648249545"/>
    <n v="-13.509814272205546"/>
    <n v="57.95"/>
    <n v="20"/>
    <n v="115.17019781421585"/>
    <n v="-1.7846059261998022"/>
    <n v="-19.134944185784164"/>
    <n v="57.95"/>
    <n v="20"/>
    <x v="12"/>
    <x v="2"/>
    <s v="August"/>
    <s v="2015-32"/>
  </r>
  <r>
    <d v="2015-08-10T00:00:00"/>
    <n v="115.48135137748945"/>
    <n v="-0.63493535030501391"/>
    <n v="-13.933031622510541"/>
    <n v="57.95"/>
    <n v="20"/>
    <n v="114.20046738781558"/>
    <n v="-0.96973042640027529"/>
    <n v="-19.650587612184424"/>
    <n v="57.95"/>
    <n v="20"/>
    <x v="12"/>
    <x v="2"/>
    <s v="August"/>
    <s v="2015-33"/>
  </r>
  <r>
    <d v="2015-08-17T00:00:00"/>
    <n v="114.58300298346417"/>
    <n v="-0.89834839402527678"/>
    <n v="-14.708965016535828"/>
    <n v="57.95"/>
    <n v="20"/>
    <n v="112.04847115024806"/>
    <n v="-2.1519962375675163"/>
    <n v="-21.694461849751931"/>
    <n v="57.95"/>
    <n v="20"/>
    <x v="12"/>
    <x v="2"/>
    <s v="August"/>
    <s v="2015-34"/>
  </r>
  <r>
    <d v="2015-08-24T00:00:00"/>
    <n v="113.23383571729741"/>
    <n v="-1.3491672661667593"/>
    <n v="-15.108472361191588"/>
    <n v="57.95"/>
    <n v="20"/>
    <n v="111.05011020893085"/>
    <n v="-0.99836094131721609"/>
    <n v="-22.111773482315556"/>
    <n v="57.95"/>
    <n v="20"/>
    <x v="12"/>
    <x v="2"/>
    <s v="August"/>
    <s v="2015-35"/>
  </r>
  <r>
    <d v="2015-08-31T00:00:00"/>
    <n v="111.20952886901058"/>
    <n v="-2.0243068482868267"/>
    <n v="-16.799887724273034"/>
    <n v="57.95"/>
    <n v="20"/>
    <n v="109.91893825590486"/>
    <n v="-1.1311719530259836"/>
    <n v="-22.849204260939729"/>
    <n v="57.95"/>
    <n v="20"/>
    <x v="12"/>
    <x v="2"/>
    <s v="August"/>
    <s v="2015-36"/>
  </r>
  <r>
    <d v="2015-09-07T00:00:00"/>
    <n v="110.89572505518143"/>
    <n v="-0.31380381382915346"/>
    <n v="-17.447332270379292"/>
    <n v="57.95"/>
    <n v="20"/>
    <n v="109.78204988293061"/>
    <n v="-0.13688837297425493"/>
    <n v="-23.308120859390499"/>
    <n v="57.95"/>
    <n v="20"/>
    <x v="12"/>
    <x v="3"/>
    <s v="September"/>
    <s v="2015-37"/>
  </r>
  <r>
    <d v="2015-09-14T00:00:00"/>
    <n v="110.60477062662142"/>
    <n v="-0.29095442856001341"/>
    <n v="-17.828586725543744"/>
    <n v="57.95"/>
    <n v="20"/>
    <n v="109.94565812960917"/>
    <n v="0.16360824667856377"/>
    <n v="-23.18579592979691"/>
    <n v="57.95"/>
    <n v="20"/>
    <x v="12"/>
    <x v="3"/>
    <s v="September"/>
    <s v="2015-38"/>
  </r>
  <r>
    <d v="2015-09-21T00:00:00"/>
    <n v="110.60805922018037"/>
    <n v="3.28859355894906E-3"/>
    <n v="-18.008891133575304"/>
    <n v="57.95"/>
    <n v="20"/>
    <n v="110.52323544834023"/>
    <n v="0.57757731873105911"/>
    <n v="-22.795673704622075"/>
    <n v="57.95"/>
    <n v="20"/>
    <x v="12"/>
    <x v="3"/>
    <s v="September"/>
    <s v="2015-39"/>
  </r>
  <r>
    <d v="2015-09-28T00:00:00"/>
    <n v="109.47372391903127"/>
    <n v="-1.1343353011490933"/>
    <n v="-19.119476142272987"/>
    <n v="57.95"/>
    <n v="20"/>
    <n v="110.44547352581351"/>
    <n v="-7.7761922526718763E-2"/>
    <n v="-22.787647331090412"/>
    <n v="57.95"/>
    <n v="20"/>
    <x v="12"/>
    <x v="3"/>
    <s v="September"/>
    <s v="2015-40"/>
  </r>
  <r>
    <d v="2015-10-05T00:00:00"/>
    <n v="108.94197130353734"/>
    <n v="-0.53175261549392872"/>
    <n v="-17.842946464057462"/>
    <n v="57.95"/>
    <n v="20"/>
    <n v="110.56755002871846"/>
    <n v="0.12207650290494598"/>
    <n v="-20.864281953798823"/>
    <n v="57.95"/>
    <n v="20"/>
    <x v="12"/>
    <x v="4"/>
    <s v="October"/>
    <s v="2015-41"/>
  </r>
  <r>
    <d v="2015-10-12T00:00:00"/>
    <n v="108.9681925453667"/>
    <n v="2.6221241829361475E-2"/>
    <n v="-17.531074571730869"/>
    <n v="57.95"/>
    <n v="20"/>
    <n v="110.77926596111021"/>
    <n v="0.21171593239175479"/>
    <n v="-20.302710584048384"/>
    <n v="57.95"/>
    <n v="20"/>
    <x v="12"/>
    <x v="4"/>
    <s v="October"/>
    <s v="2015-42"/>
  </r>
  <r>
    <d v="2015-10-19T00:00:00"/>
    <n v="109.005456782"/>
    <n v="3.7264236633291148E-2"/>
    <n v="-16.39803550872044"/>
    <n v="57.95"/>
    <n v="20"/>
    <n v="111.174198272"/>
    <n v="0.39493231088978575"/>
    <n v="-18.822979554927471"/>
    <n v="57.95"/>
    <n v="20"/>
    <x v="12"/>
    <x v="4"/>
    <s v="October"/>
    <s v="2015-43"/>
  </r>
  <r>
    <d v="2015-10-26T00:00:00"/>
    <n v="108.041284"/>
    <n v="-0.96417278199999146"/>
    <n v="-17.07245142785068"/>
    <n v="57.95"/>
    <n v="20"/>
    <n v="110.60944100000002"/>
    <n v="-0.56475727199998005"/>
    <n v="-19.107303044360648"/>
    <n v="57.95"/>
    <n v="20"/>
    <x v="12"/>
    <x v="4"/>
    <s v="October"/>
    <s v="2015-44"/>
  </r>
  <r>
    <d v="2015-11-02T00:00:00"/>
    <n v="107.20565400000001"/>
    <n v="-0.83562999999999477"/>
    <n v="-16.733133063547058"/>
    <n v="57.95"/>
    <n v="20"/>
    <n v="110.138251"/>
    <n v="-0.47119000000002131"/>
    <n v="-18.418848698668057"/>
    <n v="57.95"/>
    <n v="20"/>
    <x v="12"/>
    <x v="5"/>
    <s v="November"/>
    <s v="2015-45"/>
  </r>
  <r>
    <d v="2015-11-09T00:00:00"/>
    <n v="107.14104900000001"/>
    <n v="-6.4605000000000246E-2"/>
    <n v="-15.801881234833729"/>
    <n v="57.95"/>
    <n v="20"/>
    <n v="110.081484"/>
    <n v="-5.6766999999993573E-2"/>
    <n v="-17.51339914642692"/>
    <n v="57.95"/>
    <n v="20"/>
    <x v="12"/>
    <x v="5"/>
    <s v="November"/>
    <s v="2015-46"/>
  </r>
  <r>
    <d v="2015-11-16T00:00:00"/>
    <n v="107.363804"/>
    <n v="0.22275499999999226"/>
    <n v="-15.137573776036788"/>
    <n v="57.95"/>
    <n v="20"/>
    <n v="110.318226"/>
    <n v="0.23674199999999246"/>
    <n v="-16.990638602514395"/>
    <n v="57.95"/>
    <n v="20"/>
    <x v="12"/>
    <x v="5"/>
    <s v="November"/>
    <s v="2015-47"/>
  </r>
  <r>
    <d v="2015-11-23T00:00:00"/>
    <n v="107.29282900000001"/>
    <n v="-7.0974999999990018E-2"/>
    <n v="-15.001753151980509"/>
    <n v="57.95"/>
    <n v="20"/>
    <n v="110.26946600000001"/>
    <n v="-4.8759999999987258E-2"/>
    <n v="-16.897430266751059"/>
    <n v="57.95"/>
    <n v="20"/>
    <x v="12"/>
    <x v="5"/>
    <s v="November"/>
    <s v="2015-48"/>
  </r>
  <r>
    <d v="2015-11-30T00:00:00"/>
    <n v="106.96660300000001"/>
    <n v="-0.32622600000000546"/>
    <n v="-14.211590325968416"/>
    <n v="57.95"/>
    <n v="20"/>
    <n v="110.00639999999999"/>
    <n v="-0.26306600000002334"/>
    <n v="-16.104966286512393"/>
    <n v="57.95"/>
    <n v="20"/>
    <x v="12"/>
    <x v="5"/>
    <s v="November"/>
    <s v="2015-49"/>
  </r>
  <r>
    <d v="2015-12-07T00:00:00"/>
    <n v="106.7497"/>
    <n v="-0.21690300000000207"/>
    <n v="-13.083448595322167"/>
    <n v="57.95"/>
    <n v="20"/>
    <n v="109.92420999999999"/>
    <n v="-8.2189999999997099E-2"/>
    <n v="-14.861604911397194"/>
    <n v="57.95"/>
    <n v="20"/>
    <x v="12"/>
    <x v="6"/>
    <s v="December"/>
    <s v="2015-50"/>
  </r>
  <r>
    <d v="2015-12-14T00:00:00"/>
    <n v="103.99594500000001"/>
    <n v="-2.7537549999999982"/>
    <n v="-12.305357020792499"/>
    <n v="57.95"/>
    <n v="20"/>
    <n v="108.07378799999998"/>
    <n v="-1.8504220000000089"/>
    <n v="-14.356621905823474"/>
    <n v="57.95"/>
    <n v="20"/>
    <x v="12"/>
    <x v="6"/>
    <s v="December"/>
    <s v="2015-51"/>
  </r>
  <r>
    <d v="2015-12-21T00:00:00"/>
    <n v="102.33320700000002"/>
    <n v="-1.6627379999999903"/>
    <n v="-11.329564982614073"/>
    <n v="57.95"/>
    <n v="20"/>
    <n v="107.041449"/>
    <n v="-1.032338999999979"/>
    <n v="-13.772504549353414"/>
    <n v="57.95"/>
    <n v="20"/>
    <x v="12"/>
    <x v="6"/>
    <s v="December"/>
    <s v="2015-52"/>
  </r>
  <r>
    <d v="2015-12-28T00:00:00"/>
    <n v="102.11324400000001"/>
    <n v="-0.21996300000000701"/>
    <n v="-11.047055048171075"/>
    <n v="57.95"/>
    <n v="20"/>
    <n v="106.43373700000001"/>
    <n v="-0.60771199999999226"/>
    <n v="-13.929536374349539"/>
    <n v="57.95"/>
    <n v="20"/>
    <x v="12"/>
    <x v="6"/>
    <s v="December"/>
    <s v="2015-53"/>
  </r>
  <r>
    <d v="2016-01-04T00:00:00"/>
    <n v="101.99779000000001"/>
    <n v="-0.11545399999999972"/>
    <n v="-9.0648489651605075"/>
    <n v="57.95"/>
    <n v="20"/>
    <n v="106.32158600000001"/>
    <n v="-0.11215099999999723"/>
    <n v="-11.611773430957328"/>
    <n v="57.95"/>
    <n v="20"/>
    <x v="13"/>
    <x v="7"/>
    <s v="January"/>
    <s v="2016-02"/>
  </r>
  <r>
    <d v="2016-01-11T00:00:00"/>
    <n v="101.88979"/>
    <n v="-0.10800000000000409"/>
    <n v="-6.9760976725569321"/>
    <n v="57.95"/>
    <n v="20"/>
    <n v="103.41224200000001"/>
    <n v="-2.9093440000000044"/>
    <n v="-12.808437614281829"/>
    <n v="57.95"/>
    <n v="20"/>
    <x v="13"/>
    <x v="7"/>
    <s v="January"/>
    <s v="2016-03"/>
  </r>
  <r>
    <d v="2016-01-18T00:00:00"/>
    <n v="101.804621"/>
    <n v="-8.51690000000076E-2"/>
    <n v="-5.0211026379236756"/>
    <n v="57.95"/>
    <n v="20"/>
    <n v="102.805314"/>
    <n v="-0.60692800000001057"/>
    <n v="-11.52234019282902"/>
    <n v="57.95"/>
    <n v="20"/>
    <x v="13"/>
    <x v="7"/>
    <s v="January"/>
    <s v="2016-04"/>
  </r>
  <r>
    <d v="2016-01-25T00:00:00"/>
    <n v="101.42351000000001"/>
    <n v="-0.38111099999998999"/>
    <n v="-4.8963800772099688"/>
    <n v="57.95"/>
    <n v="20"/>
    <n v="101.53855"/>
    <n v="-1.2667639999999949"/>
    <n v="-12.221853587211839"/>
    <n v="57.95"/>
    <n v="20"/>
    <x v="13"/>
    <x v="7"/>
    <s v="January"/>
    <s v="2016-05"/>
  </r>
  <r>
    <d v="2016-02-01T00:00:00"/>
    <n v="101.360747"/>
    <n v="-6.2763000000003899E-2"/>
    <n v="-4.6815383798164305"/>
    <n v="57.95"/>
    <n v="20"/>
    <n v="100.83594000000001"/>
    <n v="-0.70260999999999285"/>
    <n v="-12.777162505563297"/>
    <n v="57.95"/>
    <n v="20"/>
    <x v="13"/>
    <x v="8"/>
    <s v="February"/>
    <s v="2016-06"/>
  </r>
  <r>
    <d v="2016-02-08T00:00:00"/>
    <n v="101.50899000000001"/>
    <n v="0.1482430000000079"/>
    <n v="-4.845804583485446"/>
    <n v="57.95"/>
    <n v="20"/>
    <n v="101.138346"/>
    <n v="0.30240599999999063"/>
    <n v="-12.771459227026909"/>
    <n v="57.95"/>
    <n v="20"/>
    <x v="13"/>
    <x v="8"/>
    <s v="February"/>
    <s v="2016-07"/>
  </r>
  <r>
    <d v="2016-02-15T00:00:00"/>
    <n v="101.45071200000001"/>
    <n v="-5.8278000000001384E-2"/>
    <n v="-5.8093706429378074"/>
    <n v="57.95"/>
    <n v="20"/>
    <n v="101.214269"/>
    <n v="7.5923000000003071E-2"/>
    <n v="-13.511344519043831"/>
    <n v="57.95"/>
    <n v="20"/>
    <x v="13"/>
    <x v="8"/>
    <s v="February"/>
    <s v="2016-08"/>
  </r>
  <r>
    <d v="2016-02-22T00:00:00"/>
    <n v="101.390945"/>
    <n v="-5.9767000000007897E-2"/>
    <n v="-6.9530612399696707"/>
    <n v="57.95"/>
    <n v="20"/>
    <n v="101.126903"/>
    <n v="-8.7366000000002941E-2"/>
    <n v="-14.61160657400292"/>
    <n v="57.95"/>
    <n v="20"/>
    <x v="13"/>
    <x v="8"/>
    <s v="February"/>
    <s v="2016-09"/>
  </r>
  <r>
    <d v="2016-02-29T00:00:00"/>
    <n v="101.423439"/>
    <n v="3.2493999999999801E-2"/>
    <n v="-7.7757189062650696"/>
    <n v="57.95"/>
    <n v="20"/>
    <n v="101.38040100000001"/>
    <n v="0.25349800000000755"/>
    <n v="-15.255075735609495"/>
    <n v="57.95"/>
    <n v="20"/>
    <x v="13"/>
    <x v="8"/>
    <s v="February"/>
    <s v="2016-10"/>
  </r>
  <r>
    <d v="2016-03-07T00:00:00"/>
    <n v="101.46343900000001"/>
    <n v="4.0000000000006253E-2"/>
    <n v="-8.6074881779093459"/>
    <n v="57.95"/>
    <n v="20"/>
    <n v="101.674595"/>
    <n v="0.2941939999999903"/>
    <n v="-15.835795385012915"/>
    <n v="57.95"/>
    <n v="20"/>
    <x v="13"/>
    <x v="9"/>
    <s v="March"/>
    <s v="2016-11"/>
  </r>
  <r>
    <d v="2016-03-14T00:00:00"/>
    <n v="101.70669799999999"/>
    <n v="0.24325899999998057"/>
    <n v="-9.3301161234437018"/>
    <n v="57.95"/>
    <n v="20"/>
    <n v="102.52036000000001"/>
    <n v="0.84576500000001431"/>
    <n v="-15.743312150659747"/>
    <n v="57.95"/>
    <n v="20"/>
    <x v="13"/>
    <x v="9"/>
    <s v="March"/>
    <s v="2016-12"/>
  </r>
  <r>
    <d v="2016-03-21T00:00:00"/>
    <n v="102.579706"/>
    <n v="0.87300800000001288"/>
    <n v="-9.0676768102703988"/>
    <n v="57.95"/>
    <n v="20"/>
    <n v="103.63978800000001"/>
    <n v="1.1194279999999992"/>
    <n v="-15.070491658787006"/>
    <n v="57.95"/>
    <n v="20"/>
    <x v="13"/>
    <x v="9"/>
    <s v="March"/>
    <s v="2016-13"/>
  </r>
  <r>
    <d v="2016-03-28T00:00:00"/>
    <n v="103.401436"/>
    <n v="0.82173000000000229"/>
    <n v="-8.6591014419842338"/>
    <n v="57.95"/>
    <n v="20"/>
    <n v="104.39663200000001"/>
    <n v="0.75684400000000096"/>
    <n v="-14.575196704972853"/>
    <n v="57.95"/>
    <n v="20"/>
    <x v="13"/>
    <x v="9"/>
    <s v="March"/>
    <s v="2016-14"/>
  </r>
  <r>
    <d v="2016-04-04T00:00:00"/>
    <n v="104.509028"/>
    <n v="1.1075919999999968"/>
    <n v="-7.8652917084815215"/>
    <n v="57.95"/>
    <n v="20"/>
    <n v="105.315973"/>
    <n v="0.91934099999998864"/>
    <n v="-13.77113966078592"/>
    <n v="57.95"/>
    <n v="20"/>
    <x v="13"/>
    <x v="10"/>
    <s v="April"/>
    <s v="2016-15"/>
  </r>
  <r>
    <d v="2016-04-11T00:00:00"/>
    <n v="105.39057399999999"/>
    <n v="0.88154599999998595"/>
    <n v="-7.1314839960699743"/>
    <n v="57.95"/>
    <n v="20"/>
    <n v="105.978684"/>
    <n v="0.6627110000000016"/>
    <n v="-13.167424416787085"/>
    <n v="57.95"/>
    <n v="20"/>
    <x v="13"/>
    <x v="10"/>
    <s v="April"/>
    <s v="2016-16"/>
  </r>
  <r>
    <d v="2016-04-18T00:00:00"/>
    <n v="106.40671910099999"/>
    <n v="1.0161451010000064"/>
    <n v="-6.4650088781002495"/>
    <n v="57.95"/>
    <n v="20"/>
    <n v="106.97005569599999"/>
    <n v="0.99137169599998742"/>
    <n v="-12.168665002585143"/>
    <n v="57.95"/>
    <n v="20"/>
    <x v="13"/>
    <x v="10"/>
    <s v="April"/>
    <s v="2016-17"/>
  </r>
  <r>
    <d v="2016-04-25T00:00:00"/>
    <n v="107.141178"/>
    <n v="0.73445889900000338"/>
    <n v="-6.4096564218597223"/>
    <n v="57.95"/>
    <n v="20"/>
    <n v="107.671722"/>
    <n v="0.70166630400001395"/>
    <n v="-11.905584316596887"/>
    <n v="57.95"/>
    <n v="20"/>
    <x v="13"/>
    <x v="10"/>
    <s v="April"/>
    <s v="2016-18"/>
  </r>
  <r>
    <d v="2016-05-02T00:00:00"/>
    <n v="107.81764700000001"/>
    <n v="0.67646900000001153"/>
    <n v="-6.4528391374351344"/>
    <n v="57.95"/>
    <n v="20"/>
    <n v="108.57853"/>
    <n v="0.90680799999999806"/>
    <n v="-11.417912867500249"/>
    <n v="57.95"/>
    <n v="20"/>
    <x v="13"/>
    <x v="11"/>
    <s v="May"/>
    <s v="2016-19"/>
  </r>
  <r>
    <d v="2016-05-09T00:00:00"/>
    <n v="108.190747"/>
    <n v="0.37309999999999377"/>
    <n v="-6.9073370114439285"/>
    <n v="57.95"/>
    <n v="20"/>
    <n v="109.003659"/>
    <n v="0.42512899999999831"/>
    <n v="-11.589688348394674"/>
    <n v="57.95"/>
    <n v="20"/>
    <x v="13"/>
    <x v="11"/>
    <s v="May"/>
    <s v="2016-20"/>
  </r>
  <r>
    <d v="2016-05-16T00:00:00"/>
    <n v="108.528187"/>
    <n v="0.33744000000000085"/>
    <n v="-7.2110566068781736"/>
    <n v="57.95"/>
    <n v="20"/>
    <n v="109.296234"/>
    <n v="0.29257499999999936"/>
    <n v="-11.740145133175673"/>
    <n v="57.95"/>
    <n v="20"/>
    <x v="13"/>
    <x v="11"/>
    <s v="May"/>
    <s v="2016-21"/>
  </r>
  <r>
    <d v="2016-05-23T00:00:00"/>
    <n v="109.12303700000001"/>
    <n v="0.59485000000000809"/>
    <n v="-6.9013551115824754"/>
    <n v="57.95"/>
    <n v="20"/>
    <n v="109.90493799999999"/>
    <n v="0.60870399999998881"/>
    <n v="-11.414017916057276"/>
    <n v="57.95"/>
    <n v="20"/>
    <x v="13"/>
    <x v="11"/>
    <s v="May"/>
    <s v="2016-22"/>
  </r>
  <r>
    <d v="2016-05-30T00:00:00"/>
    <n v="109.78612604199999"/>
    <n v="0.66308904199998153"/>
    <n v="-6.3452698149282156"/>
    <n v="57.95"/>
    <n v="20"/>
    <n v="110.699954784"/>
    <n v="0.79501678400001197"/>
    <n v="-10.60049533342648"/>
    <n v="57.95"/>
    <n v="20"/>
    <x v="13"/>
    <x v="11"/>
    <s v="May"/>
    <s v="2016-23"/>
  </r>
  <r>
    <d v="2016-06-06T00:00:00"/>
    <n v="110.402252706"/>
    <n v="0.61612666400000649"/>
    <n v="-5.8531422821198618"/>
    <n v="57.95"/>
    <n v="20"/>
    <n v="111.42730083200001"/>
    <n v="0.72734604800001534"/>
    <n v="-9.9106222613327759"/>
    <n v="57.95"/>
    <n v="20"/>
    <x v="13"/>
    <x v="0"/>
    <s v="June"/>
    <s v="2016-24"/>
  </r>
  <r>
    <d v="2016-06-13T00:00:00"/>
    <n v="111.030603"/>
    <n v="0.62835029400000053"/>
    <n v="-5.3557990903908461"/>
    <n v="57.95"/>
    <n v="20"/>
    <n v="111.98989100000001"/>
    <n v="0.56259016799999984"/>
    <n v="-9.3105752130507256"/>
    <n v="57.95"/>
    <n v="20"/>
    <x v="13"/>
    <x v="0"/>
    <s v="June"/>
    <s v="2016-25"/>
  </r>
  <r>
    <d v="2016-06-20T00:00:00"/>
    <n v="111.222492"/>
    <n v="0.19188900000000331"/>
    <n v="-5.3733994261627345"/>
    <n v="57.95"/>
    <n v="20"/>
    <n v="112.310014"/>
    <n v="0.32012299999998106"/>
    <n v="-8.895997177706036"/>
    <n v="57.95"/>
    <n v="20"/>
    <x v="13"/>
    <x v="0"/>
    <s v="June"/>
    <s v="2016-26"/>
  </r>
  <r>
    <d v="2016-06-27T00:00:00"/>
    <n v="111.442885"/>
    <n v="0.22039300000000139"/>
    <n v="-5.1072572162369312"/>
    <n v="57.95"/>
    <n v="20"/>
    <n v="112.558359"/>
    <n v="0.24834500000000048"/>
    <n v="-8.4320293757053832"/>
    <n v="57.95"/>
    <n v="20"/>
    <x v="13"/>
    <x v="0"/>
    <s v="June"/>
    <s v="2016-27"/>
  </r>
  <r>
    <d v="2016-07-04T00:00:00"/>
    <n v="111.64905400000001"/>
    <n v="0.20616900000000271"/>
    <n v="-4.6872499250058297"/>
    <n v="57.95"/>
    <n v="20"/>
    <n v="112.85857999999999"/>
    <n v="0.30022099999999341"/>
    <n v="-7.9050628172383597"/>
    <n v="57.95"/>
    <n v="20"/>
    <x v="13"/>
    <x v="1"/>
    <s v="July"/>
    <s v="2016-28"/>
  </r>
  <r>
    <d v="2016-07-11T00:00:00"/>
    <n v="111.89483599999998"/>
    <n v="0.24578199999997707"/>
    <n v="-4.5112043790667542"/>
    <n v="57.95"/>
    <n v="20"/>
    <n v="113.09206500000001"/>
    <n v="0.23348500000001593"/>
    <n v="-5.739740640013693"/>
    <n v="57.95"/>
    <n v="20"/>
    <x v="13"/>
    <x v="1"/>
    <s v="July"/>
    <s v="2016-29"/>
  </r>
  <r>
    <d v="2016-07-18T00:00:00"/>
    <n v="111.91651899999999"/>
    <n v="2.1683000000010111E-2"/>
    <n v="-4.8696010886075385"/>
    <n v="57.95"/>
    <n v="20"/>
    <n v="112.998727"/>
    <n v="-9.3338000000002808E-2"/>
    <n v="-5.4357949885877019"/>
    <n v="57.95"/>
    <n v="20"/>
    <x v="13"/>
    <x v="1"/>
    <s v="July"/>
    <s v="2016-30"/>
  </r>
  <r>
    <d v="2016-07-25T00:00:00"/>
    <n v="111.690675"/>
    <n v="-0.22584399999999505"/>
    <n v="-4.7512613642769566"/>
    <n v="57.95"/>
    <n v="20"/>
    <n v="112.89357600000001"/>
    <n v="-0.10515099999999222"/>
    <n v="-4.0612277404156458"/>
    <n v="57.95"/>
    <n v="20"/>
    <x v="13"/>
    <x v="1"/>
    <s v="July"/>
    <s v="2016-31"/>
  </r>
  <r>
    <d v="2016-08-01T00:00:00"/>
    <n v="111.04533499999999"/>
    <n v="-0.64534000000000447"/>
    <n v="-5.0709517277944656"/>
    <n v="57.95"/>
    <n v="20"/>
    <n v="112.42563"/>
    <n v="-0.46794600000001196"/>
    <n v="-2.7445678142158556"/>
    <n v="57.95"/>
    <n v="20"/>
    <x v="13"/>
    <x v="2"/>
    <s v="August"/>
    <s v="2016-32"/>
  </r>
  <r>
    <d v="2016-08-08T00:00:00"/>
    <n v="109.74854300000001"/>
    <n v="-1.2967919999999822"/>
    <n v="-5.7328083774894338"/>
    <n v="57.95"/>
    <n v="20"/>
    <n v="111.404402"/>
    <n v="-1.0212279999999936"/>
    <n v="-2.7960653878155739"/>
    <n v="57.95"/>
    <n v="20"/>
    <x v="13"/>
    <x v="2"/>
    <s v="August"/>
    <s v="2016-33"/>
  </r>
  <r>
    <d v="2016-08-15T00:00:00"/>
    <n v="109.276628"/>
    <n v="-0.47191500000000985"/>
    <n v="-5.3063749834641669"/>
    <n v="57.95"/>
    <n v="20"/>
    <n v="111.01857000000001"/>
    <n v="-0.38583199999999351"/>
    <n v="-1.0299011502480511"/>
    <n v="57.95"/>
    <n v="20"/>
    <x v="13"/>
    <x v="2"/>
    <s v="August"/>
    <s v="2016-34"/>
  </r>
  <r>
    <d v="2016-08-22T00:00:00"/>
    <n v="109.634563"/>
    <n v="0.35793499999999767"/>
    <n v="-3.5992727172974099"/>
    <n v="57.95"/>
    <n v="20"/>
    <n v="111.706114"/>
    <n v="0.68754399999998839"/>
    <n v="0.65600379106915341"/>
    <n v="57.95"/>
    <n v="20"/>
    <x v="13"/>
    <x v="2"/>
    <s v="August"/>
    <s v="2016-35"/>
  </r>
  <r>
    <d v="2016-08-29T00:00:00"/>
    <n v="110.43269699999999"/>
    <n v="0.79813399999999035"/>
    <n v="-0.77683186901059287"/>
    <n v="57.95"/>
    <n v="20"/>
    <n v="112.54914600000001"/>
    <n v="0.843032000000008"/>
    <n v="2.630207744095145"/>
    <n v="57.95"/>
    <n v="20"/>
    <x v="13"/>
    <x v="2"/>
    <s v="August"/>
    <s v="2016-36"/>
  </r>
  <r>
    <d v="2016-09-05T00:00:00"/>
    <n v="110.970865"/>
    <n v="0.53816800000001308"/>
    <n v="7.5139944818573667E-2"/>
    <n v="57.95"/>
    <n v="20"/>
    <n v="113.10110699999998"/>
    <n v="0.55196099999997728"/>
    <n v="3.3190571170693772"/>
    <n v="57.95"/>
    <n v="20"/>
    <x v="13"/>
    <x v="3"/>
    <s v="September"/>
    <s v="2016-37"/>
  </r>
  <r>
    <d v="2016-09-12T00:00:00"/>
    <n v="111.31260900000001"/>
    <n v="0.3417440000000056"/>
    <n v="0.70783837337859268"/>
    <n v="57.95"/>
    <n v="20"/>
    <n v="113.419712"/>
    <n v="0.31860500000001934"/>
    <n v="3.4740538703908328"/>
    <n v="57.95"/>
    <n v="20"/>
    <x v="13"/>
    <x v="3"/>
    <s v="September"/>
    <s v="2016-38"/>
  </r>
  <r>
    <d v="2016-09-19T00:00:00"/>
    <n v="111.28576131"/>
    <n v="-2.6847690000010971E-2"/>
    <n v="0.67770208981963265"/>
    <n v="57.95"/>
    <n v="20"/>
    <n v="113.22531877599998"/>
    <n v="-0.19439322400002368"/>
    <n v="2.70208332765975"/>
    <n v="57.95"/>
    <n v="20"/>
    <x v="13"/>
    <x v="3"/>
    <s v="September"/>
    <s v="2016-39"/>
  </r>
  <r>
    <d v="2016-09-26T00:00:00"/>
    <n v="111.36347385000002"/>
    <n v="7.771254000002159E-2"/>
    <n v="1.8897499309687475"/>
    <n v="57.95"/>
    <n v="20"/>
    <n v="113.37504576799999"/>
    <n v="0.14972699200001216"/>
    <n v="2.9295722421864809"/>
    <n v="57.95"/>
    <n v="20"/>
    <x v="13"/>
    <x v="3"/>
    <s v="September"/>
    <s v="2016-40"/>
  </r>
  <r>
    <d v="2016-10-03T00:00:00"/>
    <n v="111.64954574799999"/>
    <n v="0.28607189799997457"/>
    <n v="2.7075744444626508"/>
    <n v="57.95"/>
    <n v="20"/>
    <n v="113.70673952"/>
    <n v="0.33169375200000673"/>
    <n v="3.1391894912815417"/>
    <n v="57.95"/>
    <n v="20"/>
    <x v="13"/>
    <x v="4"/>
    <s v="October"/>
    <s v="2016-41"/>
  </r>
  <r>
    <d v="2016-10-10T00:00:00"/>
    <n v="112.34986100000002"/>
    <n v="0.7003152520000242"/>
    <n v="3.3816684546333136"/>
    <n v="57.95"/>
    <n v="20"/>
    <n v="114.403363"/>
    <n v="0.69662347999999952"/>
    <n v="3.6240970388897864"/>
    <n v="57.95"/>
    <n v="20"/>
    <x v="13"/>
    <x v="4"/>
    <s v="October"/>
    <s v="2016-42"/>
  </r>
  <r>
    <d v="2016-10-17T00:00:00"/>
    <n v="113.721154"/>
    <n v="1.3712929999999801"/>
    <n v="4.7156972180000025"/>
    <n v="57.95"/>
    <n v="20"/>
    <n v="115.995878"/>
    <n v="1.5925150000000059"/>
    <n v="4.8216797280000065"/>
    <n v="57.95"/>
    <n v="20"/>
    <x v="13"/>
    <x v="4"/>
    <s v="October"/>
    <s v="2016-43"/>
  </r>
  <r>
    <d v="2016-10-24T00:00:00"/>
    <n v="115.19915400000001"/>
    <n v="1.4780000000000086"/>
    <n v="7.1578700000000026"/>
    <n v="57.95"/>
    <n v="20"/>
    <n v="117.69907500000001"/>
    <n v="1.703197000000003"/>
    <n v="7.0896339999999896"/>
    <n v="57.95"/>
    <n v="20"/>
    <x v="13"/>
    <x v="4"/>
    <s v="October"/>
    <s v="2016-44"/>
  </r>
  <r>
    <d v="2016-10-31T00:00:00"/>
    <n v="116.022254"/>
    <n v="0.82309999999999661"/>
    <n v="8.816599999999994"/>
    <n v="57.95"/>
    <n v="20"/>
    <n v="118.41948800000002"/>
    <n v="0.72041300000000774"/>
    <n v="8.2812370000000186"/>
    <n v="57.95"/>
    <n v="20"/>
    <x v="13"/>
    <x v="4"/>
    <s v="October"/>
    <s v="2016-45"/>
  </r>
  <r>
    <d v="2016-11-07T00:00:00"/>
    <n v="116.558815"/>
    <n v="0.53656099999999185"/>
    <n v="9.4177659999999861"/>
    <n v="57.95"/>
    <n v="20"/>
    <n v="119.027192"/>
    <n v="0.60770399999998403"/>
    <n v="8.9457079999999962"/>
    <n v="57.95"/>
    <n v="20"/>
    <x v="13"/>
    <x v="5"/>
    <s v="November"/>
    <s v="2016-46"/>
  </r>
  <r>
    <d v="2016-11-14T00:00:00"/>
    <n v="116.50150500000001"/>
    <n v="-5.7309999999986871E-2"/>
    <n v="9.137701000000007"/>
    <n v="57.95"/>
    <n v="20"/>
    <n v="118.920723"/>
    <n v="-0.10646900000000414"/>
    <n v="8.6024969999999996"/>
    <n v="57.95"/>
    <n v="20"/>
    <x v="13"/>
    <x v="5"/>
    <s v="November"/>
    <s v="2016-47"/>
  </r>
  <r>
    <d v="2016-11-21T00:00:00"/>
    <n v="114.70552900000001"/>
    <n v="-1.795975999999996"/>
    <n v="7.412700000000001"/>
    <n v="57.95"/>
    <n v="20"/>
    <n v="117.42147700000001"/>
    <n v="-1.4992459999999852"/>
    <n v="7.1520110000000017"/>
    <n v="57.95"/>
    <n v="20"/>
    <x v="13"/>
    <x v="5"/>
    <s v="November"/>
    <s v="2016-48"/>
  </r>
  <r>
    <d v="2016-11-28T00:00:00"/>
    <n v="113.72068700000001"/>
    <n v="-0.98484200000000044"/>
    <n v="6.754084000000006"/>
    <n v="57.95"/>
    <n v="20"/>
    <n v="116.565416"/>
    <n v="-0.85606100000001106"/>
    <n v="6.5590160000000139"/>
    <n v="57.95"/>
    <n v="20"/>
    <x v="13"/>
    <x v="5"/>
    <s v="November"/>
    <s v="2016-49"/>
  </r>
  <r>
    <d v="2016-12-05T00:00:00"/>
    <n v="113.66443500000003"/>
    <n v="-5.6251999999986424E-2"/>
    <n v="6.9147350000000216"/>
    <n v="57.95"/>
    <n v="20"/>
    <n v="116.75114600000001"/>
    <n v="0.18573000000000661"/>
    <n v="6.8269360000000177"/>
    <n v="57.95"/>
    <n v="20"/>
    <x v="13"/>
    <x v="6"/>
    <s v="December"/>
    <s v="2016-50"/>
  </r>
  <r>
    <d v="2016-12-12T00:00:00"/>
    <n v="114.22666000000001"/>
    <n v="0.56222499999998377"/>
    <n v="10.230715000000004"/>
    <n v="57.95"/>
    <n v="20"/>
    <n v="117.51436299999999"/>
    <n v="0.76321699999998316"/>
    <n v="9.4405750000000097"/>
    <n v="57.95"/>
    <n v="20"/>
    <x v="13"/>
    <x v="6"/>
    <s v="December"/>
    <s v="2016-51"/>
  </r>
  <r>
    <d v="2016-12-19T00:00:00"/>
    <n v="115.000208"/>
    <n v="0.77354799999999102"/>
    <n v="12.667000999999985"/>
    <n v="57.95"/>
    <n v="20"/>
    <n v="118.609262"/>
    <n v="1.0948990000000123"/>
    <n v="11.567813000000001"/>
    <n v="57.95"/>
    <n v="20"/>
    <x v="13"/>
    <x v="6"/>
    <s v="December"/>
    <s v="2016-52"/>
  </r>
  <r>
    <d v="2016-12-26T00:00:00"/>
    <n v="115.453509"/>
    <n v="0.45330099999999618"/>
    <n v="13.340264999999988"/>
    <n v="57.95"/>
    <n v="20"/>
    <n v="119.029978"/>
    <n v="0.42071599999999876"/>
    <n v="12.596240999999992"/>
    <n v="57.95"/>
    <n v="20"/>
    <x v="13"/>
    <x v="6"/>
    <s v="December"/>
    <s v="2016-53"/>
  </r>
  <r>
    <d v="2017-01-02T00:00:00"/>
    <n v="117.000035"/>
    <n v="1.5465260000000001"/>
    <n v="15.002244999999988"/>
    <n v="57.95"/>
    <n v="20"/>
    <n v="120.03114900000001"/>
    <n v="1.0011710000000136"/>
    <n v="13.709563000000003"/>
    <n v="57.95"/>
    <n v="20"/>
    <x v="14"/>
    <x v="7"/>
    <s v="January"/>
    <s v="2017-02"/>
  </r>
  <r>
    <d v="2017-01-09T00:00:00"/>
    <n v="117.97843300000001"/>
    <n v="0.97839800000001276"/>
    <n v="16.088643000000005"/>
    <n v="57.95"/>
    <n v="20"/>
    <n v="121.30311699999999"/>
    <n v="1.2719679999999727"/>
    <n v="17.89087499999998"/>
    <n v="57.95"/>
    <n v="20"/>
    <x v="14"/>
    <x v="7"/>
    <s v="January"/>
    <s v="2017-03"/>
  </r>
  <r>
    <d v="2017-01-16T00:00:00"/>
    <n v="118.63427200000001"/>
    <n v="0.65583900000000028"/>
    <n v="16.829651000000013"/>
    <n v="57.95"/>
    <n v="20"/>
    <n v="122.098974"/>
    <n v="0.79585700000001225"/>
    <n v="19.293660000000003"/>
    <n v="57.95"/>
    <n v="20"/>
    <x v="14"/>
    <x v="7"/>
    <s v="January"/>
    <s v="2017-04"/>
  </r>
  <r>
    <d v="2017-01-23T00:00:00"/>
    <n v="119.429013"/>
    <n v="0.79474099999998771"/>
    <n v="18.00550299999999"/>
    <n v="57.95"/>
    <n v="20"/>
    <n v="122.74524700000001"/>
    <n v="0.64627300000000787"/>
    <n v="21.206697000000005"/>
    <n v="57.95"/>
    <n v="20"/>
    <x v="14"/>
    <x v="7"/>
    <s v="January"/>
    <s v="2017-05"/>
  </r>
  <r>
    <d v="2017-01-30T00:00:00"/>
    <n v="120.01122400000001"/>
    <n v="0.58221100000001513"/>
    <n v="18.650477000000009"/>
    <n v="57.95"/>
    <n v="20"/>
    <n v="123.19443"/>
    <n v="0.44918299999999078"/>
    <n v="22.358489999999989"/>
    <n v="57.95"/>
    <n v="20"/>
    <x v="14"/>
    <x v="7"/>
    <s v="January"/>
    <s v="2017-06"/>
  </r>
  <r>
    <d v="2017-02-06T00:00:00"/>
    <n v="120.17708"/>
    <n v="0.1658559999999909"/>
    <n v="18.668089999999992"/>
    <n v="57.95"/>
    <n v="20"/>
    <n v="123.24683099999999"/>
    <n v="5.240099999998904E-2"/>
    <n v="22.108484999999988"/>
    <n v="57.95"/>
    <n v="20"/>
    <x v="14"/>
    <x v="8"/>
    <s v="February"/>
    <s v="2017-07"/>
  </r>
  <r>
    <d v="2017-02-13T00:00:00"/>
    <n v="120.151674"/>
    <n v="-2.5406000000003814E-2"/>
    <n v="18.70096199999999"/>
    <n v="57.95"/>
    <n v="20"/>
    <n v="123.170096"/>
    <n v="-7.6734999999985121E-2"/>
    <n v="21.955826999999999"/>
    <n v="57.95"/>
    <n v="20"/>
    <x v="14"/>
    <x v="8"/>
    <s v="February"/>
    <s v="2017-08"/>
  </r>
  <r>
    <d v="2017-02-20T00:00:00"/>
    <n v="120.19892399999999"/>
    <n v="4.7249999999991132E-2"/>
    <n v="18.807978999999989"/>
    <n v="57.95"/>
    <n v="20"/>
    <n v="123.14599600000001"/>
    <n v="-2.4099999999990018E-2"/>
    <n v="22.019093000000012"/>
    <n v="57.95"/>
    <n v="20"/>
    <x v="14"/>
    <x v="8"/>
    <s v="February"/>
    <s v="2017-09"/>
  </r>
  <r>
    <d v="2017-02-27T00:00:00"/>
    <n v="120.121737"/>
    <n v="-7.718699999999501E-2"/>
    <n v="18.698297999999994"/>
    <n v="57.95"/>
    <n v="20"/>
    <n v="123.05960499999999"/>
    <n v="-8.6391000000020313E-2"/>
    <n v="21.679203999999984"/>
    <n v="57.95"/>
    <n v="20"/>
    <x v="14"/>
    <x v="8"/>
    <s v="February"/>
    <s v="2017-10"/>
  </r>
  <r>
    <d v="2017-03-06T00:00:00"/>
    <n v="120.019535"/>
    <n v="-0.10220199999999124"/>
    <n v="18.556095999999997"/>
    <n v="57.95"/>
    <n v="20"/>
    <n v="122.895616"/>
    <n v="-0.16398899999998662"/>
    <n v="21.221021000000007"/>
    <n v="57.95"/>
    <n v="20"/>
    <x v="14"/>
    <x v="9"/>
    <s v="March"/>
    <s v="2017-11"/>
  </r>
  <r>
    <d v="2017-03-13T00:00:00"/>
    <n v="119.802836"/>
    <n v="-0.21669900000000553"/>
    <n v="18.09613800000001"/>
    <n v="57.95"/>
    <n v="20"/>
    <n v="122.76747899999998"/>
    <n v="-0.1281370000000237"/>
    <n v="20.247118999999969"/>
    <n v="57.95"/>
    <n v="20"/>
    <x v="14"/>
    <x v="9"/>
    <s v="March"/>
    <s v="2017-12"/>
  </r>
  <r>
    <d v="2017-03-20T00:00:00"/>
    <n v="118.94684700000001"/>
    <n v="-0.85598899999999389"/>
    <n v="16.367141000000004"/>
    <n v="57.95"/>
    <n v="20"/>
    <n v="121.839519"/>
    <n v="-0.92795999999998457"/>
    <n v="18.199730999999986"/>
    <n v="57.95"/>
    <n v="20"/>
    <x v="14"/>
    <x v="9"/>
    <s v="March"/>
    <s v="2017-13"/>
  </r>
  <r>
    <d v="2017-03-27T00:00:00"/>
    <n v="118.02808513900001"/>
    <n v="-0.91876186099999302"/>
    <n v="14.626649139000008"/>
    <n v="57.95"/>
    <n v="20"/>
    <n v="121.07811330400001"/>
    <n v="-0.76140569599998287"/>
    <n v="16.681481304000002"/>
    <n v="57.95"/>
    <n v="20"/>
    <x v="14"/>
    <x v="9"/>
    <s v="March"/>
    <s v="2017-14"/>
  </r>
  <r>
    <d v="2017-04-03T00:00:00"/>
    <n v="116.92654499999999"/>
    <n v="-1.1015401390000221"/>
    <n v="12.417516999999989"/>
    <n v="57.95"/>
    <n v="20"/>
    <n v="119.91559199999999"/>
    <n v="-1.1625213040000233"/>
    <n v="14.59961899999999"/>
    <n v="57.95"/>
    <n v="20"/>
    <x v="14"/>
    <x v="10"/>
    <s v="April"/>
    <s v="2017-15"/>
  </r>
  <r>
    <d v="2017-04-10T00:00:00"/>
    <n v="117.02166"/>
    <n v="9.5115000000006944E-2"/>
    <n v="11.63108600000001"/>
    <n v="57.95"/>
    <n v="20"/>
    <n v="119.97607199999999"/>
    <n v="6.0479999999998313E-2"/>
    <n v="13.997387999999987"/>
    <n v="57.95"/>
    <n v="20"/>
    <x v="14"/>
    <x v="10"/>
    <s v="April"/>
    <s v="2017-16"/>
  </r>
  <r>
    <d v="2017-04-17T00:00:00"/>
    <n v="117.53871200000002"/>
    <n v="0.51705200000002094"/>
    <n v="11.131992899000025"/>
    <n v="57.95"/>
    <n v="20"/>
    <n v="120.36304"/>
    <n v="0.38696800000001019"/>
    <n v="13.392984304000009"/>
    <n v="57.95"/>
    <n v="20"/>
    <x v="14"/>
    <x v="10"/>
    <s v="April"/>
    <s v="2017-17"/>
  </r>
  <r>
    <d v="2017-04-24T00:00:00"/>
    <n v="118.14752200000001"/>
    <n v="0.60880999999999119"/>
    <n v="11.006344000000013"/>
    <n v="57.95"/>
    <n v="20"/>
    <n v="120.769471"/>
    <n v="0.40643099999999777"/>
    <n v="13.097748999999993"/>
    <n v="57.95"/>
    <n v="20"/>
    <x v="14"/>
    <x v="10"/>
    <s v="April"/>
    <s v="2017-18"/>
  </r>
  <r>
    <d v="2017-05-01T00:00:00"/>
    <n v="118.08190500000001"/>
    <n v="-6.5617000000003145E-2"/>
    <n v="10.264257999999998"/>
    <n v="57.95"/>
    <n v="20"/>
    <n v="120.77887400000002"/>
    <n v="9.4030000000202563E-3"/>
    <n v="12.200344000000015"/>
    <n v="57.95"/>
    <n v="20"/>
    <x v="14"/>
    <x v="11"/>
    <s v="May"/>
    <s v="2017-19"/>
  </r>
  <r>
    <d v="2017-05-08T00:00:00"/>
    <n v="117.05804500000001"/>
    <n v="-1.0238599999999991"/>
    <n v="8.8672980000000052"/>
    <n v="57.95"/>
    <n v="20"/>
    <n v="119.340665"/>
    <n v="-1.4382090000000147"/>
    <n v="10.337006000000002"/>
    <n v="57.95"/>
    <n v="20"/>
    <x v="14"/>
    <x v="11"/>
    <s v="May"/>
    <s v="2017-20"/>
  </r>
  <r>
    <d v="2017-05-15T00:00:00"/>
    <n v="115.60102599999998"/>
    <n v="-1.4570190000000309"/>
    <n v="7.0728389999999735"/>
    <n v="57.95"/>
    <n v="20"/>
    <n v="117.649216"/>
    <n v="-1.6914490000000058"/>
    <n v="8.3529819999999972"/>
    <n v="57.95"/>
    <n v="20"/>
    <x v="14"/>
    <x v="11"/>
    <s v="May"/>
    <s v="2017-21"/>
  </r>
  <r>
    <d v="2017-05-22T00:00:00"/>
    <n v="115.67225499999999"/>
    <n v="7.122900000001664E-2"/>
    <n v="6.549217999999982"/>
    <n v="57.95"/>
    <n v="20"/>
    <n v="117.75771"/>
    <n v="0.10849400000000742"/>
    <n v="7.8527720000000159"/>
    <n v="57.95"/>
    <n v="20"/>
    <x v="14"/>
    <x v="11"/>
    <s v="May"/>
    <s v="2017-22"/>
  </r>
  <r>
    <d v="2017-05-29T00:00:00"/>
    <n v="115.79469332000001"/>
    <n v="0.12243832000001476"/>
    <n v="6.0085672780000152"/>
    <n v="57.95"/>
    <n v="20"/>
    <n v="117.88009756000001"/>
    <n v="0.12238756000000706"/>
    <n v="7.1801427760000109"/>
    <n v="57.95"/>
    <n v="20"/>
    <x v="14"/>
    <x v="11"/>
    <s v="May"/>
    <s v="2017-23"/>
  </r>
  <r>
    <d v="2017-06-05T00:00:00"/>
    <n v="115.820833949"/>
    <n v="2.6140628999996807E-2"/>
    <n v="5.4185812430000055"/>
    <n v="57.95"/>
    <n v="20"/>
    <n v="117.947298136"/>
    <n v="6.7200575999990519E-2"/>
    <n v="6.5199973039999861"/>
    <n v="57.95"/>
    <n v="20"/>
    <x v="14"/>
    <x v="0"/>
    <s v="June"/>
    <s v="2017-24"/>
  </r>
  <r>
    <d v="2017-06-12T00:00:00"/>
    <n v="115.69343849000001"/>
    <n v="-0.12739545899999882"/>
    <n v="4.6628354900000062"/>
    <n v="57.95"/>
    <n v="20"/>
    <n v="117.760837096"/>
    <n v="-0.18646103999999752"/>
    <n v="5.7709460959999888"/>
    <n v="57.95"/>
    <n v="20"/>
    <x v="14"/>
    <x v="0"/>
    <s v="June"/>
    <s v="2017-25"/>
  </r>
  <r>
    <d v="2017-06-19T00:00:00"/>
    <n v="115.11818199999999"/>
    <n v="-0.57525649000001522"/>
    <n v="3.8956899999999877"/>
    <n v="57.95"/>
    <n v="20"/>
    <n v="117.179143"/>
    <n v="-0.58169409600000677"/>
    <n v="4.8691290000000009"/>
    <n v="57.95"/>
    <n v="20"/>
    <x v="14"/>
    <x v="0"/>
    <s v="June"/>
    <s v="2017-26"/>
  </r>
  <r>
    <d v="2017-06-26T00:00:00"/>
    <n v="114.42645200000001"/>
    <n v="-0.69172999999997842"/>
    <n v="2.9835670000000079"/>
    <n v="57.95"/>
    <n v="20"/>
    <n v="116.256883"/>
    <n v="-0.92225999999999431"/>
    <n v="3.6985240000000061"/>
    <n v="57.95"/>
    <n v="20"/>
    <x v="14"/>
    <x v="0"/>
    <s v="June"/>
    <s v="2017-27"/>
  </r>
  <r>
    <d v="2017-07-03T00:00:00"/>
    <n v="113.74064700000001"/>
    <n v="-0.685805000000002"/>
    <n v="2.0915930000000031"/>
    <n v="57.95"/>
    <n v="20"/>
    <n v="115.62853399999999"/>
    <n v="-0.62834900000001426"/>
    <n v="2.7699539999999985"/>
    <n v="57.95"/>
    <n v="20"/>
    <x v="14"/>
    <x v="1"/>
    <s v="July"/>
    <s v="2017-28"/>
  </r>
  <r>
    <d v="2017-07-10T00:00:00"/>
    <n v="113.577129"/>
    <n v="-0.16351800000001049"/>
    <n v="1.6822930000000156"/>
    <n v="57.95"/>
    <n v="20"/>
    <n v="115.29017899999998"/>
    <n v="-0.33835500000000707"/>
    <n v="2.1981139999999755"/>
    <n v="57.95"/>
    <n v="20"/>
    <x v="14"/>
    <x v="1"/>
    <s v="July"/>
    <s v="2017-29"/>
  </r>
  <r>
    <d v="2017-07-17T00:00:00"/>
    <n v="113.88767"/>
    <n v="0.31054100000000062"/>
    <n v="1.9711510000000061"/>
    <n v="57.95"/>
    <n v="20"/>
    <n v="115.58325500000001"/>
    <n v="0.29307600000002765"/>
    <n v="2.5845280000000059"/>
    <n v="57.95"/>
    <n v="20"/>
    <x v="14"/>
    <x v="1"/>
    <s v="July"/>
    <s v="2017-30"/>
  </r>
  <r>
    <d v="2017-07-24T00:00:00"/>
    <n v="113.993246"/>
    <n v="0.10557599999999923"/>
    <n v="2.3025710000000004"/>
    <n v="57.95"/>
    <n v="20"/>
    <n v="115.72938499999999"/>
    <n v="0.14612999999998522"/>
    <n v="2.8358089999999834"/>
    <n v="57.95"/>
    <n v="20"/>
    <x v="14"/>
    <x v="1"/>
    <s v="July"/>
    <s v="2017-31"/>
  </r>
  <r>
    <d v="2017-07-31T00:00:00"/>
    <n v="114.16122700000001"/>
    <n v="0.1679810000000117"/>
    <n v="3.1158920000000165"/>
    <n v="57.95"/>
    <n v="20"/>
    <n v="115.98929800000001"/>
    <n v="0.25991300000001161"/>
    <n v="3.5636680000000069"/>
    <n v="57.95"/>
    <n v="20"/>
    <x v="14"/>
    <x v="1"/>
    <s v="July"/>
    <s v="2017-32"/>
  </r>
  <r>
    <d v="2017-08-07T00:00:00"/>
    <n v="114.78238599999999"/>
    <n v="0.62115899999997737"/>
    <n v="5.0338429999999761"/>
    <n v="57.95"/>
    <n v="20"/>
    <n v="116.64198000000002"/>
    <n v="0.65268200000001286"/>
    <n v="5.2375780000000134"/>
    <n v="57.95"/>
    <n v="20"/>
    <x v="14"/>
    <x v="2"/>
    <s v="August"/>
    <s v="2017-33"/>
  </r>
  <r>
    <d v="2017-08-14T00:00:00"/>
    <n v="115.525835"/>
    <n v="0.74344900000001246"/>
    <n v="6.2492069999999984"/>
    <n v="57.95"/>
    <n v="20"/>
    <n v="117.42689699999998"/>
    <n v="0.78491699999996456"/>
    <n v="6.4083269999999715"/>
    <n v="57.95"/>
    <n v="20"/>
    <x v="14"/>
    <x v="2"/>
    <s v="August"/>
    <s v="2017-34"/>
  </r>
  <r>
    <d v="2017-08-21T00:00:00"/>
    <n v="116.04348000000002"/>
    <n v="0.5176450000000159"/>
    <n v="6.4089170000000166"/>
    <n v="57.95"/>
    <n v="20"/>
    <n v="118.046673"/>
    <n v="0.61977600000001587"/>
    <n v="6.3405589999999989"/>
    <n v="57.95"/>
    <n v="20"/>
    <x v="14"/>
    <x v="2"/>
    <s v="August"/>
    <s v="2017-35"/>
  </r>
  <r>
    <d v="2017-08-28T00:00:00"/>
    <n v="116.40229699999998"/>
    <n v="0.35881699999995931"/>
    <n v="5.9695999999999856"/>
    <n v="57.95"/>
    <n v="20"/>
    <n v="118.241035"/>
    <n v="0.19436199999999815"/>
    <n v="5.6918889999999891"/>
    <n v="57.95"/>
    <n v="20"/>
    <x v="14"/>
    <x v="2"/>
    <s v="August"/>
    <s v="2017-36"/>
  </r>
  <r>
    <d v="2017-09-04T00:00:00"/>
    <n v="116.951427"/>
    <n v="0.54913000000001944"/>
    <n v="5.9805619999999919"/>
    <n v="57.95"/>
    <n v="20"/>
    <n v="118.77000200000001"/>
    <n v="0.52896700000000862"/>
    <n v="5.6688950000000204"/>
    <n v="57.95"/>
    <n v="20"/>
    <x v="14"/>
    <x v="3"/>
    <s v="September"/>
    <s v="2017-37"/>
  </r>
  <r>
    <d v="2017-09-11T00:00:00"/>
    <n v="118.14317700000001"/>
    <n v="1.1917500000000132"/>
    <n v="6.8305679999999995"/>
    <n v="57.95"/>
    <n v="20"/>
    <n v="119.938896"/>
    <n v="1.1688939999999945"/>
    <n v="6.5191839999999956"/>
    <n v="57.95"/>
    <n v="20"/>
    <x v="14"/>
    <x v="3"/>
    <s v="September"/>
    <s v="2017-38"/>
  </r>
  <r>
    <d v="2017-09-18T00:00:00"/>
    <n v="118.852492"/>
    <n v="0.70931499999998948"/>
    <n v="7.56673069"/>
    <n v="57.95"/>
    <n v="20"/>
    <n v="120.59087299999999"/>
    <n v="0.65197699999998804"/>
    <n v="7.3655542240000074"/>
    <n v="57.95"/>
    <n v="20"/>
    <x v="14"/>
    <x v="3"/>
    <s v="September"/>
    <s v="2017-39"/>
  </r>
  <r>
    <d v="2017-09-25T00:00:00"/>
    <n v="118.86908100000001"/>
    <n v="1.6589000000010401E-2"/>
    <n v="7.5056071499999888"/>
    <n v="57.95"/>
    <n v="20"/>
    <n v="120.91586700000001"/>
    <n v="0.32499400000001799"/>
    <n v="7.5408212320000132"/>
    <n v="57.95"/>
    <n v="20"/>
    <x v="14"/>
    <x v="3"/>
    <s v="September"/>
    <s v="2017-40"/>
  </r>
  <r>
    <d v="2017-10-02T00:00:00"/>
    <n v="118.13314399999999"/>
    <n v="-0.73593700000002116"/>
    <n v="6.4835982519999931"/>
    <n v="57.95"/>
    <n v="20"/>
    <n v="120.37272200000001"/>
    <n v="-0.54314499999999555"/>
    <n v="6.6659824800000109"/>
    <n v="57.95"/>
    <n v="20"/>
    <x v="14"/>
    <x v="4"/>
    <s v="October"/>
    <s v="2017-41"/>
  </r>
  <r>
    <d v="2017-10-09T00:00:00"/>
    <n v="117.161768"/>
    <n v="-0.97137599999999225"/>
    <n v="4.8119069999999766"/>
    <n v="57.95"/>
    <n v="20"/>
    <n v="120.51028300000002"/>
    <n v="0.13756100000000515"/>
    <n v="6.1069200000000166"/>
    <n v="57.95"/>
    <n v="20"/>
    <x v="14"/>
    <x v="4"/>
    <s v="October"/>
    <s v="2017-42"/>
  </r>
  <r>
    <d v="2017-10-16T00:00:00"/>
    <n v="117.00831112"/>
    <n v="-0.15345687999999313"/>
    <n v="3.2871571200000034"/>
    <n v="57.95"/>
    <n v="20"/>
    <n v="120.41775072"/>
    <n v="-9.2532280000014566E-2"/>
    <n v="4.4218727199999961"/>
    <n v="57.95"/>
    <n v="20"/>
    <x v="14"/>
    <x v="4"/>
    <s v="October"/>
    <s v="2017-43"/>
  </r>
  <r>
    <d v="2017-10-23T00:00:00"/>
    <n v="117.044503789"/>
    <n v="3.6192669000001843E-2"/>
    <n v="1.8453497889999966"/>
    <n v="57.95"/>
    <n v="20"/>
    <n v="120.65185460800001"/>
    <n v="0.23410388800000703"/>
    <n v="2.9527796080000002"/>
    <n v="57.95"/>
    <n v="20"/>
    <x v="14"/>
    <x v="4"/>
    <s v="October"/>
    <s v="2017-44"/>
  </r>
  <r>
    <d v="2017-10-30T00:00:00"/>
    <n v="117.05967799999999"/>
    <n v="1.5174210999987281E-2"/>
    <n v="1.0374239999999872"/>
    <n v="57.95"/>
    <n v="20"/>
    <n v="120.63110500000001"/>
    <n v="-2.0749608000002695E-2"/>
    <n v="2.2116169999999897"/>
    <n v="57.95"/>
    <n v="20"/>
    <x v="14"/>
    <x v="4"/>
    <s v="October"/>
    <s v="2017-45"/>
  </r>
  <r>
    <d v="2017-11-06T00:00:00"/>
    <n v="117.574798"/>
    <n v="0.51512000000001024"/>
    <n v="1.0159830000000056"/>
    <n v="57.95"/>
    <n v="20"/>
    <n v="121.270748"/>
    <n v="0.63964299999999241"/>
    <n v="2.2435559999999981"/>
    <n v="57.95"/>
    <n v="20"/>
    <x v="14"/>
    <x v="5"/>
    <s v="November"/>
    <s v="2017-46"/>
  </r>
  <r>
    <d v="2017-11-13T00:00:00"/>
    <n v="118.91045799999999"/>
    <n v="1.3356599999999901"/>
    <n v="2.4089529999999826"/>
    <n v="57.95"/>
    <n v="20"/>
    <n v="122.69288299999999"/>
    <n v="1.4221349999999973"/>
    <n v="3.7721599999999995"/>
    <n v="57.95"/>
    <n v="20"/>
    <x v="14"/>
    <x v="5"/>
    <s v="November"/>
    <s v="2017-47"/>
  </r>
  <r>
    <d v="2017-11-20T00:00:00"/>
    <n v="119.67124500000001"/>
    <n v="0.76078700000002186"/>
    <n v="4.9657160000000005"/>
    <n v="57.95"/>
    <n v="20"/>
    <n v="123.316999"/>
    <n v="0.62411600000000078"/>
    <n v="5.8955219999999855"/>
    <n v="57.95"/>
    <n v="20"/>
    <x v="14"/>
    <x v="5"/>
    <s v="November"/>
    <s v="2017-48"/>
  </r>
  <r>
    <d v="2017-11-27T00:00:00"/>
    <n v="120.12802599999999"/>
    <n v="0.45678099999997812"/>
    <n v="6.407338999999979"/>
    <n v="57.95"/>
    <n v="20"/>
    <n v="123.79218900000001"/>
    <n v="0.47519000000001199"/>
    <n v="7.2267730000000086"/>
    <n v="57.95"/>
    <n v="20"/>
    <x v="14"/>
    <x v="5"/>
    <s v="November"/>
    <s v="2017-49"/>
  </r>
  <r>
    <d v="2017-12-04T00:00:00"/>
    <n v="119.754926"/>
    <n v="-0.37309999999999377"/>
    <n v="6.0904909999999717"/>
    <n v="57.95"/>
    <n v="20"/>
    <n v="123.20770900000002"/>
    <n v="-0.58447999999998501"/>
    <n v="6.4565630000000169"/>
    <n v="57.95"/>
    <n v="20"/>
    <x v="14"/>
    <x v="6"/>
    <s v="December"/>
    <s v="2017-50"/>
  </r>
  <r>
    <d v="2017-12-11T00:00:00"/>
    <n v="119.905991"/>
    <n v="0.15106500000000267"/>
    <n v="5.6793309999999906"/>
    <n v="57.95"/>
    <n v="20"/>
    <n v="123.693477"/>
    <n v="0.48576799999997888"/>
    <n v="6.1791140000000127"/>
    <n v="57.95"/>
    <n v="20"/>
    <x v="14"/>
    <x v="6"/>
    <s v="December"/>
    <s v="2017-51"/>
  </r>
  <r>
    <d v="2017-12-18T00:00:00"/>
    <n v="119.97797800000001"/>
    <n v="7.1987000000007129E-2"/>
    <n v="4.9777700000000067"/>
    <n v="57.95"/>
    <n v="20"/>
    <n v="123.81079099999999"/>
    <n v="0.11731399999999326"/>
    <n v="5.2015289999999936"/>
    <n v="57.95"/>
    <n v="20"/>
    <x v="14"/>
    <x v="6"/>
    <s v="December"/>
    <s v="2017-52"/>
  </r>
  <r>
    <d v="2017-12-25T00:00:00"/>
    <n v="120.00400500000001"/>
    <n v="2.6026999999999134E-2"/>
    <n v="4.5504960000000096"/>
    <n v="57.95"/>
    <n v="20"/>
    <n v="123.429379"/>
    <n v="-0.38141199999999742"/>
    <n v="4.3994009999999975"/>
    <n v="57.95"/>
    <n v="20"/>
    <x v="14"/>
    <x v="6"/>
    <s v="December"/>
    <s v="2017-53"/>
  </r>
  <r>
    <d v="2018-01-01T00:00:00"/>
    <n v="120.185446"/>
    <n v="0.18144099999999241"/>
    <n v="3.185411000000002"/>
    <n v="57.95"/>
    <n v="20"/>
    <n v="123.51162099999999"/>
    <n v="8.2241999999993709E-2"/>
    <n v="3.4804719999999776"/>
    <n v="57.95"/>
    <n v="20"/>
    <x v="15"/>
    <x v="7"/>
    <s v="January"/>
    <s v="2018-01"/>
  </r>
  <r>
    <d v="2018-01-08T00:00:00"/>
    <n v="120.52207200000001"/>
    <n v="0.33662600000000964"/>
    <n v="2.5436389999999989"/>
    <n v="57.95"/>
    <n v="20"/>
    <n v="123.97098400000002"/>
    <n v="0.45936300000002461"/>
    <n v="2.6678670000000295"/>
    <n v="57.95"/>
    <n v="20"/>
    <x v="15"/>
    <x v="7"/>
    <s v="January"/>
    <s v="2018-02"/>
  </r>
  <r>
    <d v="2018-01-15T00:00:00"/>
    <n v="120.96234400000002"/>
    <n v="0.44027200000000732"/>
    <n v="2.3280720000000059"/>
    <n v="57.95"/>
    <n v="20"/>
    <n v="124.57901999999999"/>
    <n v="0.60803599999997004"/>
    <n v="2.4800459999999873"/>
    <n v="57.95"/>
    <n v="20"/>
    <x v="15"/>
    <x v="7"/>
    <s v="January"/>
    <s v="2018-03"/>
  </r>
  <r>
    <d v="2018-01-22T00:00:00"/>
    <n v="121.49825800000002"/>
    <n v="0.53591400000000533"/>
    <n v="2.0692450000000235"/>
    <n v="57.95"/>
    <n v="20"/>
    <n v="125.067069"/>
    <n v="0.48804900000001794"/>
    <n v="2.3218219999999974"/>
    <n v="57.95"/>
    <n v="20"/>
    <x v="15"/>
    <x v="7"/>
    <s v="January"/>
    <s v="2018-04"/>
  </r>
  <r>
    <d v="2018-01-29T00:00:00"/>
    <n v="121.69471300000001"/>
    <n v="0.19645499999998606"/>
    <n v="1.6834889999999945"/>
    <n v="57.95"/>
    <n v="20"/>
    <n v="125.320814"/>
    <n v="0.253744999999995"/>
    <n v="2.1263840000000016"/>
    <n v="57.95"/>
    <n v="20"/>
    <x v="15"/>
    <x v="7"/>
    <s v="January"/>
    <s v="2018-05"/>
  </r>
  <r>
    <d v="2018-02-05T00:00:00"/>
    <n v="121.727217"/>
    <n v="3.2503999999988764E-2"/>
    <n v="1.5501369999999923"/>
    <n v="57.95"/>
    <n v="20"/>
    <n v="125.364497"/>
    <n v="4.3683000000001471E-2"/>
    <n v="2.117666000000014"/>
    <n v="57.95"/>
    <n v="20"/>
    <x v="15"/>
    <x v="8"/>
    <s v="February"/>
    <s v="2018-06"/>
  </r>
  <r>
    <d v="2018-02-12T00:00:00"/>
    <n v="121.58441200000001"/>
    <n v="-0.14280499999998142"/>
    <n v="1.4327380000000147"/>
    <n v="57.95"/>
    <n v="20"/>
    <n v="125.01909800000001"/>
    <n v="-0.34539899999998624"/>
    <n v="1.8490020000000129"/>
    <n v="57.95"/>
    <n v="20"/>
    <x v="15"/>
    <x v="8"/>
    <s v="February"/>
    <s v="2018-07"/>
  </r>
  <r>
    <d v="2018-02-19T00:00:00"/>
    <n v="120.516921"/>
    <n v="-1.0674910000000182"/>
    <n v="0.31799700000000541"/>
    <n v="57.95"/>
    <n v="20"/>
    <n v="124.181954"/>
    <n v="-0.83714400000000921"/>
    <n v="1.0359579999999937"/>
    <n v="57.95"/>
    <n v="20"/>
    <x v="15"/>
    <x v="8"/>
    <s v="February"/>
    <s v="2018-08"/>
  </r>
  <r>
    <d v="2018-02-26T00:00:00"/>
    <n v="119.55083900000001"/>
    <n v="-0.9660819999999859"/>
    <n v="-0.57089799999998547"/>
    <n v="57.95"/>
    <n v="20"/>
    <n v="123.088251"/>
    <n v="-1.093703000000005"/>
    <n v="2.8646000000009053E-2"/>
    <n v="57.95"/>
    <n v="20"/>
    <x v="15"/>
    <x v="8"/>
    <s v="February"/>
    <s v="2018-09"/>
  </r>
  <r>
    <d v="2018-03-05T00:00:00"/>
    <n v="119.28533400000001"/>
    <n v="-0.26550500000000454"/>
    <n v="-0.73420099999999877"/>
    <n v="57.95"/>
    <n v="20"/>
    <n v="122.91853999999999"/>
    <n v="-0.16971100000000661"/>
    <n v="2.2923999999989064E-2"/>
    <n v="57.95"/>
    <n v="20"/>
    <x v="15"/>
    <x v="9"/>
    <s v="March"/>
    <s v="2018-10"/>
  </r>
  <r>
    <d v="2018-03-12T00:00:00"/>
    <n v="119.11130999999999"/>
    <n v="-0.17402400000001705"/>
    <n v="-0.6915260000000103"/>
    <n v="57.95"/>
    <n v="20"/>
    <n v="122.95577499999999"/>
    <n v="3.7234999999995466E-2"/>
    <n v="0.18829600000000823"/>
    <n v="57.95"/>
    <n v="20"/>
    <x v="15"/>
    <x v="9"/>
    <s v="March"/>
    <s v="2018-11"/>
  </r>
  <r>
    <d v="2018-03-19T00:00:00"/>
    <n v="119.165947"/>
    <n v="5.4637000000013813E-2"/>
    <n v="0.21909999999999741"/>
    <n v="57.95"/>
    <n v="20"/>
    <n v="122.83579800000001"/>
    <n v="-0.11997699999997735"/>
    <n v="0.99627900000001546"/>
    <n v="57.95"/>
    <n v="20"/>
    <x v="15"/>
    <x v="9"/>
    <s v="March"/>
    <s v="2018-12"/>
  </r>
  <r>
    <d v="2018-03-26T00:00:00"/>
    <n v="119.22547800000001"/>
    <n v="5.9531000000006884E-2"/>
    <n v="1.1973928609999973"/>
    <n v="57.95"/>
    <n v="20"/>
    <n v="122.89773199999999"/>
    <n v="6.1933999999979505E-2"/>
    <n v="1.8196186959999778"/>
    <n v="57.95"/>
    <n v="20"/>
    <x v="15"/>
    <x v="9"/>
    <s v="March"/>
    <s v="2018-13"/>
  </r>
  <r>
    <d v="2018-04-02T00:00:00"/>
    <n v="119.42798300000001"/>
    <n v="0.20250500000000216"/>
    <n v="2.5014380000000216"/>
    <n v="57.95"/>
    <n v="20"/>
    <n v="123.05310900000001"/>
    <n v="0.15537700000001564"/>
    <n v="3.1375170000000168"/>
    <n v="57.95"/>
    <n v="20"/>
    <x v="15"/>
    <x v="10"/>
    <s v="April"/>
    <s v="2018-14"/>
  </r>
  <r>
    <d v="2018-04-09T00:00:00"/>
    <n v="119.96192599999999"/>
    <n v="0.53394299999997941"/>
    <n v="2.9402659999999941"/>
    <n v="57.95"/>
    <n v="20"/>
    <n v="123.58152700000001"/>
    <n v="0.52841800000000205"/>
    <n v="3.6054550000000205"/>
    <n v="57.95"/>
    <n v="20"/>
    <x v="15"/>
    <x v="10"/>
    <s v="April"/>
    <s v="2018-15"/>
  </r>
  <r>
    <d v="2018-04-16T00:00:00"/>
    <n v="120.56344551000001"/>
    <n v="0.60151951000001702"/>
    <n v="3.0247335099999901"/>
    <n v="57.95"/>
    <n v="20"/>
    <n v="124.28966511200001"/>
    <n v="0.70813811200000032"/>
    <n v="3.9266251120000106"/>
    <n v="57.95"/>
    <n v="20"/>
    <x v="15"/>
    <x v="10"/>
    <s v="April"/>
    <s v="2018-16"/>
  </r>
  <r>
    <d v="2018-04-23T00:00:00"/>
    <n v="121.44402841800002"/>
    <n v="0.88058290800000805"/>
    <n v="3.296506418000007"/>
    <n v="57.95"/>
    <n v="20"/>
    <n v="125.387530168"/>
    <n v="1.0978650559999892"/>
    <n v="4.618059168000002"/>
    <n v="57.95"/>
    <n v="20"/>
    <x v="15"/>
    <x v="10"/>
    <s v="April"/>
    <s v="2018-17"/>
  </r>
  <r>
    <d v="2018-04-30T00:00:00"/>
    <n v="122.218777"/>
    <n v="0.77474858199998664"/>
    <n v="4.1368719999999968"/>
    <n v="57.95"/>
    <n v="20"/>
    <n v="126.012658"/>
    <n v="0.62512783200000399"/>
    <n v="5.2337839999999858"/>
    <n v="57.95"/>
    <n v="20"/>
    <x v="15"/>
    <x v="10"/>
    <s v="April"/>
    <s v="2018-18"/>
  </r>
  <r>
    <d v="2018-05-07T00:00:00"/>
    <n v="123.26680999999999"/>
    <n v="1.0480329999999896"/>
    <n v="6.2087649999999854"/>
    <n v="57.95"/>
    <n v="20"/>
    <n v="126.99148700000001"/>
    <n v="0.97882900000000461"/>
    <n v="7.6508220000000051"/>
    <n v="57.95"/>
    <n v="20"/>
    <x v="15"/>
    <x v="11"/>
    <s v="May"/>
    <s v="2018-19"/>
  </r>
  <r>
    <d v="2018-05-14T00:00:00"/>
    <n v="124.32063099999998"/>
    <n v="1.053820999999985"/>
    <n v="8.7196050000000014"/>
    <n v="57.95"/>
    <n v="20"/>
    <n v="128.28306999999998"/>
    <n v="1.2915829999999744"/>
    <n v="10.633853999999985"/>
    <n v="57.95"/>
    <n v="20"/>
    <x v="15"/>
    <x v="11"/>
    <s v="May"/>
    <s v="2018-20"/>
  </r>
  <r>
    <d v="2018-05-21T00:00:00"/>
    <n v="125.92610000000001"/>
    <n v="1.6054690000000278"/>
    <n v="10.253845000000013"/>
    <n v="57.95"/>
    <n v="20"/>
    <n v="130.03868"/>
    <n v="1.7556100000000185"/>
    <n v="12.280969999999996"/>
    <n v="57.95"/>
    <n v="20"/>
    <x v="15"/>
    <x v="11"/>
    <s v="May"/>
    <s v="2018-21"/>
  </r>
  <r>
    <d v="2018-05-28T00:00:00"/>
    <n v="127.57543233"/>
    <n v="1.6493323299999929"/>
    <n v="11.780739009999991"/>
    <n v="57.95"/>
    <n v="20"/>
    <n v="131.65999488"/>
    <n v="1.6213148799999999"/>
    <n v="13.779897319999989"/>
    <n v="57.95"/>
    <n v="20"/>
    <x v="15"/>
    <x v="11"/>
    <s v="May"/>
    <s v="2018-22"/>
  </r>
  <r>
    <d v="2018-06-04T00:00:00"/>
    <n v="128.42974326300001"/>
    <n v="0.85431093300000782"/>
    <n v="12.608909314000002"/>
    <n v="57.95"/>
    <n v="20"/>
    <n v="132.34200096000001"/>
    <n v="0.68200608000000784"/>
    <n v="14.394702824000007"/>
    <n v="57.95"/>
    <n v="20"/>
    <x v="15"/>
    <x v="0"/>
    <s v="June"/>
    <s v="2018-23"/>
  </r>
  <r>
    <d v="2018-06-11T00:00:00"/>
    <n v="128.60734199999999"/>
    <n v="0.17759873699998252"/>
    <n v="12.913903509999983"/>
    <n v="57.95"/>
    <n v="20"/>
    <n v="132.620206"/>
    <n v="0.27820503999998891"/>
    <n v="14.859368903999993"/>
    <n v="57.95"/>
    <n v="20"/>
    <x v="15"/>
    <x v="0"/>
    <s v="June"/>
    <s v="2018-24"/>
  </r>
  <r>
    <d v="2018-06-18T00:00:00"/>
    <n v="127.924651"/>
    <n v="-0.68269099999999128"/>
    <n v="12.806469000000007"/>
    <n v="57.95"/>
    <n v="20"/>
    <n v="131.983036"/>
    <n v="-0.63716999999999757"/>
    <n v="14.803893000000002"/>
    <n v="57.95"/>
    <n v="20"/>
    <x v="15"/>
    <x v="0"/>
    <s v="June"/>
    <s v="2018-25"/>
  </r>
  <r>
    <d v="2018-06-25T00:00:00"/>
    <n v="127.177041"/>
    <n v="-0.74760999999999456"/>
    <n v="12.750588999999991"/>
    <n v="57.95"/>
    <n v="20"/>
    <n v="131.26603499999999"/>
    <n v="-0.71700100000001044"/>
    <n v="15.009151999999986"/>
    <n v="57.95"/>
    <n v="20"/>
    <x v="15"/>
    <x v="0"/>
    <s v="June"/>
    <s v="2018-26"/>
  </r>
  <r>
    <d v="2018-07-02T00:00:00"/>
    <n v="126.541259"/>
    <n v="-0.63578200000000606"/>
    <n v="12.800611999999987"/>
    <n v="57.95"/>
    <n v="20"/>
    <n v="130.83313799999999"/>
    <n v="-0.43289699999999698"/>
    <n v="15.204604000000003"/>
    <n v="57.95"/>
    <n v="20"/>
    <x v="15"/>
    <x v="1"/>
    <s v="July"/>
    <s v="2018-27"/>
  </r>
  <r>
    <d v="2018-07-09T00:00:00"/>
    <n v="126.97262899999998"/>
    <n v="0.43136999999998693"/>
    <n v="13.395499999999984"/>
    <n v="57.95"/>
    <n v="20"/>
    <n v="131.530137"/>
    <n v="0.69699900000000525"/>
    <n v="16.239958000000016"/>
    <n v="57.95"/>
    <n v="20"/>
    <x v="15"/>
    <x v="1"/>
    <s v="July"/>
    <s v="2018-28"/>
  </r>
  <r>
    <d v="2018-07-16T00:00:00"/>
    <n v="127.471738"/>
    <n v="0.49910900000001845"/>
    <n v="13.584068000000002"/>
    <n v="57.95"/>
    <n v="20"/>
    <n v="131.84939800000001"/>
    <n v="0.31926100000001156"/>
    <n v="16.266143"/>
    <n v="57.95"/>
    <n v="20"/>
    <x v="15"/>
    <x v="1"/>
    <s v="July"/>
    <s v="2018-29"/>
  </r>
  <r>
    <d v="2018-07-23T00:00:00"/>
    <n v="127.50429199999999"/>
    <n v="3.2553999999990424E-2"/>
    <n v="13.511045999999993"/>
    <n v="57.95"/>
    <n v="20"/>
    <n v="131.90086500000001"/>
    <n v="5.1467000000002372E-2"/>
    <n v="16.171480000000017"/>
    <n v="57.95"/>
    <n v="20"/>
    <x v="15"/>
    <x v="1"/>
    <s v="July"/>
    <s v="2018-30"/>
  </r>
  <r>
    <d v="2018-07-30T00:00:00"/>
    <n v="127.53762500000001"/>
    <n v="3.3333000000013158E-2"/>
    <n v="13.376397999999995"/>
    <n v="57.95"/>
    <n v="20"/>
    <n v="131.93920199999999"/>
    <n v="3.83369999999843E-2"/>
    <n v="15.949903999999989"/>
    <n v="57.95"/>
    <n v="20"/>
    <x v="15"/>
    <x v="1"/>
    <s v="July"/>
    <s v="2018-31"/>
  </r>
  <r>
    <d v="2018-08-06T00:00:00"/>
    <n v="128.02387999999999"/>
    <n v="0.48625499999998567"/>
    <n v="13.241494000000003"/>
    <n v="57.95"/>
    <n v="20"/>
    <n v="132.38832400000001"/>
    <n v="0.4491220000000169"/>
    <n v="15.746343999999993"/>
    <n v="57.95"/>
    <n v="20"/>
    <x v="15"/>
    <x v="2"/>
    <s v="August"/>
    <s v="2018-32"/>
  </r>
  <r>
    <d v="2018-08-13T00:00:00"/>
    <n v="128.39324500000001"/>
    <n v="0.36936500000001615"/>
    <n v="12.867410000000007"/>
    <n v="57.95"/>
    <n v="20"/>
    <n v="132.56224400000002"/>
    <n v="0.17392000000000962"/>
    <n v="15.135347000000039"/>
    <n v="57.95"/>
    <n v="20"/>
    <x v="15"/>
    <x v="2"/>
    <s v="August"/>
    <s v="2018-33"/>
  </r>
  <r>
    <d v="2018-08-20T00:00:00"/>
    <n v="128.78913299999999"/>
    <n v="0.39588799999998514"/>
    <n v="12.745652999999976"/>
    <n v="57.95"/>
    <n v="20"/>
    <n v="132.97248100000002"/>
    <n v="0.41023699999999508"/>
    <n v="14.925808000000018"/>
    <n v="57.95"/>
    <n v="20"/>
    <x v="15"/>
    <x v="2"/>
    <s v="August"/>
    <s v="2018-34"/>
  </r>
  <r>
    <d v="2018-08-27T00:00:00"/>
    <n v="129.18053699999999"/>
    <n v="0.39140399999999431"/>
    <n v="12.778240000000011"/>
    <n v="57.95"/>
    <n v="20"/>
    <n v="133.20041900000001"/>
    <n v="0.22793799999999464"/>
    <n v="14.959384000000014"/>
    <n v="57.95"/>
    <n v="20"/>
    <x v="15"/>
    <x v="2"/>
    <s v="August"/>
    <s v="2018-35"/>
  </r>
  <r>
    <d v="2018-09-03T00:00:00"/>
    <n v="129.758881"/>
    <n v="0.57834400000001551"/>
    <n v="12.807454000000007"/>
    <n v="57.95"/>
    <n v="20"/>
    <n v="133.66730900000002"/>
    <n v="0.46689000000000647"/>
    <n v="14.897307000000012"/>
    <n v="57.95"/>
    <n v="20"/>
    <x v="15"/>
    <x v="3"/>
    <s v="September"/>
    <s v="2018-36"/>
  </r>
  <r>
    <d v="2018-09-10T00:00:00"/>
    <n v="130.24139099999999"/>
    <n v="0.48250999999999067"/>
    <n v="12.098213999999984"/>
    <n v="57.95"/>
    <n v="20"/>
    <n v="134.30754699999997"/>
    <n v="0.6402379999999539"/>
    <n v="14.368650999999971"/>
    <n v="57.95"/>
    <n v="20"/>
    <x v="15"/>
    <x v="3"/>
    <s v="September"/>
    <s v="2018-37"/>
  </r>
  <r>
    <d v="2018-09-17T00:00:00"/>
    <n v="130.59118100000001"/>
    <n v="0.34979000000001292"/>
    <n v="11.738689000000008"/>
    <n v="57.95"/>
    <n v="20"/>
    <n v="134.56762000000001"/>
    <n v="0.26007300000003397"/>
    <n v="13.976747000000017"/>
    <n v="57.95"/>
    <n v="20"/>
    <x v="15"/>
    <x v="3"/>
    <s v="September"/>
    <s v="2018-38"/>
  </r>
  <r>
    <d v="2018-09-24T00:00:00"/>
    <n v="130.58930599999999"/>
    <n v="-1.8750000000125056E-3"/>
    <n v="11.720224999999985"/>
    <n v="57.95"/>
    <n v="20"/>
    <n v="134.76879300000002"/>
    <n v="0.20117300000001137"/>
    <n v="13.852926000000011"/>
    <n v="57.95"/>
    <n v="20"/>
    <x v="15"/>
    <x v="3"/>
    <s v="September"/>
    <s v="2018-39"/>
  </r>
  <r>
    <d v="2018-10-01T00:00:00"/>
    <n v="129.97690618999999"/>
    <n v="-0.61239980999999943"/>
    <n v="11.843762190000007"/>
    <n v="57.95"/>
    <n v="20"/>
    <n v="134.85787044"/>
    <n v="8.9077439999982744E-2"/>
    <n v="14.485148439999989"/>
    <n v="57.95"/>
    <n v="20"/>
    <x v="15"/>
    <x v="4"/>
    <s v="October"/>
    <s v="2018-40"/>
  </r>
  <r>
    <d v="2018-10-08T00:00:00"/>
    <n v="130.14655041499998"/>
    <n v="0.16964422499998477"/>
    <n v="12.984782414999984"/>
    <n v="57.95"/>
    <n v="20"/>
    <n v="135.532345496"/>
    <n v="0.67447505600000568"/>
    <n v="15.02206249599999"/>
    <n v="57.95"/>
    <n v="20"/>
    <x v="15"/>
    <x v="4"/>
    <s v="October"/>
    <s v="2018-41"/>
  </r>
  <r>
    <d v="2018-10-15T00:00:00"/>
    <n v="130.811042644"/>
    <n v="0.66449222900001814"/>
    <n v="13.802731523999995"/>
    <n v="57.95"/>
    <n v="20"/>
    <n v="136.627661112"/>
    <n v="1.0953156159999935"/>
    <n v="16.209910391999998"/>
    <n v="57.95"/>
    <n v="20"/>
    <x v="15"/>
    <x v="4"/>
    <s v="October"/>
    <s v="2018-42"/>
  </r>
  <r>
    <d v="2018-10-22T00:00:00"/>
    <n v="130.98051899999999"/>
    <n v="0.16947635599998989"/>
    <n v="13.936015210999983"/>
    <n v="57.95"/>
    <n v="20"/>
    <n v="136.926725"/>
    <n v="0.29906388800000627"/>
    <n v="16.274870391999997"/>
    <n v="57.95"/>
    <n v="20"/>
    <x v="15"/>
    <x v="4"/>
    <s v="October"/>
    <s v="2018-43"/>
  </r>
  <r>
    <d v="2018-10-29T00:00:00"/>
    <n v="130.64254199999999"/>
    <n v="-0.33797699999999509"/>
    <n v="13.582864000000001"/>
    <n v="57.95"/>
    <n v="20"/>
    <n v="136.99369200000001"/>
    <n v="6.6967000000005328E-2"/>
    <n v="16.362587000000005"/>
    <n v="57.95"/>
    <n v="20"/>
    <x v="15"/>
    <x v="4"/>
    <s v="October"/>
    <s v="2018-44"/>
  </r>
  <r>
    <d v="2018-11-05T00:00:00"/>
    <n v="130.10606200000001"/>
    <n v="-0.53647999999998319"/>
    <n v="12.531264000000007"/>
    <n v="57.95"/>
    <n v="20"/>
    <n v="137.029427"/>
    <n v="3.5734999999988304E-2"/>
    <n v="15.758679000000001"/>
    <n v="57.95"/>
    <n v="20"/>
    <x v="15"/>
    <x v="5"/>
    <s v="November"/>
    <s v="2018-45"/>
  </r>
  <r>
    <d v="2018-11-12T00:00:00"/>
    <n v="128.93599600000002"/>
    <n v="-1.1700659999999914"/>
    <n v="10.025538000000026"/>
    <n v="57.95"/>
    <n v="20"/>
    <n v="137.08407"/>
    <n v="5.4642999999998665E-2"/>
    <n v="14.391187000000002"/>
    <n v="57.95"/>
    <n v="20"/>
    <x v="15"/>
    <x v="5"/>
    <s v="November"/>
    <s v="2018-46"/>
  </r>
  <r>
    <d v="2018-11-19T00:00:00"/>
    <n v="127.39887600000002"/>
    <n v="-1.5371200000000016"/>
    <n v="7.7276310000000024"/>
    <n v="57.95"/>
    <n v="20"/>
    <n v="136.38403299999999"/>
    <n v="-0.7000370000000089"/>
    <n v="13.067033999999992"/>
    <n v="57.95"/>
    <n v="20"/>
    <x v="15"/>
    <x v="5"/>
    <s v="November"/>
    <s v="2018-47"/>
  </r>
  <r>
    <d v="2018-11-26T00:00:00"/>
    <n v="125.770549"/>
    <n v="-1.628327000000013"/>
    <n v="5.6425230000000113"/>
    <n v="57.95"/>
    <n v="20"/>
    <n v="135.427627"/>
    <n v="-0.95640599999998699"/>
    <n v="11.635437999999994"/>
    <n v="57.95"/>
    <n v="20"/>
    <x v="15"/>
    <x v="5"/>
    <s v="November"/>
    <s v="2018-48"/>
  </r>
  <r>
    <d v="2018-12-03T00:00:00"/>
    <n v="124.30094299999999"/>
    <n v="-1.4696060000000131"/>
    <n v="4.546016999999992"/>
    <n v="57.95"/>
    <n v="20"/>
    <n v="134.3822212"/>
    <n v="-1.0454057999999975"/>
    <n v="11.174512199999981"/>
    <n v="57.95"/>
    <n v="20"/>
    <x v="15"/>
    <x v="6"/>
    <s v="December"/>
    <s v="2018-49"/>
  </r>
  <r>
    <d v="2018-12-10T00:00:00"/>
    <n v="122.36820900000001"/>
    <n v="-1.9327339999999822"/>
    <n v="2.4622180000000071"/>
    <n v="57.95"/>
    <n v="20"/>
    <n v="132.50459000000001"/>
    <n v="-1.8776311999999962"/>
    <n v="8.811113000000006"/>
    <n v="57.95"/>
    <n v="20"/>
    <x v="15"/>
    <x v="6"/>
    <s v="December"/>
    <s v="2018-50"/>
  </r>
  <r>
    <d v="2018-12-17T00:00:00"/>
    <n v="121.02439699999999"/>
    <n v="-1.343812000000014"/>
    <n v="1.046418999999986"/>
    <n v="57.95"/>
    <n v="20"/>
    <n v="131.259118"/>
    <n v="-1.2454720000000066"/>
    <n v="7.4483270000000061"/>
    <n v="57.95"/>
    <n v="20"/>
    <x v="15"/>
    <x v="6"/>
    <s v="December"/>
    <s v="2018-51"/>
  </r>
  <r>
    <d v="2018-12-24T00:00:00"/>
    <n v="120.61384200000001"/>
    <n v="-0.41055499999998801"/>
    <n v="0.60983699999999885"/>
    <n v="57.95"/>
    <n v="20"/>
    <n v="130.90695299999999"/>
    <n v="-0.35216500000001361"/>
    <n v="7.47757399999999"/>
    <n v="57.95"/>
    <n v="20"/>
    <x v="15"/>
    <x v="6"/>
    <s v="December"/>
    <s v="2018-52"/>
  </r>
  <r>
    <d v="2018-12-31T00:00:00"/>
    <n v="120.179132"/>
    <n v="-0.4347100000000097"/>
    <n v="-6.3140000000032614E-3"/>
    <n v="57.95"/>
    <n v="20"/>
    <n v="130.258599"/>
    <n v="-0.64835399999998344"/>
    <n v="6.7469780000000128"/>
    <n v="57.95"/>
    <n v="20"/>
    <x v="15"/>
    <x v="6"/>
    <s v="December"/>
    <s v="2018-53"/>
  </r>
  <r>
    <d v="2019-01-07T00:00:00"/>
    <n v="120.27482300000001"/>
    <n v="9.5691000000016402E-2"/>
    <n v="-0.2472489999999965"/>
    <n v="57.95"/>
    <n v="20"/>
    <n v="130.32910800000002"/>
    <n v="7.0509000000015476E-2"/>
    <n v="6.3581240000000037"/>
    <n v="57.95"/>
    <n v="20"/>
    <x v="16"/>
    <x v="7"/>
    <s v="January"/>
    <s v="2019-02"/>
  </r>
  <r>
    <d v="2019-01-14T00:00:00"/>
    <n v="119.526061"/>
    <n v="-0.74876200000001347"/>
    <n v="-1.4362830000000173"/>
    <n v="57.95"/>
    <n v="20"/>
    <n v="129.46869099999998"/>
    <n v="-0.86041700000004084"/>
    <n v="4.8896709999999928"/>
    <n v="57.95"/>
    <n v="20"/>
    <x v="16"/>
    <x v="7"/>
    <s v="January"/>
    <s v="2019-03"/>
  </r>
  <r>
    <d v="2019-01-21T00:00:00"/>
    <n v="119.12088641500002"/>
    <n v="-0.40517458499998327"/>
    <n v="-2.3773715850000059"/>
    <n v="57.95"/>
    <n v="20"/>
    <n v="128.92254433600002"/>
    <n v="-0.54614666399996281"/>
    <n v="3.855475336000012"/>
    <n v="57.95"/>
    <n v="20"/>
    <x v="16"/>
    <x v="7"/>
    <s v="January"/>
    <s v="2019-04"/>
  </r>
  <r>
    <d v="2019-01-28T00:00:00"/>
    <n v="119.28875509800001"/>
    <n v="0.16786868299999469"/>
    <n v="-2.4059579019999973"/>
    <n v="57.95"/>
    <n v="20"/>
    <n v="129.09685058399998"/>
    <n v="0.17430624799996508"/>
    <n v="3.7760365839999821"/>
    <n v="57.95"/>
    <n v="20"/>
    <x v="16"/>
    <x v="7"/>
    <s v="January"/>
    <s v="2019-05"/>
  </r>
  <r>
    <d v="2019-02-04T00:00:00"/>
    <n v="119.12663400000001"/>
    <n v="-0.16212109800000007"/>
    <n v="-2.6005829999999861"/>
    <n v="57.95"/>
    <n v="20"/>
    <n v="129.13307699999999"/>
    <n v="3.6226416000005202E-2"/>
    <n v="3.7685799999999858"/>
    <n v="57.95"/>
    <n v="20"/>
    <x v="16"/>
    <x v="8"/>
    <s v="February"/>
    <s v="2019-06"/>
  </r>
  <r>
    <d v="2019-02-11T00:00:00"/>
    <n v="118.96756499999999"/>
    <n v="-0.15906900000001656"/>
    <n v="-2.6168470000000212"/>
    <n v="57.95"/>
    <n v="20"/>
    <n v="129.17187099999998"/>
    <n v="3.8793999999995776E-2"/>
    <n v="4.1527729999999679"/>
    <n v="57.95"/>
    <n v="20"/>
    <x v="16"/>
    <x v="8"/>
    <s v="February"/>
    <s v="2019-07"/>
  </r>
  <r>
    <d v="2019-02-18T00:00:00"/>
    <n v="119.04932299999999"/>
    <n v="8.1757999999993558E-2"/>
    <n v="-1.4675980000000095"/>
    <n v="57.95"/>
    <n v="20"/>
    <n v="129.232439"/>
    <n v="6.0568000000017719E-2"/>
    <n v="5.0504849999999948"/>
    <n v="57.95"/>
    <n v="20"/>
    <x v="16"/>
    <x v="8"/>
    <s v="February"/>
    <s v="2019-08"/>
  </r>
  <r>
    <d v="2019-02-25T00:00:00"/>
    <n v="119.22175799999999"/>
    <n v="0.17243500000000722"/>
    <n v="-0.32908100000001639"/>
    <n v="57.95"/>
    <n v="20"/>
    <n v="129.66267300000001"/>
    <n v="0.43023400000001288"/>
    <n v="6.5744220000000126"/>
    <n v="57.95"/>
    <n v="20"/>
    <x v="16"/>
    <x v="8"/>
    <s v="February"/>
    <s v="2019-09"/>
  </r>
  <r>
    <d v="2019-03-04T00:00:00"/>
    <n v="119.720921"/>
    <n v="0.49916300000001002"/>
    <n v="0.43558699999999817"/>
    <n v="57.95"/>
    <n v="20"/>
    <n v="130.250911"/>
    <n v="0.58823799999998982"/>
    <n v="7.3323710000000091"/>
    <n v="57.95"/>
    <n v="20"/>
    <x v="16"/>
    <x v="9"/>
    <s v="March"/>
    <s v="2019-10"/>
  </r>
  <r>
    <d v="2019-03-11T00:00:00"/>
    <n v="120.104434783"/>
    <n v="0.38351378299999794"/>
    <n v="0.99312478300001317"/>
    <n v="57.95"/>
    <n v="20"/>
    <n v="130.59186642399999"/>
    <n v="0.34095542399998635"/>
    <n v="7.636091424"/>
    <n v="57.95"/>
    <n v="20"/>
    <x v="16"/>
    <x v="9"/>
    <s v="March"/>
    <s v="2019-11"/>
  </r>
  <r>
    <d v="2019-03-18T00:00:00"/>
    <n v="120.47507599999999"/>
    <n v="0.37064121699998509"/>
    <n v="1.3091289999999844"/>
    <n v="57.95"/>
    <n v="20"/>
    <n v="130.85225"/>
    <n v="0.2603835760000095"/>
    <n v="8.0164519999999868"/>
    <n v="57.95"/>
    <n v="20"/>
    <x v="16"/>
    <x v="9"/>
    <s v="March"/>
    <s v="2019-12"/>
  </r>
  <r>
    <d v="2019-03-25T00:00:00"/>
    <n v="120.83399000000001"/>
    <n v="0.35891400000002704"/>
    <n v="1.6085120000000046"/>
    <n v="57.95"/>
    <n v="20"/>
    <n v="131.15213199999999"/>
    <n v="0.29988199999999665"/>
    <n v="8.254400000000004"/>
    <n v="57.95"/>
    <n v="20"/>
    <x v="16"/>
    <x v="9"/>
    <s v="March"/>
    <s v="2019-13"/>
  </r>
  <r>
    <d v="2019-04-01T00:00:00"/>
    <n v="121.70400244599999"/>
    <n v="0.87001244599997563"/>
    <n v="2.2760194459999781"/>
    <n v="57.95"/>
    <n v="20"/>
    <n v="131.48396620800003"/>
    <n v="0.33183420800003205"/>
    <n v="8.4308572080000204"/>
    <n v="57.95"/>
    <n v="20"/>
    <x v="16"/>
    <x v="10"/>
    <s v="April"/>
    <s v="2019-14"/>
  </r>
  <r>
    <d v="2019-04-08T00:00:00"/>
    <n v="122.664817"/>
    <n v="0.96081455400000948"/>
    <n v="2.7028910000000081"/>
    <n v="57.95"/>
    <n v="20"/>
    <n v="132.08424600000001"/>
    <n v="0.60027979199998072"/>
    <n v="8.502718999999999"/>
    <n v="57.95"/>
    <n v="20"/>
    <x v="16"/>
    <x v="10"/>
    <s v="April"/>
    <s v="2019-15"/>
  </r>
  <r>
    <d v="2019-04-15T00:00:00"/>
    <n v="124.05550700000001"/>
    <n v="1.3906900000000064"/>
    <n v="3.4920614899999975"/>
    <n v="57.95"/>
    <n v="20"/>
    <n v="132.96357799999998"/>
    <n v="0.87933199999997669"/>
    <n v="8.6739128879999754"/>
    <n v="57.95"/>
    <n v="20"/>
    <x v="16"/>
    <x v="10"/>
    <s v="April"/>
    <s v="2019-16"/>
  </r>
  <r>
    <d v="2019-04-22T00:00:00"/>
    <n v="125.429169"/>
    <n v="1.3736619999999959"/>
    <n v="3.9851405819999854"/>
    <n v="57.95"/>
    <n v="20"/>
    <n v="133.993045"/>
    <n v="1.029467000000011"/>
    <n v="8.6055148319999972"/>
    <n v="57.95"/>
    <n v="20"/>
    <x v="16"/>
    <x v="10"/>
    <s v="April"/>
    <s v="2019-17"/>
  </r>
  <r>
    <d v="2019-04-29T00:00:00"/>
    <n v="126.360643"/>
    <n v="0.93147399999999436"/>
    <n v="4.1418659999999932"/>
    <n v="57.95"/>
    <n v="20"/>
    <n v="134.60391199999998"/>
    <n v="0.61086699999998473"/>
    <n v="8.591253999999978"/>
    <n v="57.95"/>
    <n v="20"/>
    <x v="16"/>
    <x v="10"/>
    <s v="April"/>
    <s v="2019-18"/>
  </r>
  <r>
    <d v="2019-05-06T00:00:00"/>
    <n v="127.49724900000001"/>
    <n v="1.1366060000000147"/>
    <n v="4.2304390000000183"/>
    <n v="57.95"/>
    <n v="20"/>
    <n v="135.40746299999998"/>
    <n v="0.80355099999999879"/>
    <n v="8.4159759999999721"/>
    <n v="57.95"/>
    <n v="20"/>
    <x v="16"/>
    <x v="11"/>
    <s v="May"/>
    <s v="2019-19"/>
  </r>
  <r>
    <d v="2019-05-13T00:00:00"/>
    <n v="127.97096900000001"/>
    <n v="0.47372000000000014"/>
    <n v="3.6503380000000334"/>
    <n v="57.95"/>
    <n v="20"/>
    <n v="135.35876199999998"/>
    <n v="-4.870099999999411E-2"/>
    <n v="7.0756920000000036"/>
    <n v="57.95"/>
    <n v="20"/>
    <x v="16"/>
    <x v="11"/>
    <s v="May"/>
    <s v="2019-20"/>
  </r>
  <r>
    <d v="2019-05-20T00:00:00"/>
    <n v="128.509333"/>
    <n v="0.53836399999998719"/>
    <n v="2.5832329999999928"/>
    <n v="57.95"/>
    <n v="20"/>
    <n v="135.82256599999999"/>
    <n v="0.46380400000001032"/>
    <n v="5.7838859999999954"/>
    <n v="57.95"/>
    <n v="20"/>
    <x v="16"/>
    <x v="11"/>
    <s v="May"/>
    <s v="2019-21"/>
  </r>
  <r>
    <d v="2019-05-27T00:00:00"/>
    <n v="129.14256900000001"/>
    <n v="0.63323600000001079"/>
    <n v="1.5671366700000107"/>
    <n v="57.95"/>
    <n v="20"/>
    <n v="136.446383"/>
    <n v="0.62381700000000251"/>
    <n v="4.786388119999998"/>
    <n v="57.95"/>
    <n v="20"/>
    <x v="16"/>
    <x v="11"/>
    <s v="May"/>
    <s v="2019-22"/>
  </r>
  <r>
    <d v="2019-06-03T00:00:00"/>
    <n v="129.407206"/>
    <n v="0.26463699999999335"/>
    <n v="0.9774627369999962"/>
    <n v="57.95"/>
    <n v="20"/>
    <n v="136.393553"/>
    <n v="-5.2830000000000155E-2"/>
    <n v="4.05155203999999"/>
    <n v="57.95"/>
    <n v="20"/>
    <x v="16"/>
    <x v="0"/>
    <s v="June"/>
    <s v="2019-23"/>
  </r>
  <r>
    <d v="2019-06-10T00:00:00"/>
    <n v="128.88566800000001"/>
    <n v="-0.52153799999999251"/>
    <n v="0.27832600000002117"/>
    <n v="57.95"/>
    <n v="20"/>
    <n v="135.40170000000001"/>
    <n v="-0.99185299999999188"/>
    <n v="2.7814940000000092"/>
    <n v="57.95"/>
    <n v="20"/>
    <x v="16"/>
    <x v="0"/>
    <s v="June"/>
    <s v="2019-24"/>
  </r>
  <r>
    <d v="2019-06-17T00:00:00"/>
    <n v="127.66077299999999"/>
    <n v="-1.2248950000000178"/>
    <n v="-0.26387800000000539"/>
    <n v="57.95"/>
    <n v="20"/>
    <n v="133.758456"/>
    <n v="-1.6432440000000099"/>
    <n v="1.7754199999999969"/>
    <n v="57.95"/>
    <n v="20"/>
    <x v="16"/>
    <x v="0"/>
    <s v="June"/>
    <s v="2019-25"/>
  </r>
  <r>
    <d v="2019-06-24T00:00:00"/>
    <n v="126.66311600000002"/>
    <n v="-0.99765699999997537"/>
    <n v="-0.5139249999999862"/>
    <n v="57.95"/>
    <n v="20"/>
    <n v="131.813941"/>
    <n v="-1.9445149999999956"/>
    <n v="0.54790600000001177"/>
    <n v="57.95"/>
    <n v="20"/>
    <x v="16"/>
    <x v="0"/>
    <s v="June"/>
    <s v="2019-26"/>
  </r>
  <r>
    <d v="2019-07-01T00:00:00"/>
    <n v="126.48721100000002"/>
    <n v="-0.1759050000000002"/>
    <n v="-5.4047999999980334E-2"/>
    <n v="57.95"/>
    <n v="20"/>
    <n v="131.554757"/>
    <n v="-0.25918400000000474"/>
    <n v="0.72161900000000401"/>
    <n v="57.95"/>
    <n v="20"/>
    <x v="16"/>
    <x v="1"/>
    <s v="July"/>
    <s v="2019-27"/>
  </r>
  <r>
    <d v="2019-07-08T00:00:00"/>
    <n v="126.86261400000001"/>
    <n v="0.37540299999999149"/>
    <n v="-0.11001499999997577"/>
    <n v="57.95"/>
    <n v="20"/>
    <n v="131.68070699999998"/>
    <n v="0.1259499999999889"/>
    <n v="0.15056999999998766"/>
    <n v="57.95"/>
    <n v="20"/>
    <x v="16"/>
    <x v="1"/>
    <s v="July"/>
    <s v="2019-28"/>
  </r>
  <r>
    <d v="2019-07-15T00:00:00"/>
    <n v="127.127914"/>
    <n v="0.26529999999999632"/>
    <n v="-0.34382399999999791"/>
    <n v="57.95"/>
    <n v="20"/>
    <n v="131.859849"/>
    <n v="0.17914200000001301"/>
    <n v="1.0450999999989108E-2"/>
    <n v="57.95"/>
    <n v="20"/>
    <x v="16"/>
    <x v="1"/>
    <s v="July"/>
    <s v="2019-29"/>
  </r>
  <r>
    <d v="2019-07-22T00:00:00"/>
    <n v="127.809271"/>
    <n v="0.68135699999999133"/>
    <n v="0.304979000000003"/>
    <n v="57.95"/>
    <n v="20"/>
    <n v="132.214248"/>
    <n v="0.3543990000000008"/>
    <n v="0.31338299999998753"/>
    <n v="57.95"/>
    <n v="20"/>
    <x v="16"/>
    <x v="1"/>
    <s v="July"/>
    <s v="2019-30"/>
  </r>
  <r>
    <d v="2019-07-29T00:00:00"/>
    <n v="128.03377699999999"/>
    <n v="0.22450599999999099"/>
    <n v="0.49615199999998083"/>
    <n v="57.95"/>
    <n v="20"/>
    <n v="132.59614400000001"/>
    <n v="0.38189600000001178"/>
    <n v="0.65694200000001501"/>
    <n v="57.95"/>
    <n v="20"/>
    <x v="16"/>
    <x v="1"/>
    <s v="July"/>
    <s v="2019-31"/>
  </r>
  <r>
    <d v="2019-08-05T00:00:00"/>
    <n v="128.37035900000001"/>
    <n v="0.33658200000002125"/>
    <n v="0.34647900000001641"/>
    <n v="57.95"/>
    <n v="20"/>
    <n v="132.60573299999999"/>
    <n v="9.5889999999769771E-3"/>
    <n v="0.21740899999997509"/>
    <n v="57.95"/>
    <n v="20"/>
    <x v="16"/>
    <x v="2"/>
    <s v="August"/>
    <s v="2019-32"/>
  </r>
  <r>
    <d v="2019-08-12T00:00:00"/>
    <n v="128.361242"/>
    <n v="-9.1170000000033724E-3"/>
    <n v="-3.2003000000003112E-2"/>
    <n v="57.95"/>
    <n v="20"/>
    <n v="132.588686"/>
    <n v="-1.7046999999990931E-2"/>
    <n v="2.6441999999974541E-2"/>
    <n v="57.95"/>
    <n v="20"/>
    <x v="16"/>
    <x v="2"/>
    <s v="August"/>
    <s v="2019-33"/>
  </r>
  <r>
    <d v="2019-08-19T00:00:00"/>
    <n v="128.16598299999998"/>
    <n v="-0.19525900000002139"/>
    <n v="-0.62315000000000964"/>
    <n v="57.95"/>
    <n v="20"/>
    <n v="132.59598700000001"/>
    <n v="7.3010000000124364E-3"/>
    <n v="-0.3764940000000081"/>
    <n v="57.95"/>
    <n v="20"/>
    <x v="16"/>
    <x v="2"/>
    <s v="August"/>
    <s v="2019-34"/>
  </r>
  <r>
    <d v="2019-08-26T00:00:00"/>
    <n v="128.221036"/>
    <n v="5.5053000000015118E-2"/>
    <n v="-0.95950099999998884"/>
    <n v="57.95"/>
    <n v="20"/>
    <n v="132.51085499999999"/>
    <n v="-8.5132000000015751E-2"/>
    <n v="-0.6895640000000185"/>
    <n v="57.95"/>
    <n v="20"/>
    <x v="16"/>
    <x v="2"/>
    <s v="August"/>
    <s v="2019-35"/>
  </r>
  <r>
    <d v="2019-09-02T00:00:00"/>
    <n v="127.864315"/>
    <n v="-0.35672099999999318"/>
    <n v="-1.8945659999999975"/>
    <n v="57.95"/>
    <n v="20"/>
    <n v="132.29071999999999"/>
    <n v="-0.22013499999999908"/>
    <n v="-1.376589000000024"/>
    <n v="57.95"/>
    <n v="20"/>
    <x v="16"/>
    <x v="3"/>
    <s v="September"/>
    <s v="2019-36"/>
  </r>
  <r>
    <d v="2019-09-09T00:00:00"/>
    <n v="127.78941630300001"/>
    <n v="-7.4898696999994741E-2"/>
    <n v="-2.4519746969999829"/>
    <n v="57.95"/>
    <n v="20"/>
    <n v="131.886735888"/>
    <n v="-0.40398411199998918"/>
    <n v="-2.4208111119999671"/>
    <n v="57.95"/>
    <n v="20"/>
    <x v="16"/>
    <x v="3"/>
    <s v="September"/>
    <s v="2019-37"/>
  </r>
  <r>
    <d v="2019-09-16T00:00:00"/>
    <n v="126.91823550600002"/>
    <n v="-0.87118079699999385"/>
    <n v="-3.6729454939999897"/>
    <n v="57.95"/>
    <n v="20"/>
    <n v="131.34646807999999"/>
    <n v="-0.54026780800001006"/>
    <n v="-3.2211519200000112"/>
    <n v="57.95"/>
    <n v="20"/>
    <x v="16"/>
    <x v="3"/>
    <s v="September"/>
    <s v="2019-38"/>
  </r>
  <r>
    <d v="2019-09-23T00:00:00"/>
    <n v="126.77891231400001"/>
    <n v="-0.1393231920000062"/>
    <n v="-3.8103936859999834"/>
    <n v="57.95"/>
    <n v="20"/>
    <n v="131.52317466400001"/>
    <n v="0.17670658400001571"/>
    <n v="-3.2456183360000068"/>
    <n v="57.95"/>
    <n v="20"/>
    <x v="16"/>
    <x v="3"/>
    <s v="September"/>
    <s v="2019-39"/>
  </r>
  <r>
    <d v="2019-09-30T00:00:00"/>
    <n v="126.92396400000001"/>
    <n v="0.14505168600000218"/>
    <n v="-3.0529421899999818"/>
    <n v="57.95"/>
    <n v="20"/>
    <n v="131.83384999999998"/>
    <n v="0.31067533599997432"/>
    <n v="-3.0240204400000152"/>
    <n v="57.95"/>
    <n v="20"/>
    <x v="16"/>
    <x v="3"/>
    <s v="September"/>
    <s v="2019-40"/>
  </r>
  <r>
    <d v="2019-10-07T00:00:00"/>
    <n v="126.86949499999999"/>
    <n v="-5.4469000000025858E-2"/>
    <n v="-3.2770554149999924"/>
    <n v="57.95"/>
    <n v="20"/>
    <n v="131.82080299999998"/>
    <n v="-1.3047000000000253E-2"/>
    <n v="-3.7115424960000212"/>
    <n v="57.95"/>
    <n v="20"/>
    <x v="16"/>
    <x v="4"/>
    <s v="October"/>
    <s v="2019-41"/>
  </r>
  <r>
    <d v="2019-10-14T00:00:00"/>
    <n v="126.90649099999999"/>
    <n v="3.6996000000002027E-2"/>
    <n v="-3.9045516440000085"/>
    <n v="57.95"/>
    <n v="20"/>
    <n v="131.89290799999998"/>
    <n v="7.2104999999993424E-2"/>
    <n v="-4.7347531120000212"/>
    <n v="57.95"/>
    <n v="20"/>
    <x v="16"/>
    <x v="4"/>
    <s v="October"/>
    <s v="2019-42"/>
  </r>
  <r>
    <d v="2019-10-21T00:00:00"/>
    <n v="126.40242000000001"/>
    <n v="-0.50407099999998195"/>
    <n v="-4.5780989999999804"/>
    <n v="57.95"/>
    <n v="20"/>
    <n v="131.27925299999998"/>
    <n v="-0.61365499999999429"/>
    <n v="-5.6474720000000218"/>
    <n v="57.95"/>
    <n v="20"/>
    <x v="16"/>
    <x v="4"/>
    <s v="October"/>
    <s v="2019-43"/>
  </r>
  <r>
    <d v="2019-10-28T00:00:00"/>
    <n v="125.76551399999998"/>
    <n v="-0.63690600000002462"/>
    <n v="-4.8770280000000099"/>
    <n v="57.95"/>
    <n v="20"/>
    <n v="130.603532"/>
    <n v="-0.67572099999998159"/>
    <n v="-6.3901600000000087"/>
    <n v="57.95"/>
    <n v="20"/>
    <x v="16"/>
    <x v="4"/>
    <s v="October"/>
    <s v="2019-44"/>
  </r>
  <r>
    <d v="2019-11-04T00:00:00"/>
    <n v="125.558701"/>
    <n v="-0.20681299999998259"/>
    <n v="-4.5473610000000093"/>
    <n v="57.95"/>
    <n v="20"/>
    <n v="130.37609499999999"/>
    <n v="-0.22743700000000899"/>
    <n v="-6.653332000000006"/>
    <n v="57.95"/>
    <n v="20"/>
    <x v="16"/>
    <x v="5"/>
    <s v="November"/>
    <s v="2019-45"/>
  </r>
  <r>
    <d v="2019-11-11T00:00:00"/>
    <n v="125.59399900000001"/>
    <n v="3.5298000000011598E-2"/>
    <n v="-3.3419970000000063"/>
    <n v="57.95"/>
    <n v="20"/>
    <n v="130.42490999999998"/>
    <n v="4.8814999999990505E-2"/>
    <n v="-6.6591600000000142"/>
    <n v="57.95"/>
    <n v="20"/>
    <x v="16"/>
    <x v="5"/>
    <s v="November"/>
    <s v="2019-46"/>
  </r>
  <r>
    <d v="2019-11-18T00:00:00"/>
    <n v="125.582346"/>
    <n v="-1.1653000000009683E-2"/>
    <n v="-1.8165300000000144"/>
    <n v="57.95"/>
    <n v="20"/>
    <n v="130.345595"/>
    <n v="-7.9314999999979818E-2"/>
    <n v="-6.0384379999999851"/>
    <n v="57.95"/>
    <n v="20"/>
    <x v="16"/>
    <x v="5"/>
    <s v="November"/>
    <s v="2019-47"/>
  </r>
  <r>
    <d v="2019-11-25T00:00:00"/>
    <n v="125.31979800000001"/>
    <n v="-0.26254799999999534"/>
    <n v="-0.45075099999999679"/>
    <n v="57.95"/>
    <n v="20"/>
    <n v="130.07831300000001"/>
    <n v="-0.26728199999999447"/>
    <n v="-5.3493139999999926"/>
    <n v="57.95"/>
    <n v="20"/>
    <x v="16"/>
    <x v="5"/>
    <s v="November"/>
    <s v="2019-48"/>
  </r>
  <r>
    <d v="2019-12-02T00:00:00"/>
    <n v="124.80878300000001"/>
    <n v="-0.51101500000000044"/>
    <n v="0.50784000000001583"/>
    <n v="57.95"/>
    <n v="20"/>
    <n v="129.79383300000001"/>
    <n v="-0.28448000000000206"/>
    <n v="-4.5883881999999971"/>
    <n v="57.95"/>
    <n v="20"/>
    <x v="16"/>
    <x v="6"/>
    <s v="December"/>
    <s v="2019-49"/>
  </r>
  <r>
    <d v="2019-12-09T00:00:00"/>
    <n v="124.748176"/>
    <n v="-6.0607000000004518E-2"/>
    <n v="2.3799669999999935"/>
    <n v="57.95"/>
    <n v="20"/>
    <n v="129.79018500000001"/>
    <n v="-3.6479999999983193E-3"/>
    <n v="-2.7144049999999993"/>
    <n v="57.95"/>
    <n v="20"/>
    <x v="16"/>
    <x v="6"/>
    <s v="December"/>
    <s v="2019-50"/>
  </r>
  <r>
    <d v="2019-12-16T00:00:00"/>
    <n v="124.32997"/>
    <n v="-0.41820599999999786"/>
    <n v="3.3055730000000096"/>
    <n v="57.95"/>
    <n v="20"/>
    <n v="129.56176199999999"/>
    <n v="-0.22842300000002069"/>
    <n v="-1.6973560000000134"/>
    <n v="57.95"/>
    <n v="20"/>
    <x v="16"/>
    <x v="6"/>
    <s v="December"/>
    <s v="2019-51"/>
  </r>
  <r>
    <d v="2019-12-23T00:00:00"/>
    <n v="124.15753999999998"/>
    <n v="-0.17243000000001985"/>
    <n v="3.5436979999999778"/>
    <n v="57.95"/>
    <n v="20"/>
    <n v="129.81113200000001"/>
    <n v="0.2493700000000274"/>
    <n v="-1.0958209999999724"/>
    <n v="57.95"/>
    <n v="20"/>
    <x v="16"/>
    <x v="6"/>
    <s v="December"/>
    <s v="2019-52"/>
  </r>
  <r>
    <d v="2019-12-30T00:00:00"/>
    <n v="124.96215100000001"/>
    <n v="0.80461100000002261"/>
    <n v="4.7830190000000101"/>
    <n v="57.95"/>
    <n v="20"/>
    <n v="130.542046"/>
    <n v="0.7309139999999843"/>
    <n v="0.28344699999999534"/>
    <n v="57.95"/>
    <n v="20"/>
    <x v="16"/>
    <x v="6"/>
    <s v="December"/>
    <s v="2019-53"/>
  </r>
  <r>
    <d v="2020-01-06T00:00:00"/>
    <n v="126.085869"/>
    <n v="1.1237179999999967"/>
    <n v="5.8110459999999904"/>
    <n v="57.95"/>
    <n v="20"/>
    <n v="131.55515700000001"/>
    <n v="1.0131110000000092"/>
    <n v="1.2260489999999891"/>
    <n v="57.95"/>
    <n v="20"/>
    <x v="17"/>
    <x v="7"/>
    <s v="January"/>
    <s v="2020-02"/>
  </r>
  <r>
    <d v="2020-01-13T00:00:00"/>
    <n v="127.16739200000001"/>
    <n v="1.0815230000000042"/>
    <n v="7.6413310000000081"/>
    <n v="57.95"/>
    <n v="20"/>
    <n v="132.68823499999999"/>
    <n v="1.1330779999999834"/>
    <n v="3.2195440000000133"/>
    <n v="57.95"/>
    <n v="20"/>
    <x v="17"/>
    <x v="7"/>
    <s v="January"/>
    <s v="2020-03"/>
  </r>
  <r>
    <d v="2020-01-20T00:00:00"/>
    <n v="127.177227"/>
    <n v="9.8349999999953752E-3"/>
    <n v="8.0563405849999867"/>
    <n v="57.95"/>
    <n v="20"/>
    <n v="132.739754"/>
    <n v="5.1519000000013193E-2"/>
    <n v="3.8172096639999893"/>
    <n v="57.95"/>
    <n v="20"/>
    <x v="17"/>
    <x v="7"/>
    <s v="January"/>
    <s v="2020-04"/>
  </r>
  <r>
    <d v="2020-01-27T00:00:00"/>
    <n v="127.33458900000001"/>
    <n v="0.15736200000000622"/>
    <n v="8.0458339019999983"/>
    <n v="57.95"/>
    <n v="20"/>
    <n v="132.88088099999999"/>
    <n v="0.14112699999998313"/>
    <n v="3.7840304160000073"/>
    <n v="57.95"/>
    <n v="20"/>
    <x v="17"/>
    <x v="7"/>
    <s v="January"/>
    <s v="2020-05"/>
  </r>
  <r>
    <d v="2020-02-03T00:00:00"/>
    <n v="125.84808699999999"/>
    <n v="-1.4865020000000158"/>
    <n v="6.7214529999999826"/>
    <n v="57.95"/>
    <n v="20"/>
    <n v="131.475672"/>
    <n v="-1.4052089999999851"/>
    <n v="2.3425950000000171"/>
    <n v="57.95"/>
    <n v="20"/>
    <x v="17"/>
    <x v="8"/>
    <s v="February"/>
    <s v="2020-06"/>
  </r>
  <r>
    <d v="2020-02-10T00:00:00"/>
    <n v="124.72935999999999"/>
    <n v="-1.1187270000000069"/>
    <n v="5.7617949999999922"/>
    <n v="57.95"/>
    <n v="20"/>
    <n v="129.70444699999999"/>
    <n v="-1.7712250000000154"/>
    <n v="0.53257600000000593"/>
    <n v="57.95"/>
    <n v="20"/>
    <x v="17"/>
    <x v="8"/>
    <s v="February"/>
    <s v="2020-07"/>
  </r>
  <r>
    <d v="2020-02-17T00:00:00"/>
    <n v="123.796075"/>
    <n v="-0.93328499999998371"/>
    <n v="4.746752000000015"/>
    <n v="57.95"/>
    <n v="20"/>
    <n v="128.20284899999999"/>
    <n v="-1.5015980000000013"/>
    <n v="-1.0295900000000131"/>
    <n v="57.95"/>
    <n v="20"/>
    <x v="17"/>
    <x v="8"/>
    <s v="February"/>
    <s v="2020-08"/>
  </r>
  <r>
    <d v="2020-02-24T00:00:00"/>
    <n v="123.44644915299999"/>
    <n v="-0.34962584700001287"/>
    <n v="4.2246911529999949"/>
    <n v="57.95"/>
    <n v="20"/>
    <n v="127.67442647200001"/>
    <n v="-0.5284225279999788"/>
    <n v="-1.9882465280000048"/>
    <n v="57.95"/>
    <n v="20"/>
    <x v="17"/>
    <x v="8"/>
    <s v="February"/>
    <s v="2020-09"/>
  </r>
  <r>
    <d v="2020-03-02T00:00:00"/>
    <n v="122.43127200000001"/>
    <n v="-1.015177152999982"/>
    <n v="2.7103510000000028"/>
    <n v="57.95"/>
    <n v="20"/>
    <n v="126.62246399999999"/>
    <n v="-1.0519624720000138"/>
    <n v="-3.6284470000000084"/>
    <n v="57.95"/>
    <n v="20"/>
    <x v="17"/>
    <x v="9"/>
    <s v="March"/>
    <s v="2020-10"/>
  </r>
  <r>
    <d v="2020-03-09T00:00:00"/>
    <n v="122.24398099999999"/>
    <n v="-0.18729100000001608"/>
    <n v="2.1395462169999888"/>
    <n v="57.95"/>
    <n v="20"/>
    <n v="126.25264799999999"/>
    <n v="-0.36981600000000014"/>
    <n v="-4.3392184239999949"/>
    <n v="57.95"/>
    <n v="20"/>
    <x v="17"/>
    <x v="9"/>
    <s v="March"/>
    <s v="2020-11"/>
  </r>
  <r>
    <d v="2020-03-16T00:00:00"/>
    <n v="120.328169"/>
    <n v="-1.9158119999999883"/>
    <n v="-0.14690699999998458"/>
    <n v="57.95"/>
    <n v="20"/>
    <n v="124.363474"/>
    <n v="-1.889173999999997"/>
    <n v="-6.4887760000000014"/>
    <n v="57.95"/>
    <n v="20"/>
    <x v="17"/>
    <x v="9"/>
    <s v="March"/>
    <s v="2020-12"/>
  </r>
  <r>
    <d v="2020-03-23T00:00:00"/>
    <n v="119.64450399999998"/>
    <n v="-0.68366500000001906"/>
    <n v="-1.1894860000000307"/>
    <n v="57.95"/>
    <n v="20"/>
    <n v="123.40948499999999"/>
    <n v="-0.95398900000000708"/>
    <n v="-7.7426470000000052"/>
    <n v="57.95"/>
    <n v="20"/>
    <x v="17"/>
    <x v="9"/>
    <s v="March"/>
    <s v="2020-13"/>
  </r>
  <r>
    <d v="2020-03-30T00:00:00"/>
    <n v="112.452709"/>
    <n v="-7.1917949999999848"/>
    <n v="-9.2512934459999911"/>
    <n v="57.95"/>
    <n v="20"/>
    <n v="118.59799800000002"/>
    <n v="-4.8114869999999712"/>
    <n v="-12.885968208000008"/>
    <n v="57.95"/>
    <n v="20"/>
    <x v="17"/>
    <x v="9"/>
    <s v="March"/>
    <s v="2020-14"/>
  </r>
  <r>
    <d v="2020-04-06T00:00:00"/>
    <n v="110.234797"/>
    <n v="-2.2179119999999983"/>
    <n v="-12.430019999999999"/>
    <n v="57.95"/>
    <n v="20"/>
    <n v="116.833354"/>
    <n v="-1.7646440000000183"/>
    <n v="-15.250892000000007"/>
    <n v="57.95"/>
    <n v="20"/>
    <x v="17"/>
    <x v="10"/>
    <s v="April"/>
    <s v="2020-15"/>
  </r>
  <r>
    <d v="2020-04-13T00:00:00"/>
    <n v="109.26581899999999"/>
    <n v="-0.968978000000007"/>
    <n v="-14.789688000000012"/>
    <n v="57.95"/>
    <n v="20"/>
    <n v="116.150812"/>
    <n v="-0.68254199999999798"/>
    <n v="-16.812765999999982"/>
    <n v="57.95"/>
    <n v="20"/>
    <x v="17"/>
    <x v="10"/>
    <s v="April"/>
    <s v="2020-16"/>
  </r>
  <r>
    <d v="2020-04-20T00:00:00"/>
    <n v="108.63274699999999"/>
    <n v="-0.63307199999999852"/>
    <n v="-16.796422000000007"/>
    <n v="57.95"/>
    <n v="20"/>
    <n v="115.732573"/>
    <n v="-0.41823899999999981"/>
    <n v="-18.260471999999993"/>
    <n v="57.95"/>
    <n v="20"/>
    <x v="17"/>
    <x v="10"/>
    <s v="April"/>
    <s v="2020-17"/>
  </r>
  <r>
    <d v="2020-04-27T00:00:00"/>
    <n v="107.87505999999999"/>
    <n v="-0.75768700000000422"/>
    <n v="-18.485583000000005"/>
    <n v="57.95"/>
    <n v="20"/>
    <n v="115.21615199999999"/>
    <n v="-0.51642100000000823"/>
    <n v="-19.387759999999986"/>
    <n v="57.95"/>
    <n v="20"/>
    <x v="17"/>
    <x v="10"/>
    <s v="April"/>
    <s v="2020-18"/>
  </r>
  <r>
    <d v="2020-05-04T00:00:00"/>
    <n v="107.55538900000002"/>
    <n v="-0.31967099999997117"/>
    <n v="-19.941859999999991"/>
    <n v="57.95"/>
    <n v="20"/>
    <n v="114.93898399999999"/>
    <n v="-0.27716800000000319"/>
    <n v="-20.468478999999988"/>
    <n v="57.95"/>
    <n v="20"/>
    <x v="17"/>
    <x v="11"/>
    <s v="May"/>
    <s v="2020-19"/>
  </r>
  <r>
    <d v="2020-05-11T00:00:00"/>
    <n v="107.45436000000001"/>
    <n v="-0.10102900000001114"/>
    <n v="-20.516609000000003"/>
    <n v="57.95"/>
    <n v="20"/>
    <n v="114.827827"/>
    <n v="-0.11115699999999151"/>
    <n v="-20.530934999999985"/>
    <n v="57.95"/>
    <n v="20"/>
    <x v="17"/>
    <x v="11"/>
    <s v="May"/>
    <s v="2020-20"/>
  </r>
  <r>
    <d v="2020-05-18T00:00:00"/>
    <n v="105.093524"/>
    <n v="-2.3608360000000062"/>
    <n v="-23.415808999999996"/>
    <n v="57.95"/>
    <n v="20"/>
    <n v="112.22185500000001"/>
    <n v="-2.6059719999999942"/>
    <n v="-23.60071099999999"/>
    <n v="57.95"/>
    <n v="20"/>
    <x v="17"/>
    <x v="11"/>
    <s v="May"/>
    <s v="2020-21"/>
  </r>
  <r>
    <d v="2020-05-25T00:00:00"/>
    <n v="104.869348"/>
    <n v="-0.22417599999999993"/>
    <n v="-24.273221000000007"/>
    <n v="57.95"/>
    <n v="20"/>
    <n v="111.70437499999998"/>
    <n v="-0.51748000000002037"/>
    <n v="-24.742008000000013"/>
    <n v="57.95"/>
    <n v="20"/>
    <x v="17"/>
    <x v="11"/>
    <s v="May"/>
    <s v="2020-22"/>
  </r>
  <r>
    <d v="2020-06-01T00:00:00"/>
    <n v="105.17289400000001"/>
    <n v="0.30354600000001142"/>
    <n v="-24.234311999999989"/>
    <n v="57.95"/>
    <n v="20"/>
    <n v="111.76470599999999"/>
    <n v="6.033100000000502E-2"/>
    <n v="-24.628847000000007"/>
    <n v="57.95"/>
    <n v="20"/>
    <x v="17"/>
    <x v="0"/>
    <s v="June"/>
    <s v="2020-23"/>
  </r>
  <r>
    <d v="2020-06-08T00:00:00"/>
    <n v="105.73600500000001"/>
    <n v="0.56311099999999215"/>
    <n v="-23.149663000000004"/>
    <n v="57.95"/>
    <n v="20"/>
    <n v="111.98127599999998"/>
    <n v="0.21656999999999016"/>
    <n v="-23.420424000000025"/>
    <n v="57.95"/>
    <n v="20"/>
    <x v="17"/>
    <x v="0"/>
    <s v="June"/>
    <s v="2020-24"/>
  </r>
  <r>
    <d v="2020-06-15T00:00:00"/>
    <n v="106.37489600000001"/>
    <n v="0.63889100000000099"/>
    <n v="-21.285876999999985"/>
    <n v="57.95"/>
    <n v="20"/>
    <n v="112.531819"/>
    <n v="0.55054300000001888"/>
    <n v="-21.226636999999997"/>
    <n v="57.95"/>
    <n v="20"/>
    <x v="17"/>
    <x v="0"/>
    <s v="June"/>
    <s v="2020-25"/>
  </r>
  <r>
    <d v="2020-06-22T00:00:00"/>
    <n v="107.126"/>
    <n v="0.751103999999998"/>
    <n v="-19.537116000000012"/>
    <n v="57.95"/>
    <n v="20"/>
    <n v="112.98129300000001"/>
    <n v="0.44947400000000926"/>
    <n v="-18.832647999999992"/>
    <n v="57.95"/>
    <n v="20"/>
    <x v="17"/>
    <x v="0"/>
    <s v="June"/>
    <s v="2020-26"/>
  </r>
  <r>
    <d v="2020-06-29T00:00:00"/>
    <n v="108.30699300000001"/>
    <n v="1.1809930000000008"/>
    <n v="-18.180218000000011"/>
    <n v="57.95"/>
    <n v="20"/>
    <n v="114.10146400000001"/>
    <n v="1.1201709999999991"/>
    <n v="-17.453292999999988"/>
    <n v="57.95"/>
    <n v="20"/>
    <x v="17"/>
    <x v="0"/>
    <s v="June"/>
    <s v="2020-27"/>
  </r>
  <r>
    <d v="2020-07-06T00:00:00"/>
    <n v="109.42805100000001"/>
    <n v="1.121058000000005"/>
    <n v="-17.434562999999997"/>
    <n v="57.95"/>
    <n v="20"/>
    <n v="115.04871399999999"/>
    <n v="0.94724999999998261"/>
    <n v="-16.631992999999994"/>
    <n v="57.95"/>
    <n v="20"/>
    <x v="17"/>
    <x v="1"/>
    <s v="July"/>
    <s v="2020-28"/>
  </r>
  <r>
    <d v="2020-07-13T00:00:00"/>
    <n v="111.23659500000001"/>
    <n v="1.8085439999999977"/>
    <n v="-15.891318999999996"/>
    <n v="57.95"/>
    <n v="20"/>
    <n v="116.747501"/>
    <n v="1.69878700000001"/>
    <n v="-15.112347999999997"/>
    <n v="57.95"/>
    <n v="20"/>
    <x v="17"/>
    <x v="1"/>
    <s v="July"/>
    <s v="2020-29"/>
  </r>
  <r>
    <d v="2020-07-20T00:00:00"/>
    <n v="112.22999200000001"/>
    <n v="0.99339700000000164"/>
    <n v="-15.579278999999985"/>
    <n v="57.95"/>
    <n v="20"/>
    <n v="117.35308499999999"/>
    <n v="0.60558399999999324"/>
    <n v="-14.861163000000005"/>
    <n v="57.95"/>
    <n v="20"/>
    <x v="17"/>
    <x v="1"/>
    <s v="July"/>
    <s v="2020-30"/>
  </r>
  <r>
    <d v="2020-07-27T00:00:00"/>
    <n v="112.663618"/>
    <n v="0.43362599999998963"/>
    <n v="-15.370158999999987"/>
    <n v="57.95"/>
    <n v="20"/>
    <n v="117.75563200000001"/>
    <n v="0.40254700000001264"/>
    <n v="-14.840512000000004"/>
    <n v="57.95"/>
    <n v="20"/>
    <x v="17"/>
    <x v="1"/>
    <s v="July"/>
    <s v="2020-31"/>
  </r>
  <r>
    <d v="2020-08-03T00:00:00"/>
    <n v="112.91443100000001"/>
    <n v="0.25081300000000795"/>
    <n v="-15.455928"/>
    <n v="57.95"/>
    <n v="20"/>
    <n v="117.97414900000001"/>
    <n v="0.21851700000000562"/>
    <n v="-14.631583999999975"/>
    <n v="57.95"/>
    <n v="20"/>
    <x v="17"/>
    <x v="2"/>
    <s v="August"/>
    <s v="2020-32"/>
  </r>
  <r>
    <d v="2020-08-10T00:00:00"/>
    <n v="113.01709999999999"/>
    <n v="0.10266899999997747"/>
    <n v="-15.344142000000019"/>
    <n v="57.95"/>
    <n v="20"/>
    <n v="118.00904200000001"/>
    <n v="3.4892999999996732E-2"/>
    <n v="-14.579643999999988"/>
    <n v="57.95"/>
    <n v="20"/>
    <x v="17"/>
    <x v="2"/>
    <s v="August"/>
    <s v="2020-33"/>
  </r>
  <r>
    <d v="2020-08-17T00:00:00"/>
    <n v="113.037843"/>
    <n v="2.074300000001017E-2"/>
    <n v="-15.128139999999988"/>
    <n v="57.95"/>
    <n v="20"/>
    <n v="117.99622100000001"/>
    <n v="-1.2821000000002414E-2"/>
    <n v="-14.599766000000002"/>
    <n v="57.95"/>
    <n v="20"/>
    <x v="17"/>
    <x v="2"/>
    <s v="August"/>
    <s v="2020-34"/>
  </r>
  <r>
    <d v="2020-08-24T00:00:00"/>
    <n v="113.22045399999999"/>
    <n v="0.18261099999999431"/>
    <n v="-15.000582000000009"/>
    <n v="57.95"/>
    <n v="20"/>
    <n v="118.140108"/>
    <n v="0.14388699999999233"/>
    <n v="-14.370746999999994"/>
    <n v="57.95"/>
    <n v="20"/>
    <x v="17"/>
    <x v="2"/>
    <s v="August"/>
    <s v="2020-35"/>
  </r>
  <r>
    <d v="2020-08-31T00:00:00"/>
    <n v="113.292388"/>
    <n v="7.1934000000013043E-2"/>
    <n v="-14.571927000000002"/>
    <n v="57.95"/>
    <n v="20"/>
    <n v="118.181321"/>
    <n v="4.1212999999999056E-2"/>
    <n v="-14.109398999999996"/>
    <n v="57.95"/>
    <n v="20"/>
    <x v="17"/>
    <x v="2"/>
    <s v="August"/>
    <s v="2020-36"/>
  </r>
  <r>
    <d v="2020-09-07T00:00:00"/>
    <n v="113.36947799999999"/>
    <n v="7.7089999999984116E-2"/>
    <n v="-14.419938303000023"/>
    <n v="57.95"/>
    <n v="20"/>
    <n v="118.21793599999999"/>
    <n v="3.6614999999997622E-2"/>
    <n v="-13.668799888000009"/>
    <n v="57.95"/>
    <n v="20"/>
    <x v="17"/>
    <x v="3"/>
    <s v="September"/>
    <s v="2020-37"/>
  </r>
  <r>
    <d v="2020-09-14T00:00:00"/>
    <n v="113.324635"/>
    <n v="-4.4842999999985977E-2"/>
    <n v="-13.593600506000016"/>
    <n v="57.95"/>
    <n v="20"/>
    <n v="118.17559500000002"/>
    <n v="-4.234099999997909E-2"/>
    <n v="-13.170873079999978"/>
    <n v="57.95"/>
    <n v="20"/>
    <x v="17"/>
    <x v="3"/>
    <s v="September"/>
    <s v="2020-38"/>
  </r>
  <r>
    <d v="2020-09-21T00:00:00"/>
    <n v="113.30688185"/>
    <n v="-1.7753150000004325E-2"/>
    <n v="-13.472030464000014"/>
    <n v="57.95"/>
    <n v="20"/>
    <n v="118.16251131999999"/>
    <n v="-1.3083680000022468E-2"/>
    <n v="-13.360663344000017"/>
    <n v="57.95"/>
    <n v="20"/>
    <x v="17"/>
    <x v="3"/>
    <s v="September"/>
    <s v="2020-39"/>
  </r>
  <r>
    <d v="2020-09-28T00:00:00"/>
    <n v="113.297878"/>
    <n v="-9.0038499999991473E-3"/>
    <n v="-13.626086000000015"/>
    <n v="57.95"/>
    <n v="20"/>
    <n v="118.13608599999999"/>
    <n v="-2.6425320000001307E-2"/>
    <n v="-13.697763999999992"/>
    <n v="57.95"/>
    <n v="20"/>
    <x v="17"/>
    <x v="3"/>
    <s v="September"/>
    <s v="2020-40"/>
  </r>
  <r>
    <d v="2020-10-05T00:00:00"/>
    <n v="113.26167600000001"/>
    <n v="-3.6201999999988743E-2"/>
    <n v="-13.607818999999978"/>
    <n v="57.95"/>
    <n v="20"/>
    <n v="118.11395"/>
    <n v="-2.2135999999989053E-2"/>
    <n v="-13.706852999999981"/>
    <n v="57.95"/>
    <n v="20"/>
    <x v="17"/>
    <x v="4"/>
    <s v="October"/>
    <s v="2020-41"/>
  </r>
  <r>
    <d v="2020-10-12T00:00:00"/>
    <n v="113.18679400000001"/>
    <n v="-7.4882000000002336E-2"/>
    <n v="-13.719696999999982"/>
    <n v="57.95"/>
    <n v="20"/>
    <n v="118.05383999999999"/>
    <n v="-6.0110000000008768E-2"/>
    <n v="-13.839067999999983"/>
    <n v="57.95"/>
    <n v="20"/>
    <x v="17"/>
    <x v="4"/>
    <s v="October"/>
    <s v="2020-42"/>
  </r>
  <r>
    <d v="2020-10-19T00:00:00"/>
    <n v="113.18026999999999"/>
    <n v="-6.5240000000130749E-3"/>
    <n v="-13.222150000000013"/>
    <n v="57.95"/>
    <n v="20"/>
    <n v="118.075514"/>
    <n v="2.1674000000004412E-2"/>
    <n v="-13.203738999999985"/>
    <n v="57.95"/>
    <n v="20"/>
    <x v="17"/>
    <x v="4"/>
    <s v="October"/>
    <s v="2020-43"/>
  </r>
  <r>
    <d v="2020-10-26T00:00:00"/>
    <n v="113.14429299999999"/>
    <n v="-3.597700000000259E-2"/>
    <n v="-12.621220999999991"/>
    <n v="57.95"/>
    <n v="20"/>
    <n v="118.08094499999999"/>
    <n v="5.4309999999873071E-3"/>
    <n v="-12.522587000000016"/>
    <n v="57.95"/>
    <n v="20"/>
    <x v="17"/>
    <x v="4"/>
    <s v="October"/>
    <s v="2020-44"/>
  </r>
  <r>
    <d v="2020-11-02T00:00:00"/>
    <n v="113.10595099999998"/>
    <n v="-3.8342000000014309E-2"/>
    <n v="-12.452750000000023"/>
    <n v="57.95"/>
    <n v="20"/>
    <n v="118.056847"/>
    <n v="-2.4097999999980857E-2"/>
    <n v="-12.319247999999988"/>
    <n v="57.95"/>
    <n v="20"/>
    <x v="17"/>
    <x v="5"/>
    <s v="November"/>
    <s v="2020-45"/>
  </r>
  <r>
    <d v="2020-11-09T00:00:00"/>
    <n v="112.49738899999998"/>
    <n v="-0.60856199999999205"/>
    <n v="-13.096610000000027"/>
    <n v="57.95"/>
    <n v="20"/>
    <n v="117.276657"/>
    <n v="-0.7801900000000046"/>
    <n v="-13.148252999999983"/>
    <n v="57.95"/>
    <n v="20"/>
    <x v="17"/>
    <x v="5"/>
    <s v="November"/>
    <s v="2020-46"/>
  </r>
  <r>
    <d v="2020-11-16T00:00:00"/>
    <n v="112.346174"/>
    <n v="-0.15121499999997923"/>
    <n v="-13.236171999999996"/>
    <n v="57.95"/>
    <n v="20"/>
    <n v="117.06657200000001"/>
    <n v="-0.21008499999999231"/>
    <n v="-13.279022999999995"/>
    <n v="57.95"/>
    <n v="20"/>
    <x v="17"/>
    <x v="5"/>
    <s v="November"/>
    <s v="2020-47"/>
  </r>
  <r>
    <d v="2020-11-23T00:00:00"/>
    <n v="112.42064999999998"/>
    <n v="7.4475999999975784E-2"/>
    <n v="-12.899148000000025"/>
    <n v="57.95"/>
    <n v="20"/>
    <n v="117.13443100000001"/>
    <n v="6.7858999999998559E-2"/>
    <n v="-12.943882000000002"/>
    <n v="57.95"/>
    <n v="20"/>
    <x v="17"/>
    <x v="5"/>
    <s v="November"/>
    <s v="2020-48"/>
  </r>
  <r>
    <d v="2020-11-30T00:00:00"/>
    <n v="112.605412"/>
    <n v="0.18476200000002052"/>
    <n v="-12.203371000000004"/>
    <n v="57.95"/>
    <n v="20"/>
    <n v="117.40804"/>
    <n v="0.27360899999999333"/>
    <n v="-12.385793000000007"/>
    <n v="57.95"/>
    <n v="20"/>
    <x v="17"/>
    <x v="5"/>
    <s v="November"/>
    <s v="2020-49"/>
  </r>
  <r>
    <d v="2020-12-07T00:00:00"/>
    <n v="113.165696"/>
    <n v="0.56028399999999579"/>
    <n v="-11.582480000000004"/>
    <n v="57.95"/>
    <n v="20"/>
    <n v="117.98563099999998"/>
    <n v="0.57759099999998398"/>
    <n v="-11.804554000000024"/>
    <n v="57.95"/>
    <n v="20"/>
    <x v="17"/>
    <x v="6"/>
    <s v="December"/>
    <s v="2020-50"/>
  </r>
  <r>
    <d v="2020-12-14T00:00:00"/>
    <n v="113.817286"/>
    <n v="0.65158999999999878"/>
    <n v="-10.512684000000007"/>
    <n v="57.95"/>
    <n v="20"/>
    <n v="118.57419999999999"/>
    <n v="0.58856900000000678"/>
    <n v="-10.987561999999997"/>
    <n v="57.95"/>
    <n v="20"/>
    <x v="17"/>
    <x v="6"/>
    <s v="December"/>
    <s v="2020-51"/>
  </r>
  <r>
    <d v="2020-12-21T00:00:00"/>
    <n v="114.43232"/>
    <n v="0.61503400000000852"/>
    <n v="-9.7252199999999789"/>
    <n v="57.95"/>
    <n v="20"/>
    <n v="119.17143900000001"/>
    <n v="0.59723900000001606"/>
    <n v="-10.639693000000008"/>
    <n v="57.95"/>
    <n v="20"/>
    <x v="17"/>
    <x v="6"/>
    <s v="December"/>
    <s v="2020-52"/>
  </r>
  <r>
    <d v="2020-12-28T00:00:00"/>
    <n v="114.91116"/>
    <n v="0.47883999999999105"/>
    <n v="-10.05099100000001"/>
    <n v="57.95"/>
    <n v="20"/>
    <n v="119.65465"/>
    <n v="0.48321099999999717"/>
    <n v="-10.887395999999995"/>
    <n v="57.95"/>
    <n v="20"/>
    <x v="17"/>
    <x v="6"/>
    <s v="December"/>
    <s v="2020-53"/>
  </r>
  <r>
    <d v="2021-01-04T00:00:00"/>
    <n v="115.38540500000001"/>
    <n v="0.47424500000001046"/>
    <n v="-10.700463999999997"/>
    <n v="57.95"/>
    <n v="20"/>
    <n v="119.967465"/>
    <n v="0.31281500000000051"/>
    <n v="-11.587692000000004"/>
    <n v="57.95"/>
    <n v="20"/>
    <x v="18"/>
    <x v="7"/>
    <s v="January"/>
    <s v="2021-02"/>
  </r>
  <r>
    <d v="2021-01-11T00:00:00"/>
    <n v="116.14066200000001"/>
    <n v="0.75525700000000029"/>
    <n v="-11.026730000000001"/>
    <n v="57.95"/>
    <n v="20"/>
    <n v="120.61450400000001"/>
    <n v="0.64703900000000658"/>
    <n v="-12.073730999999981"/>
    <n v="57.95"/>
    <n v="20"/>
    <x v="18"/>
    <x v="7"/>
    <s v="January"/>
    <s v="2021-03"/>
  </r>
  <r>
    <d v="2021-01-18T00:00:00"/>
    <n v="116.930143"/>
    <n v="0.78948099999999499"/>
    <n v="-10.247084000000001"/>
    <n v="57.95"/>
    <n v="20"/>
    <n v="121.51814499999999"/>
    <n v="0.90364099999997904"/>
    <n v="-11.221609000000015"/>
    <n v="57.95"/>
    <n v="20"/>
    <x v="18"/>
    <x v="7"/>
    <s v="January"/>
    <s v="2021-04"/>
  </r>
  <r>
    <d v="2021-01-25T00:00:00"/>
    <n v="118.10299300000001"/>
    <n v="1.1728500000000111"/>
    <n v="-9.2315959999999961"/>
    <n v="57.95"/>
    <n v="20"/>
    <n v="122.704246"/>
    <n v="1.1861010000000078"/>
    <n v="-10.17663499999999"/>
    <n v="57.95"/>
    <n v="20"/>
    <x v="18"/>
    <x v="7"/>
    <s v="January"/>
    <s v="2021-05"/>
  </r>
  <r>
    <d v="2021-02-01T00:00:00"/>
    <n v="119.13775399999999"/>
    <n v="1.0347609999999747"/>
    <n v="-6.7103330000000057"/>
    <n v="57.95"/>
    <n v="20"/>
    <n v="123.700436"/>
    <n v="0.99618999999999858"/>
    <n v="-7.7752360000000067"/>
    <n v="57.95"/>
    <n v="20"/>
    <x v="18"/>
    <x v="8"/>
    <s v="February"/>
    <s v="2021-06"/>
  </r>
  <r>
    <d v="2021-02-08T00:00:00"/>
    <n v="119.667637"/>
    <n v="0.52988300000001232"/>
    <n v="-5.0617229999999864"/>
    <n v="57.95"/>
    <n v="20"/>
    <n v="124.087524"/>
    <n v="0.38708800000000565"/>
    <n v="-5.6169229999999857"/>
    <n v="57.95"/>
    <n v="20"/>
    <x v="18"/>
    <x v="8"/>
    <s v="February"/>
    <s v="2021-07"/>
  </r>
  <r>
    <d v="2021-02-15T00:00:00"/>
    <n v="120.52860500000001"/>
    <n v="0.86096800000001394"/>
    <n v="-3.2674699999999888"/>
    <n v="57.95"/>
    <n v="20"/>
    <n v="125.005819"/>
    <n v="0.91829500000000053"/>
    <n v="-3.1970299999999838"/>
    <n v="57.95"/>
    <n v="20"/>
    <x v="18"/>
    <x v="8"/>
    <s v="February"/>
    <s v="2021-08"/>
  </r>
  <r>
    <d v="2021-02-22T00:00:00"/>
    <n v="121.27478599999999"/>
    <n v="0.74618099999997867"/>
    <n v="-2.1716631529999972"/>
    <n v="57.95"/>
    <n v="20"/>
    <n v="125.71305400000001"/>
    <n v="0.70723500000001138"/>
    <n v="-1.9613724719999936"/>
    <n v="57.95"/>
    <n v="20"/>
    <x v="18"/>
    <x v="8"/>
    <s v="February"/>
    <s v="2021-09"/>
  </r>
  <r>
    <d v="2021-03-01T00:00:00"/>
    <n v="122.17319900000003"/>
    <n v="0.89841300000003343"/>
    <n v="-0.25807299999998179"/>
    <n v="57.95"/>
    <n v="20"/>
    <n v="126.62080400000001"/>
    <n v="0.90774999999999295"/>
    <n v="-1.6599999999868942E-3"/>
    <n v="57.95"/>
    <n v="20"/>
    <x v="18"/>
    <x v="9"/>
    <s v="March"/>
    <s v="2021-10"/>
  </r>
  <r>
    <d v="2021-03-08T00:00:00"/>
    <n v="122.9425"/>
    <n v="0.76930099999997026"/>
    <n v="0.69851900000000455"/>
    <n v="57.95"/>
    <n v="20"/>
    <n v="127.39864900000001"/>
    <n v="0.77784499999999923"/>
    <n v="1.1460010000000125"/>
    <n v="57.95"/>
    <n v="20"/>
    <x v="18"/>
    <x v="9"/>
    <s v="March"/>
    <s v="2021-11"/>
  </r>
  <r>
    <d v="2021-03-15T00:00:00"/>
    <n v="123.90088300000001"/>
    <n v="0.95838300000001198"/>
    <n v="3.5727140000000048"/>
    <n v="57.95"/>
    <n v="20"/>
    <n v="128.24372499999998"/>
    <n v="0.84507599999997751"/>
    <n v="3.880250999999987"/>
    <n v="57.95"/>
    <n v="20"/>
    <x v="18"/>
    <x v="9"/>
    <s v="March"/>
    <s v="2021-12"/>
  </r>
  <r>
    <d v="2021-03-22T00:00:00"/>
    <n v="124.56824700000001"/>
    <n v="0.66736400000000629"/>
    <n v="4.9237430000000302"/>
    <n v="57.95"/>
    <n v="20"/>
    <n v="129.01912099999998"/>
    <n v="0.77539600000000064"/>
    <n v="5.6096359999999947"/>
    <n v="57.95"/>
    <n v="20"/>
    <x v="18"/>
    <x v="9"/>
    <s v="March"/>
    <s v="2021-13"/>
  </r>
  <r>
    <d v="2021-03-29T00:00:00"/>
    <n v="125.126976"/>
    <n v="0.55872899999998538"/>
    <n v="12.674267"/>
    <n v="57.95"/>
    <n v="20"/>
    <n v="129.31510800000001"/>
    <n v="0.29598700000002509"/>
    <n v="10.717109999999991"/>
    <n v="57.95"/>
    <n v="20"/>
    <x v="18"/>
    <x v="9"/>
    <s v="March"/>
    <s v="2021-14"/>
  </r>
  <r>
    <d v="2021-04-05T00:00:00"/>
    <n v="125.24042299999999"/>
    <n v="0.11344699999999364"/>
    <n v="15.005625999999992"/>
    <n v="57.95"/>
    <n v="20"/>
    <n v="129.35074500000002"/>
    <n v="3.5637000000008356E-2"/>
    <n v="12.517391000000018"/>
    <n v="57.95"/>
    <n v="20"/>
    <x v="18"/>
    <x v="10"/>
    <s v="April"/>
    <s v="2021-15"/>
  </r>
  <r>
    <d v="2021-04-12T00:00:00"/>
    <n v="125.39819899999999"/>
    <n v="0.15777599999999836"/>
    <n v="16.132379999999998"/>
    <n v="57.95"/>
    <n v="20"/>
    <n v="129.387406"/>
    <n v="3.6660999999980959E-2"/>
    <n v="13.236593999999997"/>
    <n v="57.95"/>
    <n v="20"/>
    <x v="18"/>
    <x v="10"/>
    <s v="April"/>
    <s v="2021-16"/>
  </r>
  <r>
    <d v="2021-04-19T00:00:00"/>
    <n v="125.47801700000001"/>
    <n v="7.9818000000017264E-2"/>
    <n v="16.845270000000014"/>
    <n v="57.95"/>
    <n v="20"/>
    <n v="129.49358799999999"/>
    <n v="0.10618199999998978"/>
    <n v="13.761014999999986"/>
    <n v="57.95"/>
    <n v="20"/>
    <x v="18"/>
    <x v="10"/>
    <s v="April"/>
    <s v="2021-17"/>
  </r>
  <r>
    <d v="2021-04-26T00:00:00"/>
    <n v="125.79891173200001"/>
    <n v="0.32089473199999929"/>
    <n v="17.923851732000017"/>
    <n v="57.95"/>
    <n v="20"/>
    <n v="129.76547434399998"/>
    <n v="0.27188634399999501"/>
    <n v="14.549322343999989"/>
    <n v="57.95"/>
    <n v="20"/>
    <x v="18"/>
    <x v="10"/>
    <s v="April"/>
    <s v="2021-18"/>
  </r>
  <r>
    <d v="2021-05-03T00:00:00"/>
    <n v="126.09330899999999"/>
    <n v="0.29439726799998311"/>
    <n v="18.537919999999971"/>
    <n v="57.95"/>
    <n v="20"/>
    <n v="130.00239800000003"/>
    <n v="0.2369236560000445"/>
    <n v="15.063414000000037"/>
    <n v="57.95"/>
    <n v="20"/>
    <x v="18"/>
    <x v="11"/>
    <s v="May"/>
    <s v="2021-19"/>
  </r>
  <r>
    <d v="2021-05-10T00:00:00"/>
    <n v="126.52649100000002"/>
    <n v="0.4331820000000306"/>
    <n v="19.072131000000013"/>
    <n v="57.95"/>
    <n v="20"/>
    <n v="130.42744199999999"/>
    <n v="0.42504399999995712"/>
    <n v="15.599614999999986"/>
    <n v="57.95"/>
    <n v="20"/>
    <x v="18"/>
    <x v="11"/>
    <s v="May"/>
    <s v="2021-20"/>
  </r>
  <r>
    <d v="2021-05-17T00:00:00"/>
    <n v="127.19096"/>
    <n v="0.66446899999998266"/>
    <n v="22.097436000000002"/>
    <n v="57.95"/>
    <n v="20"/>
    <n v="131.02749500000002"/>
    <n v="0.60005300000003103"/>
    <n v="18.805640000000011"/>
    <n v="57.95"/>
    <n v="20"/>
    <x v="18"/>
    <x v="11"/>
    <s v="May"/>
    <s v="2021-21"/>
  </r>
  <r>
    <d v="2021-05-24T00:00:00"/>
    <n v="127.891299"/>
    <n v="0.7003389999999996"/>
    <n v="23.021951000000001"/>
    <n v="57.95"/>
    <n v="20"/>
    <n v="131.524766"/>
    <n v="0.49727099999998359"/>
    <n v="19.820391000000015"/>
    <n v="57.95"/>
    <n v="20"/>
    <x v="18"/>
    <x v="11"/>
    <s v="May"/>
    <s v="2021-22"/>
  </r>
  <r>
    <d v="2021-05-31T00:00:00"/>
    <n v="128.15261442799999"/>
    <n v="0.26131542799998897"/>
    <n v="22.979720427999979"/>
    <n v="57.95"/>
    <n v="20"/>
    <n v="131.81742053599999"/>
    <n v="0.29265453599998636"/>
    <n v="20.052714535999996"/>
    <n v="57.95"/>
    <n v="20"/>
    <x v="18"/>
    <x v="11"/>
    <s v="May"/>
    <s v="2021-23"/>
  </r>
  <r>
    <d v="2021-06-07T00:00:00"/>
    <n v="128.68976444100002"/>
    <n v="0.53715001300002996"/>
    <n v="22.953759441000017"/>
    <n v="57.95"/>
    <n v="20"/>
    <n v="132.38016402400001"/>
    <n v="0.56274348800002372"/>
    <n v="20.39888802400003"/>
    <n v="57.95"/>
    <n v="20"/>
    <x v="18"/>
    <x v="0"/>
    <s v="June"/>
    <s v="2021-24"/>
  </r>
  <r>
    <d v="2021-06-14T00:00:00"/>
    <n v="129.46886327999999"/>
    <n v="0.77909883899997112"/>
    <n v="23.093967279999987"/>
    <n v="57.95"/>
    <n v="20"/>
    <n v="133.17169439999998"/>
    <n v="0.79153037599996878"/>
    <n v="20.63987539999998"/>
    <n v="57.95"/>
    <n v="20"/>
    <x v="18"/>
    <x v="0"/>
    <s v="June"/>
    <s v="2021-25"/>
  </r>
  <r>
    <d v="2021-06-21T00:00:00"/>
    <n v="130.100022889"/>
    <n v="0.631159609000008"/>
    <n v="22.974022888999997"/>
    <n v="57.95"/>
    <n v="20"/>
    <n v="133.69090350399998"/>
    <n v="0.51920910399999798"/>
    <n v="20.709610503999969"/>
    <n v="57.95"/>
    <n v="20"/>
    <x v="18"/>
    <x v="0"/>
    <s v="June"/>
    <s v="2021-26"/>
  </r>
  <r>
    <d v="2021-06-28T00:00:00"/>
    <n v="130.72559449300002"/>
    <n v="0.62557160400001521"/>
    <n v="22.418601493000011"/>
    <n v="57.95"/>
    <n v="20"/>
    <n v="134.274534184"/>
    <n v="0.58363068000002727"/>
    <n v="20.173070183999997"/>
    <n v="57.95"/>
    <n v="20"/>
    <x v="18"/>
    <x v="0"/>
    <s v="June"/>
    <s v="2021-27"/>
  </r>
  <r>
    <d v="2021-07-05T00:00:00"/>
    <n v="131.69866500000001"/>
    <n v="0.97307050699998854"/>
    <n v="22.270613999999995"/>
    <n v="57.95"/>
    <n v="20"/>
    <n v="134.12504833333335"/>
    <n v="-0.14948585066665032"/>
    <n v="19.076334333333364"/>
    <n v="57.95"/>
    <n v="20"/>
    <x v="18"/>
    <x v="1"/>
    <s v="July"/>
    <s v="2021-28"/>
  </r>
  <r>
    <d v="2021-07-12T00:00:00"/>
    <n v="132.469697021"/>
    <n v="0.77103202099999635"/>
    <n v="21.233102020999993"/>
    <n v="57.95"/>
    <n v="20"/>
    <n v="135.28727276800001"/>
    <n v="1.1622244346666548"/>
    <n v="18.539771768000008"/>
    <n v="57.95"/>
    <n v="20"/>
    <x v="18"/>
    <x v="1"/>
    <s v="July"/>
    <s v="2021-29"/>
  </r>
  <r>
    <d v="2021-07-19T00:00:00"/>
    <n v="133.20211435699997"/>
    <n v="0.73241733599996905"/>
    <n v="20.972122356999961"/>
    <n v="57.95"/>
    <n v="20"/>
    <n v="135.94870184799998"/>
    <n v="0.66142907999997647"/>
    <n v="18.595616847999992"/>
    <n v="57.95"/>
    <n v="20"/>
    <x v="18"/>
    <x v="1"/>
    <s v="July"/>
    <s v="2021-30"/>
  </r>
  <r>
    <d v="2021-07-26T00:00:00"/>
    <n v="133.48252425000001"/>
    <n v="0.28040989300004071"/>
    <n v="20.818906250000012"/>
    <n v="57.95"/>
    <n v="20"/>
    <n v="136.20393364"/>
    <n v="0.25523179200001778"/>
    <n v="18.448301639999997"/>
    <n v="57.95"/>
    <n v="20"/>
    <x v="18"/>
    <x v="1"/>
    <s v="July"/>
    <s v="2021-31"/>
  </r>
  <r>
    <d v="2021-08-02T00:00:00"/>
    <n v="134.20827500000001"/>
    <n v="0.72575075000000311"/>
    <n v="21.293844000000007"/>
    <n v="57.95"/>
    <n v="20"/>
    <n v="136.88999999999999"/>
    <n v="0.68606635999998389"/>
    <n v="18.915850999999975"/>
    <n v="57.95"/>
    <n v="20"/>
    <x v="18"/>
    <x v="2"/>
    <s v="August"/>
    <s v="2021-32"/>
  </r>
  <r>
    <d v="2021-08-09T00:00:00"/>
    <n v="134.69871161"/>
    <n v="0.49043660999998906"/>
    <n v="21.681611610000019"/>
    <n v="57.95"/>
    <n v="20"/>
    <n v="137.31"/>
    <n v="0.42000000000001592"/>
    <n v="19.300957999999994"/>
    <n v="57.95"/>
    <n v="20"/>
    <x v="18"/>
    <x v="2"/>
    <s v="August"/>
    <s v="2021-33"/>
  </r>
  <r>
    <d v="2021-08-16T00:00:00"/>
    <n v="134.70406100000002"/>
    <n v="5.3493900000205485E-3"/>
    <n v="21.666218000000029"/>
    <n v="57.95"/>
    <n v="20"/>
    <n v="136.77000000000001"/>
    <n v="-0.53999999999999204"/>
    <n v="18.773779000000005"/>
    <n v="57.95"/>
    <n v="20"/>
    <x v="18"/>
    <x v="2"/>
    <s v="August"/>
    <s v="2021-34"/>
  </r>
  <r>
    <d v="2021-08-23T00:00:00"/>
    <n v="134.678586"/>
    <n v="-2.5475000000028558E-2"/>
    <n v="21.458132000000006"/>
    <n v="57.95"/>
    <n v="20"/>
    <n v="137.15"/>
    <n v="0.37999999999999545"/>
    <n v="19.009892000000008"/>
    <n v="57.95"/>
    <n v="20"/>
    <x v="18"/>
    <x v="2"/>
    <s v="August"/>
    <s v="2021-35"/>
  </r>
  <r>
    <d v="2021-08-30T00:00:00"/>
    <n v="134.66"/>
    <n v="-1.8585999999999103E-2"/>
    <n v="21.367611999999994"/>
    <n v="57.95"/>
    <n v="20"/>
    <n v="137.11000000000001"/>
    <n v="-3.9999999999992042E-2"/>
    <n v="18.928679000000017"/>
    <n v="57.95"/>
    <n v="20"/>
    <x v="18"/>
    <x v="2"/>
    <s v="August"/>
    <s v="2021-36"/>
  </r>
  <r>
    <d v="2021-09-06T00:00:00"/>
    <n v="134.76"/>
    <n v="9.9999999999994316E-2"/>
    <n v="21.390522000000004"/>
    <n v="57.95"/>
    <n v="20"/>
    <n v="137.19"/>
    <n v="7.9999999999984084E-2"/>
    <n v="18.972064000000003"/>
    <n v="57.95"/>
    <n v="20"/>
    <x v="18"/>
    <x v="3"/>
    <s v="September"/>
    <s v="2021-37"/>
  </r>
  <r>
    <d v="2021-09-13T00:00:00"/>
    <n v="134.75"/>
    <n v="-9.9999999999909051E-3"/>
    <n v="21.425364999999999"/>
    <n v="57.95"/>
    <n v="20"/>
    <n v="137.19"/>
    <n v="0"/>
    <n v="19.014404999999982"/>
    <n v="57.95"/>
    <n v="20"/>
    <x v="18"/>
    <x v="3"/>
    <s v="September"/>
    <s v="2021-38"/>
  </r>
  <r>
    <d v="2021-09-20T00:00:00"/>
    <n v="134.86000000000001"/>
    <n v="0.11000000000001364"/>
    <n v="21.553118150000017"/>
    <n v="57.95"/>
    <n v="20"/>
    <n v="137.35"/>
    <n v="0.15999999999999659"/>
    <n v="19.187488680000001"/>
    <n v="57.95"/>
    <n v="20"/>
    <x v="18"/>
    <x v="3"/>
    <s v="September"/>
    <s v="2021-39"/>
  </r>
  <r>
    <d v="2021-09-27T00:00:00"/>
    <n v="135.19301399999998"/>
    <n v="0.33301399999996306"/>
    <n v="21.89513599999998"/>
    <n v="57.95"/>
    <n v="20"/>
    <n v="137.951247"/>
    <n v="0.60124700000000075"/>
    <n v="19.815161000000003"/>
    <n v="57.95"/>
    <n v="20"/>
    <x v="18"/>
    <x v="3"/>
    <s v="September"/>
    <s v="2021-40"/>
  </r>
  <r>
    <d v="2021-10-04T00:00:00"/>
    <n v="136.1"/>
    <n v="0.90698600000001761"/>
    <n v="22.838323999999986"/>
    <n v="57.95"/>
    <n v="20"/>
    <n v="139.19999999999999"/>
    <n v="1.2487529999999936"/>
    <n v="21.086049999999986"/>
    <n v="57.95"/>
    <n v="20"/>
    <x v="18"/>
    <x v="4"/>
    <s v="October"/>
    <s v="2021-41"/>
  </r>
  <r>
    <d v="2021-10-11T00:00:00"/>
    <n v="137.16999999999999"/>
    <n v="1.0699999999999932"/>
    <n v="23.983205999999981"/>
    <n v="57.95"/>
    <n v="20"/>
    <n v="140.66"/>
    <n v="1.460000000000008"/>
    <n v="22.606160000000003"/>
    <n v="57.95"/>
    <n v="20"/>
    <x v="18"/>
    <x v="4"/>
    <s v="October"/>
    <s v="2021-42"/>
  </r>
  <r>
    <d v="2021-10-18T00:00:00"/>
    <n v="139.46"/>
    <n v="2.2900000000000205"/>
    <n v="26.279730000000015"/>
    <n v="57.95"/>
    <n v="20"/>
    <n v="143.19"/>
    <n v="2.5300000000000011"/>
    <n v="25.114485999999999"/>
    <n v="57.95"/>
    <n v="20"/>
    <x v="18"/>
    <x v="4"/>
    <s v="October"/>
    <s v="2021-43"/>
  </r>
  <r>
    <d v="2021-10-25T00:00:00"/>
    <n v="141.81"/>
    <n v="2.3499999999999943"/>
    <n v="28.665707000000012"/>
    <n v="57.95"/>
    <n v="20"/>
    <n v="145.9"/>
    <n v="2.710000000000008"/>
    <n v="27.81905500000002"/>
    <n v="57.95"/>
    <n v="20"/>
    <x v="18"/>
    <x v="4"/>
    <s v="October"/>
    <s v="2021-44"/>
  </r>
  <r>
    <d v="2021-11-01T00:00:00"/>
    <n v="143.69999999999999"/>
    <n v="1.8899999999999864"/>
    <n v="30.594049000000012"/>
    <n v="57.95"/>
    <n v="20"/>
    <n v="147.47999999999999"/>
    <n v="1.5799999999999841"/>
    <n v="29.423152999999985"/>
    <n v="57.95"/>
    <n v="20"/>
    <x v="18"/>
    <x v="5"/>
    <s v="November"/>
    <s v="2021-45"/>
  </r>
  <r>
    <d v="2021-11-08T00:00:00"/>
    <n v="144.9"/>
    <n v="1.2000000000000171"/>
    <n v="32.402611000000022"/>
    <n v="57.95"/>
    <n v="20"/>
    <n v="148.84"/>
    <n v="1.3600000000000136"/>
    <n v="31.563343000000003"/>
    <n v="57.95"/>
    <n v="20"/>
    <x v="18"/>
    <x v="5"/>
    <s v="November"/>
    <s v="2021-46"/>
  </r>
  <r>
    <d v="2021-11-15T00:00:00"/>
    <n v="145.87"/>
    <n v="0.96999999999999886"/>
    <n v="33.523826"/>
    <n v="57.95"/>
    <n v="20"/>
    <n v="149.76"/>
    <n v="0.91999999999998749"/>
    <n v="32.693427999999983"/>
    <n v="57.95"/>
    <n v="20"/>
    <x v="18"/>
    <x v="5"/>
    <s v="November"/>
    <s v="2021-47"/>
  </r>
  <r>
    <d v="2021-11-22T00:00:00"/>
    <n v="146.88896"/>
    <n v="1.0189599999999928"/>
    <n v="34.468310000000017"/>
    <n v="57.95"/>
    <n v="20"/>
    <n v="150.73128299999999"/>
    <n v="0.97128299999999967"/>
    <n v="33.596851999999984"/>
    <n v="57.95"/>
    <n v="20"/>
    <x v="18"/>
    <x v="5"/>
    <s v="November"/>
    <s v="2021-48"/>
  </r>
  <r>
    <d v="2021-11-29T00:00:00"/>
    <n v="147.53"/>
    <n v="0.64104000000000383"/>
    <n v="34.924588"/>
    <n v="57.95"/>
    <n v="20"/>
    <n v="151.31"/>
    <n v="0.57871700000001169"/>
    <n v="33.901960000000003"/>
    <n v="57.95"/>
    <n v="20"/>
    <x v="18"/>
    <x v="5"/>
    <s v="November"/>
    <s v="2021-49"/>
  </r>
  <r>
    <d v="2021-12-06T00:00:00"/>
    <n v="146.88999999999999"/>
    <n v="-0.64000000000001478"/>
    <n v="33.724303999999989"/>
    <n v="57.95"/>
    <n v="20"/>
    <n v="150.61000000000001"/>
    <n v="-0.69999999999998863"/>
    <n v="32.62436900000003"/>
    <n v="57.95"/>
    <n v="20"/>
    <x v="18"/>
    <x v="6"/>
    <s v="December"/>
    <s v="2021-50"/>
  </r>
  <r>
    <d v="2021-12-13T00:00:00"/>
    <n v="146.22"/>
    <n v="-0.66999999999998749"/>
    <n v="32.402714000000003"/>
    <n v="57.95"/>
    <n v="20"/>
    <n v="149.88"/>
    <n v="-0.73000000000001819"/>
    <n v="31.305800000000005"/>
    <n v="57.95"/>
    <n v="20"/>
    <x v="18"/>
    <x v="6"/>
    <s v="December"/>
    <s v="2021-51"/>
  </r>
  <r>
    <d v="2021-12-20T00:00:00"/>
    <n v="145.16"/>
    <n v="-1.0600000000000023"/>
    <n v="30.727679999999992"/>
    <n v="57.95"/>
    <n v="20"/>
    <n v="148.88999999999999"/>
    <n v="-0.99000000000000909"/>
    <n v="29.71856099999998"/>
    <n v="57.95"/>
    <n v="20"/>
    <x v="18"/>
    <x v="6"/>
    <s v="December"/>
    <s v="2021-52"/>
  </r>
  <r>
    <d v="2021-12-27T00:00:00"/>
    <n v="144.91999999999999"/>
    <n v="-0.24000000000000909"/>
    <n v="30.008839999999992"/>
    <n v="57.95"/>
    <n v="20"/>
    <n v="148.82"/>
    <n v="-6.9999999999993179E-2"/>
    <n v="29.165349999999989"/>
    <n v="57.95"/>
    <n v="20"/>
    <x v="18"/>
    <x v="6"/>
    <s v="December"/>
    <s v="2021-53"/>
  </r>
  <r>
    <d v="2022-01-03T00:00:00"/>
    <n v="145.04"/>
    <n v="0.12000000000000455"/>
    <n v="29.654594999999986"/>
    <n v="57.95"/>
    <n v="20"/>
    <n v="148.85"/>
    <n v="3.0000000000001137E-2"/>
    <n v="28.88253499999999"/>
    <n v="57.95"/>
    <n v="20"/>
    <x v="19"/>
    <x v="7"/>
    <s v="January"/>
    <s v="2022-02"/>
  </r>
  <r>
    <d v="2022-01-10T00:00:00"/>
    <n v="144.82"/>
    <n v="-0.21999999999999886"/>
    <n v="28.679337999999987"/>
    <n v="57.95"/>
    <n v="20"/>
    <n v="148.65"/>
    <n v="-0.19999999999998863"/>
    <n v="28.035495999999995"/>
    <n v="57.95"/>
    <n v="20"/>
    <x v="19"/>
    <x v="7"/>
    <s v="January"/>
    <s v="2022-03"/>
  </r>
  <r>
    <d v="2022-01-17T00:00:00"/>
    <n v="144.80000000000001"/>
    <n v="-1.999999999998181E-2"/>
    <n v="27.86985700000001"/>
    <n v="57.95"/>
    <n v="20"/>
    <n v="148.69999999999999"/>
    <n v="4.9999999999982947E-2"/>
    <n v="27.181854999999999"/>
    <n v="57.95"/>
    <n v="20"/>
    <x v="19"/>
    <x v="7"/>
    <s v="January"/>
    <s v="2022-04"/>
  </r>
  <r>
    <d v="2022-01-24T00:00:00"/>
    <n v="144.87"/>
    <n v="6.9999999999993179E-2"/>
    <n v="26.767006999999992"/>
    <n v="57.95"/>
    <n v="20"/>
    <n v="148.81"/>
    <n v="0.11000000000001364"/>
    <n v="26.105754000000005"/>
    <n v="57.95"/>
    <n v="20"/>
    <x v="19"/>
    <x v="7"/>
    <s v="January"/>
    <s v="2022-05"/>
  </r>
  <r>
    <d v="2022-01-31T00:00:00"/>
    <n v="145.74"/>
    <n v="0.87000000000000455"/>
    <n v="26.602246000000022"/>
    <n v="57.95"/>
    <n v="20"/>
    <n v="149.68"/>
    <n v="0.87000000000000455"/>
    <n v="25.979564000000011"/>
    <n v="57.95"/>
    <n v="20"/>
    <x v="19"/>
    <x v="7"/>
    <s v="January"/>
    <s v="2022-06"/>
  </r>
  <r>
    <d v="2022-02-07T00:00:00"/>
    <n v="146.33000000000001"/>
    <n v="0.59000000000000341"/>
    <n v="26.662363000000013"/>
    <n v="57.95"/>
    <n v="20"/>
    <n v="150.30000000000001"/>
    <n v="0.62000000000000455"/>
    <n v="26.212476000000009"/>
    <n v="57.95"/>
    <n v="20"/>
    <x v="19"/>
    <x v="8"/>
    <s v="February"/>
    <s v="2022-07"/>
  </r>
  <r>
    <d v="2022-02-14T00:00:00"/>
    <n v="146.94999999999999"/>
    <n v="0.61999999999997613"/>
    <n v="26.421394999999976"/>
    <n v="57.95"/>
    <n v="20"/>
    <n v="151.1"/>
    <n v="0.79999999999998295"/>
    <n v="26.094180999999992"/>
    <n v="57.95"/>
    <n v="20"/>
    <x v="19"/>
    <x v="8"/>
    <s v="February"/>
    <s v="2022-08"/>
  </r>
  <r>
    <d v="2022-02-21T00:00:00"/>
    <n v="147.77000000000001"/>
    <n v="0.8200000000000216"/>
    <n v="26.495214000000018"/>
    <n v="57.95"/>
    <n v="20"/>
    <n v="151.94999999999999"/>
    <n v="0.84999999999999432"/>
    <n v="26.236945999999975"/>
    <n v="57.95"/>
    <n v="20"/>
    <x v="19"/>
    <x v="8"/>
    <s v="February"/>
    <s v="2022-09"/>
  </r>
  <r>
    <d v="2022-02-28T00:00:00"/>
    <n v="149.22"/>
    <n v="1.4499999999999886"/>
    <n v="27.046800999999974"/>
    <n v="57.95"/>
    <n v="20"/>
    <n v="153.36000000000001"/>
    <n v="1.410000000000025"/>
    <n v="26.739196000000007"/>
    <n v="57.95"/>
    <n v="20"/>
    <x v="19"/>
    <x v="8"/>
    <s v="February"/>
    <s v="2022-10"/>
  </r>
  <r>
    <d v="2022-03-07T00:00:00"/>
    <n v="152.94999999999999"/>
    <n v="3.7299999999999898"/>
    <n v="30.007499999999993"/>
    <n v="57.95"/>
    <n v="20"/>
    <n v="158.56"/>
    <n v="5.1999999999999886"/>
    <n v="31.161350999999996"/>
    <n v="57.95"/>
    <n v="20"/>
    <x v="19"/>
    <x v="9"/>
    <s v="March"/>
    <s v="2022-11"/>
  </r>
  <r>
    <d v="2022-03-14T00:00:00"/>
    <n v="159.96"/>
    <n v="7.0100000000000193"/>
    <n v="36.059117000000001"/>
    <n v="57.95"/>
    <n v="20"/>
    <n v="169.48"/>
    <n v="10.919999999999987"/>
    <n v="41.236275000000006"/>
    <n v="57.95"/>
    <n v="20"/>
    <x v="19"/>
    <x v="9"/>
    <s v="March"/>
    <s v="2022-12"/>
  </r>
  <r>
    <d v="2022-03-21T00:00:00"/>
    <n v="165.37"/>
    <n v="5.4099999999999966"/>
    <n v="40.801752999999991"/>
    <n v="57.95"/>
    <n v="20"/>
    <n v="177.47"/>
    <n v="7.9900000000000091"/>
    <n v="48.450879000000015"/>
    <n v="57.95"/>
    <n v="20"/>
    <x v="19"/>
    <x v="9"/>
    <s v="March"/>
    <s v="2022-13"/>
  </r>
  <r>
    <d v="2022-03-28T00:00:00"/>
    <n v="162.65176899999997"/>
    <n v="-2.7182310000000314"/>
    <n v="37.524792999999974"/>
    <n v="52.95"/>
    <n v="20"/>
    <n v="176.44240299999998"/>
    <n v="-1.0275970000000143"/>
    <n v="47.127294999999975"/>
    <n v="52.95"/>
    <n v="20"/>
    <x v="19"/>
    <x v="9"/>
    <s v="March"/>
    <s v="2022-14"/>
  </r>
  <r>
    <d v="2022-04-04T00:00:00"/>
    <n v="161.91"/>
    <n v="-0.74176899999997659"/>
    <n v="36.669577000000004"/>
    <n v="52.95"/>
    <n v="20"/>
    <n v="176"/>
    <n v="-0.44240299999998456"/>
    <n v="46.649254999999982"/>
    <n v="52.95"/>
    <n v="20"/>
    <x v="19"/>
    <x v="10"/>
    <s v="April"/>
    <s v="2022-15"/>
  </r>
  <r>
    <d v="2022-04-11T00:00:00"/>
    <n v="161.78"/>
    <n v="-0.12999999999999545"/>
    <n v="36.38180100000001"/>
    <n v="52.95"/>
    <n v="20"/>
    <n v="176.22"/>
    <n v="0.21999999999999886"/>
    <n v="46.832594"/>
    <n v="52.95"/>
    <n v="20"/>
    <x v="19"/>
    <x v="10"/>
    <s v="April"/>
    <s v="2022-16"/>
  </r>
  <r>
    <d v="2022-04-18T00:00:00"/>
    <n v="161.67102399999996"/>
    <n v="-0.10897600000004104"/>
    <n v="36.193006999999952"/>
    <n v="52.95"/>
    <n v="20"/>
    <n v="175.92927700000001"/>
    <n v="-0.29072299999998563"/>
    <n v="46.435689000000025"/>
    <n v="52.95"/>
    <n v="20"/>
    <x v="19"/>
    <x v="10"/>
    <s v="April"/>
    <s v="2022-17"/>
  </r>
  <r>
    <d v="2022-04-25T00:00:00"/>
    <n v="161.83973200000003"/>
    <n v="0.16870800000006625"/>
    <n v="36.040820268000019"/>
    <n v="52.95"/>
    <n v="20"/>
    <n v="176.33440100000001"/>
    <n v="0.40512400000000071"/>
    <n v="46.568926656000031"/>
    <n v="52.95"/>
    <n v="20"/>
    <x v="19"/>
    <x v="10"/>
    <s v="April"/>
    <s v="2022-18"/>
  </r>
  <r>
    <d v="2022-05-02T00:00:00"/>
    <n v="162.47569400000003"/>
    <n v="0.63596200000000636"/>
    <n v="36.382385000000042"/>
    <n v="52.95"/>
    <n v="20"/>
    <n v="177.06366299999999"/>
    <n v="0.72926199999997721"/>
    <n v="47.061264999999963"/>
    <n v="52.95"/>
    <n v="20"/>
    <x v="19"/>
    <x v="11"/>
    <s v="May"/>
    <s v="2022-19"/>
  </r>
  <r>
    <d v="2022-05-09T00:00:00"/>
    <n v="163.67961200000002"/>
    <n v="1.2039179999999874"/>
    <n v="37.153120999999999"/>
    <n v="52.95"/>
    <n v="20"/>
    <n v="178.39"/>
    <n v="1.3263369999999952"/>
    <n v="47.962558000000001"/>
    <n v="52.95"/>
    <n v="20"/>
    <x v="19"/>
    <x v="11"/>
    <s v="May"/>
    <s v="2022-20"/>
  </r>
  <r>
    <d v="2022-05-16T00:00:00"/>
    <n v="165.090406"/>
    <n v="1.4107939999999815"/>
    <n v="37.899445999999998"/>
    <n v="52.95"/>
    <n v="20"/>
    <n v="179.67"/>
    <n v="1.2800000000000011"/>
    <n v="48.642504999999971"/>
    <n v="52.95"/>
    <n v="20"/>
    <x v="19"/>
    <x v="11"/>
    <s v="May"/>
    <s v="2022-21"/>
  </r>
  <r>
    <d v="2022-05-23T00:00:00"/>
    <n v="167.58508"/>
    <n v="2.4946740000000034"/>
    <n v="39.693781000000001"/>
    <n v="52.95"/>
    <n v="20"/>
    <n v="181.162485"/>
    <n v="1.4924850000000163"/>
    <n v="49.637719000000004"/>
    <n v="52.95"/>
    <n v="20"/>
    <x v="19"/>
    <x v="11"/>
    <s v="May"/>
    <s v="2022-22"/>
  </r>
  <r>
    <d v="2022-05-30T00:00:00"/>
    <n v="170.35609500000001"/>
    <n v="2.7710150000000056"/>
    <n v="42.203480572000018"/>
    <n v="52.95"/>
    <n v="20"/>
    <n v="182.24970200000001"/>
    <n v="1.0872170000000096"/>
    <n v="50.432281464000027"/>
    <n v="52.95"/>
    <n v="20"/>
    <x v="19"/>
    <x v="11"/>
    <s v="May"/>
    <s v="2022-23"/>
  </r>
  <r>
    <d v="2022-06-06T00:00:00"/>
    <n v="174.994575"/>
    <n v="4.6384799999999871"/>
    <n v="46.304810558999975"/>
    <n v="52.95"/>
    <n v="20"/>
    <n v="184.94319000000002"/>
    <n v="2.6934880000000021"/>
    <n v="52.563025976000006"/>
    <n v="52.95"/>
    <n v="20"/>
    <x v="19"/>
    <x v="0"/>
    <s v="June"/>
    <s v="2022-24"/>
  </r>
  <r>
    <d v="2022-06-13T00:00:00"/>
    <n v="182.53120700000002"/>
    <n v="7.5366320000000258"/>
    <n v="53.06234372000003"/>
    <n v="52.95"/>
    <n v="20"/>
    <n v="190.43459200000001"/>
    <n v="5.4914019999999937"/>
    <n v="57.262897600000031"/>
    <n v="52.95"/>
    <n v="20"/>
    <x v="19"/>
    <x v="0"/>
    <s v="June"/>
    <s v="2022-25"/>
  </r>
  <r>
    <d v="2022-06-20T00:00:00"/>
    <n v="186.84526099999999"/>
    <n v="4.3140539999999703"/>
    <n v="56.745238110999992"/>
    <n v="52.95"/>
    <n v="20"/>
    <n v="194.87"/>
    <n v="4.4354079999999954"/>
    <n v="61.179096496000028"/>
    <n v="52.95"/>
    <n v="20"/>
    <x v="19"/>
    <x v="0"/>
    <s v="June"/>
    <s v="2022-26"/>
  </r>
  <r>
    <d v="2022-06-27T00:00:00"/>
    <n v="190.92684500000004"/>
    <n v="4.0815840000000492"/>
    <n v="60.201250507000026"/>
    <n v="52.95"/>
    <n v="20"/>
    <n v="198.93"/>
    <n v="4.0600000000000023"/>
    <n v="64.655465816000003"/>
    <n v="52.95"/>
    <n v="20"/>
    <x v="19"/>
    <x v="0"/>
    <s v="June"/>
    <s v="2022-27"/>
  </r>
  <r>
    <d v="2022-07-04T00:00:00"/>
    <n v="191.546629"/>
    <n v="0.61978399999995304"/>
    <n v="59.84796399999999"/>
    <n v="52.95"/>
    <n v="20"/>
    <n v="199.22"/>
    <n v="0.28999999999999204"/>
    <n v="65.094951666666645"/>
    <n v="52.95"/>
    <n v="20"/>
    <x v="19"/>
    <x v="1"/>
    <s v="July"/>
    <s v="2022-28"/>
  </r>
  <r>
    <d v="2022-07-11T00:00:00"/>
    <n v="190.62513000000001"/>
    <n v="-0.92149899999998297"/>
    <n v="58.155432979000011"/>
    <n v="52.95"/>
    <n v="20"/>
    <n v="198.74"/>
    <n v="-0.47999999999998977"/>
    <n v="63.452727232000001"/>
    <n v="52.95"/>
    <n v="20"/>
    <x v="19"/>
    <x v="1"/>
    <s v="July"/>
    <s v="2022-29"/>
  </r>
  <r>
    <d v="2022-07-18T00:00:00"/>
    <n v="188.91708299999999"/>
    <n v="-1.7080470000000219"/>
    <n v="55.71496864300002"/>
    <n v="52.95"/>
    <n v="20"/>
    <n v="197.53"/>
    <n v="-1.210000000000008"/>
    <n v="61.581298152000016"/>
    <n v="52.95"/>
    <n v="20"/>
    <x v="19"/>
    <x v="1"/>
    <s v="July"/>
    <s v="2022-30"/>
  </r>
  <r>
    <d v="2022-07-25T00:00:00"/>
    <n v="186.60049500000002"/>
    <n v="-2.3165879999999675"/>
    <n v="53.117970750000012"/>
    <n v="52.95"/>
    <n v="20"/>
    <n v="195.88"/>
    <n v="-1.6500000000000057"/>
    <n v="59.676066359999993"/>
    <n v="52.95"/>
    <n v="20"/>
    <x v="19"/>
    <x v="1"/>
    <s v="July"/>
    <s v="2022-31"/>
  </r>
  <r>
    <d v="2022-08-01T00:00:00"/>
    <n v="182.76847199999997"/>
    <n v="-3.8320230000000493"/>
    <n v="48.56019699999996"/>
    <n v="52.95"/>
    <n v="20"/>
    <n v="193.04"/>
    <n v="-2.8400000000000034"/>
    <n v="56.150000000000006"/>
    <n v="52.95"/>
    <n v="20"/>
    <x v="19"/>
    <x v="2"/>
    <s v="August"/>
    <s v="2022-32"/>
  </r>
  <r>
    <d v="2022-08-08T00:00:00"/>
    <n v="177.64077200000003"/>
    <n v="-5.1276999999999475"/>
    <n v="42.942060390000023"/>
    <n v="52.95"/>
    <n v="20"/>
    <n v="188.49"/>
    <n v="-4.5499999999999829"/>
    <n v="51.180000000000007"/>
    <n v="52.95"/>
    <n v="20"/>
    <x v="19"/>
    <x v="2"/>
    <s v="August"/>
    <s v="2022-33"/>
  </r>
  <r>
    <d v="2022-08-15T00:00:00"/>
    <n v="174.18753099999998"/>
    <n v="-3.4532410000000482"/>
    <n v="39.483469999999954"/>
    <n v="52.95"/>
    <n v="20"/>
    <n v="185.16"/>
    <n v="-3.3300000000000125"/>
    <n v="48.389999999999986"/>
    <n v="52.95"/>
    <n v="20"/>
    <x v="19"/>
    <x v="2"/>
    <s v="August"/>
    <s v="2022-34"/>
  </r>
  <r>
    <d v="2022-08-22T00:00:00"/>
    <n v="171.14228399999999"/>
    <n v="-3.0452469999999892"/>
    <n v="36.463697999999994"/>
    <n v="52.95"/>
    <n v="20"/>
    <n v="182.92"/>
    <n v="-2.2400000000000091"/>
    <n v="45.769999999999982"/>
    <n v="52.95"/>
    <n v="20"/>
    <x v="19"/>
    <x v="2"/>
    <s v="August"/>
    <s v="2022-35"/>
  </r>
  <r>
    <d v="2022-08-29T00:00:00"/>
    <n v="170.11870199999998"/>
    <n v="-1.0235820000000047"/>
    <n v="35.458701999999988"/>
    <n v="52.95"/>
    <n v="20"/>
    <n v="183.2"/>
    <n v="0.28000000000000114"/>
    <n v="46.089999999999975"/>
    <n v="52.95"/>
    <n v="20"/>
    <x v="19"/>
    <x v="2"/>
    <s v="August"/>
    <s v="2022-36"/>
  </r>
  <r>
    <d v="2022-09-05T00:00:00"/>
    <n v="168.92694599999999"/>
    <n v="-1.191755999999998"/>
    <n v="34.166945999999996"/>
    <n v="52.95"/>
    <n v="20"/>
    <n v="182.82"/>
    <n v="-0.37999999999999545"/>
    <n v="45.629999999999995"/>
    <n v="52.95"/>
    <n v="20"/>
    <x v="19"/>
    <x v="3"/>
    <s v="September"/>
    <s v="2022-37"/>
  </r>
  <r>
    <d v="2022-09-12T00:00:00"/>
    <n v="167.60933499999999"/>
    <n v="-1.3176109999999994"/>
    <n v="32.859334999999987"/>
    <n v="52.95"/>
    <n v="20"/>
    <n v="182.22"/>
    <n v="-0.59999999999999432"/>
    <n v="45.03"/>
    <n v="52.95"/>
    <n v="20"/>
    <x v="19"/>
    <x v="3"/>
    <s v="September"/>
    <s v="2022-38"/>
  </r>
  <r>
    <d v="2022-09-19T00:00:00"/>
    <n v="165.47258199999999"/>
    <n v="-2.1367529999999988"/>
    <n v="30.612581999999975"/>
    <n v="52.95"/>
    <n v="20"/>
    <n v="181.13"/>
    <n v="-1.0900000000000034"/>
    <n v="43.78"/>
    <n v="52.95"/>
    <n v="20"/>
    <x v="19"/>
    <x v="3"/>
    <s v="September"/>
    <s v="2022-39"/>
  </r>
  <r>
    <d v="2022-09-26T00:00:00"/>
    <n v="164.00275900000003"/>
    <n v="-1.4698229999999626"/>
    <n v="28.809745000000049"/>
    <n v="52.95"/>
    <n v="20"/>
    <n v="180.46"/>
    <n v="-0.66999999999998749"/>
    <n v="42.508753000000013"/>
    <n v="52.95"/>
    <n v="20"/>
    <x v="19"/>
    <x v="3"/>
    <s v="September"/>
    <s v="2022-40"/>
  </r>
  <r>
    <d v="2022-10-03T00:00:00"/>
    <n v="162.66685200000001"/>
    <n v="-1.3359070000000202"/>
    <n v="26.566852000000011"/>
    <n v="52.95"/>
    <n v="20"/>
    <n v="180.04"/>
    <n v="-0.42000000000001592"/>
    <n v="40.840000000000003"/>
    <n v="52.95"/>
    <n v="20"/>
    <x v="19"/>
    <x v="4"/>
    <s v="October"/>
    <s v="2022-41"/>
  </r>
  <r>
    <d v="2022-10-10T00:00:00"/>
    <n v="162.08613500000001"/>
    <n v="-0.58071699999999282"/>
    <n v="24.916135000000025"/>
    <n v="52.95"/>
    <n v="20"/>
    <n v="180.76"/>
    <n v="0.71999999999999886"/>
    <n v="40.099999999999994"/>
    <n v="52.95"/>
    <n v="20"/>
    <x v="19"/>
    <x v="4"/>
    <s v="October"/>
    <s v="2022-42"/>
  </r>
  <r>
    <d v="2022-10-17T00:00:00"/>
    <n v="162.80595600000004"/>
    <n v="0.71982100000002447"/>
    <n v="23.345956000000029"/>
    <n v="52.95"/>
    <n v="20"/>
    <n v="181.85817400000002"/>
    <n v="1.0981740000000286"/>
    <n v="38.668174000000022"/>
    <n v="52.95"/>
    <n v="20"/>
    <x v="19"/>
    <x v="4"/>
    <s v="October"/>
    <s v="2022-43"/>
  </r>
  <r>
    <d v="2022-10-24T00:00:00"/>
    <n v="164.619148"/>
    <n v="1.8131919999999582"/>
    <n v="22.809147999999993"/>
    <n v="52.95"/>
    <n v="20"/>
    <n v="187.29633800000002"/>
    <n v="5.4381640000000004"/>
    <n v="41.396338000000014"/>
    <n v="52.95"/>
    <n v="20"/>
    <x v="19"/>
    <x v="4"/>
    <s v="October"/>
    <s v="2022-44"/>
  </r>
  <r>
    <d v="2022-10-31T00:00:00"/>
    <n v="165.87190800000002"/>
    <n v="1.2527600000000234"/>
    <n v="22.17190800000003"/>
    <n v="52.95"/>
    <n v="20"/>
    <n v="189.76706999999999"/>
    <n v="2.4707319999999697"/>
    <n v="42.28707"/>
    <n v="52.95"/>
    <n v="20"/>
    <x v="19"/>
    <x v="4"/>
    <s v="October"/>
    <s v="2022-45"/>
  </r>
  <r>
    <d v="2022-11-07T00:00:00"/>
    <n v="165.61696999999998"/>
    <n v="-0.2549380000000383"/>
    <n v="20.716969999999975"/>
    <n v="52.95"/>
    <n v="20"/>
    <n v="189.794085"/>
    <n v="2.7015000000005784E-2"/>
    <n v="40.954084999999992"/>
    <n v="52.95"/>
    <n v="20"/>
    <x v="19"/>
    <x v="5"/>
    <s v="November"/>
    <s v="2022-46"/>
  </r>
  <r>
    <d v="2022-11-14T00:00:00"/>
    <n v="164.40395599999999"/>
    <n v="-1.2130139999999869"/>
    <n v="18.533955999999989"/>
    <n v="52.95"/>
    <n v="20"/>
    <n v="188.85"/>
    <n v="-0.94408500000000117"/>
    <n v="39.090000000000003"/>
    <n v="52.95"/>
    <n v="20"/>
    <x v="19"/>
    <x v="5"/>
    <s v="November"/>
    <s v="2022-47"/>
  </r>
  <r>
    <d v="2022-11-21T00:00:00"/>
    <n v="163.27625800000001"/>
    <n v="-1.127697999999981"/>
    <n v="16.387298000000015"/>
    <n v="52.95"/>
    <n v="20"/>
    <n v="187.57"/>
    <n v="-1.2800000000000011"/>
    <n v="36.838717000000003"/>
    <n v="52.95"/>
    <n v="20"/>
    <x v="19"/>
    <x v="5"/>
    <s v="November"/>
    <s v="2022-48"/>
  </r>
  <r>
    <d v="2022-11-28T00:00:00"/>
    <n v="161.133037"/>
    <n v="-2.1432210000000111"/>
    <n v="13.603037"/>
    <n v="52.95"/>
    <n v="20"/>
    <n v="185.57"/>
    <n v="-2"/>
    <n v="34.259999999999991"/>
    <n v="52.95"/>
    <n v="20"/>
    <x v="19"/>
    <x v="5"/>
    <s v="November"/>
    <s v="2022-49"/>
  </r>
  <r>
    <d v="2022-12-05T00:00:00"/>
    <n v="159.19547500000002"/>
    <n v="-1.9375619999999856"/>
    <n v="12.30547500000003"/>
    <n v="52.95"/>
    <n v="20"/>
    <n v="183.56"/>
    <n v="-2.0099999999999909"/>
    <n v="32.949999999999989"/>
    <n v="52.95"/>
    <n v="20"/>
    <x v="19"/>
    <x v="6"/>
    <s v="December"/>
    <s v="2022-50"/>
  </r>
  <r>
    <d v="2022-12-12T00:00:00"/>
    <n v="155.97079499999998"/>
    <n v="-3.2246800000000349"/>
    <n v="9.7507949999999823"/>
    <n v="52.95"/>
    <n v="20"/>
    <n v="179.91"/>
    <n v="-3.6500000000000057"/>
    <n v="30.03"/>
    <n v="52.95"/>
    <n v="20"/>
    <x v="19"/>
    <x v="6"/>
    <s v="December"/>
    <s v="2022-51"/>
  </r>
  <r>
    <d v="2022-12-19T00:00:00"/>
    <n v="154.06553500000001"/>
    <n v="-1.90525999999997"/>
    <n v="8.9055350000000146"/>
    <n v="52.95"/>
    <n v="20"/>
    <n v="177.62"/>
    <n v="-2.289999999999992"/>
    <n v="28.730000000000018"/>
    <n v="52.95"/>
    <n v="20"/>
    <x v="19"/>
    <x v="6"/>
    <s v="December"/>
    <s v="2022-52"/>
  </r>
  <r>
    <d v="2022-12-26T00:00:00"/>
    <n v="151.93957299999997"/>
    <n v="-2.1259620000000439"/>
    <n v="7.0195729999999799"/>
    <n v="52.95"/>
    <n v="20"/>
    <n v="175.52"/>
    <n v="-2.0999999999999943"/>
    <n v="26.700000000000017"/>
    <n v="52.95"/>
    <n v="20"/>
    <x v="19"/>
    <x v="6"/>
    <s v="December"/>
    <s v="2022-53"/>
  </r>
  <r>
    <d v="2023-01-02T00:00:00"/>
    <n v="150.89909733333337"/>
    <n v="-1.0404756666665946"/>
    <n v="5.8590973333333807"/>
    <n v="52.95"/>
    <n v="20"/>
    <n v="174.16"/>
    <n v="-1.3600000000000136"/>
    <n v="25.310000000000002"/>
    <n v="52.95"/>
    <n v="20"/>
    <x v="20"/>
    <x v="7"/>
    <s v="January"/>
    <s v="2023-02"/>
  </r>
  <r>
    <d v="2023-01-09T00:00:00"/>
    <n v="149.96984200000003"/>
    <n v="-0.92925533333334442"/>
    <n v="5.1498420000000351"/>
    <n v="52.95"/>
    <n v="20"/>
    <n v="173.16"/>
    <n v="-1"/>
    <n v="24.509999999999991"/>
    <n v="52.95"/>
    <n v="20"/>
    <x v="20"/>
    <x v="7"/>
    <s v="January"/>
    <s v="2023-03"/>
  </r>
  <r>
    <d v="2023-01-16T00:00:00"/>
    <n v="148.791121"/>
    <n v="-1.1787210000000243"/>
    <n v="3.9911209999999926"/>
    <n v="52.95"/>
    <n v="20"/>
    <n v="171.64"/>
    <n v="-1.5200000000000102"/>
    <n v="22.939999999999998"/>
    <n v="52.95"/>
    <n v="20"/>
    <x v="20"/>
    <x v="7"/>
    <s v="January"/>
    <s v="2023-04"/>
  </r>
  <r>
    <d v="2023-01-23T00:00:00"/>
    <n v="148.20896099999999"/>
    <n v="-0.582160000000016"/>
    <n v="3.3389609999999834"/>
    <n v="52.95"/>
    <n v="20"/>
    <n v="170.86224199999998"/>
    <n v="-0.77775800000000572"/>
    <n v="22.052241999999978"/>
    <n v="52.95"/>
    <n v="20"/>
    <x v="20"/>
    <x v="7"/>
    <s v="January"/>
    <s v="2023-05"/>
  </r>
  <r>
    <d v="2023-01-30T00:00:00"/>
    <n v="148.17582400000001"/>
    <n v="-3.3136999999982208E-2"/>
    <n v="2.4358239999999967"/>
    <n v="52.95"/>
    <n v="20"/>
    <n v="170.56"/>
    <n v="-0.30224199999997836"/>
    <n v="20.879999999999995"/>
    <n v="52.95"/>
    <n v="20"/>
    <x v="20"/>
    <x v="7"/>
    <s v="January"/>
    <s v="2023-06"/>
  </r>
  <r>
    <d v="2023-02-06T00:00:00"/>
    <n v="148.34358199999997"/>
    <n v="0.16775799999996366"/>
    <n v="2.0135819999999569"/>
    <n v="52.95"/>
    <n v="20"/>
    <n v="170.36031899999998"/>
    <n v="-0.19968100000002664"/>
    <n v="20.060318999999964"/>
    <n v="52.95"/>
    <n v="20"/>
    <x v="20"/>
    <x v="8"/>
    <s v="February"/>
    <s v="2023-07"/>
  </r>
  <r>
    <d v="2023-02-13T00:00:00"/>
    <n v="147.97802100000001"/>
    <n v="-0.36556099999995695"/>
    <n v="1.0280210000000238"/>
    <n v="52.95"/>
    <n v="20"/>
    <n v="169.65982100000002"/>
    <n v="-0.70049799999995344"/>
    <n v="18.559821000000028"/>
    <n v="52.95"/>
    <n v="20"/>
    <x v="20"/>
    <x v="8"/>
    <s v="February"/>
    <s v="2023-08"/>
  </r>
  <r>
    <d v="2023-02-20T00:00:00"/>
    <n v="147.860219"/>
    <n v="-0.11780200000001173"/>
    <n v="9.0218999999990501E-2"/>
    <n v="52.95"/>
    <n v="20"/>
    <n v="169.3"/>
    <n v="-0.35982100000001083"/>
    <n v="17.350000000000023"/>
    <n v="52.95"/>
    <n v="20"/>
    <x v="20"/>
    <x v="8"/>
    <s v="February"/>
    <s v="2023-09"/>
  </r>
  <r>
    <d v="2023-02-27T00:00:00"/>
    <n v="147.545378"/>
    <n v="-0.31484100000000126"/>
    <n v="-1.6746219999999994"/>
    <n v="52.95"/>
    <n v="20"/>
    <n v="168.56"/>
    <n v="-0.74000000000000909"/>
    <n v="15.199999999999989"/>
    <n v="52.95"/>
    <n v="20"/>
    <x v="20"/>
    <x v="8"/>
    <s v="February"/>
    <s v="2023-10"/>
  </r>
  <r>
    <d v="2023-03-06T00:00:00"/>
    <n v="147.12277600000002"/>
    <n v="-0.42260199999998349"/>
    <n v="-5.8272239999999726"/>
    <n v="52.95"/>
    <n v="20"/>
    <n v="167.33"/>
    <n v="-1.2299999999999898"/>
    <n v="8.7700000000000102"/>
    <n v="52.95"/>
    <n v="20"/>
    <x v="20"/>
    <x v="9"/>
    <s v="March"/>
    <s v="2023-11"/>
  </r>
  <r>
    <d v="2023-03-13T00:00:00"/>
    <n v="146.97366000000002"/>
    <n v="-0.14911599999999225"/>
    <n v="-12.986339999999984"/>
    <n v="52.95"/>
    <n v="20"/>
    <n v="167.04"/>
    <n v="-0.29000000000002046"/>
    <n v="-2.4399999999999977"/>
    <n v="52.95"/>
    <n v="20"/>
    <x v="20"/>
    <x v="9"/>
    <s v="March"/>
    <s v="2023-12"/>
  </r>
  <r>
    <d v="2023-03-20T00:00:00"/>
    <n v="146.61631199999999"/>
    <n v="-0.3573480000000302"/>
    <n v="-18.753688000000011"/>
    <n v="52.95"/>
    <n v="20"/>
    <n v="166.26"/>
    <n v="-0.78000000000000114"/>
    <n v="-11.210000000000008"/>
    <n v="52.95"/>
    <n v="20"/>
    <x v="20"/>
    <x v="9"/>
    <s v="March"/>
    <s v="2023-13"/>
  </r>
  <r>
    <d v="2023-03-27T00:00:00"/>
    <n v="146.21293899999998"/>
    <n v="-0.40337300000001619"/>
    <n v="-16.438829999999996"/>
    <n v="52.95"/>
    <n v="20"/>
    <n v="165.18"/>
    <n v="-1.0799999999999841"/>
    <n v="-11.262402999999978"/>
    <n v="52.95"/>
    <n v="20"/>
    <x v="20"/>
    <x v="9"/>
    <s v="March"/>
    <s v="2023-14"/>
  </r>
  <r>
    <d v="2023-04-03T00:00:00"/>
    <n v="145.72476"/>
    <n v="-0.48817899999997394"/>
    <n v="-16.185239999999993"/>
    <n v="52.95"/>
    <n v="20"/>
    <n v="163.71"/>
    <n v="-1.4699999999999989"/>
    <n v="-12.289999999999992"/>
    <n v="52.95"/>
    <n v="20"/>
    <x v="20"/>
    <x v="10"/>
    <s v="April"/>
    <s v="2023-15"/>
  </r>
  <r>
    <d v="2023-04-10T00:00:00"/>
    <n v="145.81701200000001"/>
    <n v="9.2252000000001999E-2"/>
    <n v="-15.962987999999996"/>
    <n v="52.95"/>
    <n v="20"/>
    <n v="162.70971299999999"/>
    <n v="-1.0002870000000144"/>
    <n v="-13.510287000000005"/>
    <n v="52.95"/>
    <n v="20"/>
    <x v="20"/>
    <x v="10"/>
    <s v="April"/>
    <s v="2023-16"/>
  </r>
  <r>
    <d v="2023-04-17T00:00:00"/>
    <n v="145.93487199999998"/>
    <n v="0.11785999999997898"/>
    <n v="-15.736151999999976"/>
    <n v="52.95"/>
    <n v="20"/>
    <n v="162.11473099999998"/>
    <n v="-0.59498200000001589"/>
    <n v="-13.814546000000036"/>
    <n v="52.95"/>
    <n v="20"/>
    <x v="20"/>
    <x v="10"/>
    <s v="April"/>
    <s v="2023-17"/>
  </r>
  <r>
    <d v="2023-04-24T00:00:00"/>
    <n v="145.84025499999998"/>
    <n v="-9.4616999999999507E-2"/>
    <n v="-15.999477000000041"/>
    <n v="52.95"/>
    <n v="20"/>
    <n v="161.340855"/>
    <n v="-0.77387599999997292"/>
    <n v="-14.993546000000009"/>
    <n v="52.95"/>
    <n v="20"/>
    <x v="20"/>
    <x v="10"/>
    <s v="April"/>
    <s v="2023-18"/>
  </r>
  <r>
    <d v="2023-05-01T00:00:00"/>
    <n v="145.70980299999999"/>
    <n v="-0.13045199999999113"/>
    <n v="-16.765891000000039"/>
    <n v="52.95"/>
    <n v="20"/>
    <n v="160.351451"/>
    <n v="-0.9894040000000075"/>
    <n v="-16.712211999999994"/>
    <n v="52.95"/>
    <n v="20"/>
    <x v="20"/>
    <x v="11"/>
    <s v="May"/>
    <s v="2023-19"/>
  </r>
  <r>
    <d v="2023-05-08T00:00:00"/>
    <n v="145.30370500000001"/>
    <n v="-0.40609799999998586"/>
    <n v="-18.375907000000012"/>
    <n v="52.95"/>
    <n v="20"/>
    <n v="158.116029"/>
    <n v="-2.2354219999999998"/>
    <n v="-20.273970999999989"/>
    <n v="52.95"/>
    <n v="20"/>
    <x v="20"/>
    <x v="11"/>
    <s v="May"/>
    <s v="2023-20"/>
  </r>
  <r>
    <d v="2023-05-15T00:00:00"/>
    <n v="144.649124"/>
    <n v="-0.65458100000000741"/>
    <n v="-20.441282000000001"/>
    <n v="52.95"/>
    <n v="20"/>
    <n v="155.53458799999999"/>
    <n v="-2.5814410000000123"/>
    <n v="-24.135412000000002"/>
    <n v="52.95"/>
    <n v="20"/>
    <x v="20"/>
    <x v="11"/>
    <s v="May"/>
    <s v="2023-21"/>
  </r>
  <r>
    <d v="2023-05-22T00:00:00"/>
    <n v="143.63957199999999"/>
    <n v="-1.0095520000000135"/>
    <n v="-23.945508000000018"/>
    <n v="52.95"/>
    <n v="20"/>
    <n v="151.59455500000001"/>
    <n v="-3.9400329999999713"/>
    <n v="-29.56792999999999"/>
    <n v="52.95"/>
    <n v="20"/>
    <x v="20"/>
    <x v="11"/>
    <s v="May"/>
    <s v="2023-22"/>
  </r>
  <r>
    <d v="2023-05-29T00:00:00"/>
    <n v="142.93747299999998"/>
    <n v="-0.70209900000000403"/>
    <n v="-27.418622000000028"/>
    <n v="52.95"/>
    <n v="20"/>
    <n v="147.866602"/>
    <n v="-3.7279530000000136"/>
    <n v="-34.383100000000013"/>
    <n v="52.95"/>
    <n v="20"/>
    <x v="20"/>
    <x v="11"/>
    <s v="May"/>
    <s v="2023-23"/>
  </r>
  <r>
    <d v="2023-06-05T00:00:00"/>
    <n v="142.90114399999999"/>
    <n v="-3.6328999999994949E-2"/>
    <n v="-32.09343100000001"/>
    <n v="52.95"/>
    <n v="20"/>
    <n v="146.42563699999999"/>
    <n v="-1.4409650000000056"/>
    <n v="-38.517553000000021"/>
    <n v="52.95"/>
    <n v="20"/>
    <x v="20"/>
    <x v="0"/>
    <s v="June"/>
    <s v="2023-24"/>
  </r>
  <r>
    <d v="2023-06-12T00:00:00"/>
    <n v="142.713258"/>
    <n v="-0.18788599999999178"/>
    <n v="-39.817949000000027"/>
    <n v="52.95"/>
    <n v="20"/>
    <n v="145.47573999999997"/>
    <n v="-0.94989700000002131"/>
    <n v="-44.958852000000036"/>
    <n v="52.95"/>
    <n v="20"/>
    <x v="20"/>
    <x v="0"/>
    <s v="June"/>
    <s v="2023-25"/>
  </r>
  <r>
    <d v="2023-06-19T00:00:00"/>
    <n v="142.95480000000001"/>
    <n v="0.24154200000000969"/>
    <n v="-43.890460999999988"/>
    <n v="52.95"/>
    <n v="20"/>
    <n v="145.19698000000002"/>
    <n v="-0.2787599999999486"/>
    <n v="-49.67301999999998"/>
    <n v="52.95"/>
    <n v="20"/>
    <x v="20"/>
    <x v="0"/>
    <s v="June"/>
    <s v="2023-26"/>
  </r>
  <r>
    <d v="2023-06-26T00:00:00"/>
    <n v="143.42607699999999"/>
    <n v="0.4712769999999864"/>
    <n v="-47.500768000000051"/>
    <n v="52.95"/>
    <n v="20"/>
    <n v="145.645343"/>
    <n v="0.44836299999997209"/>
    <n v="-53.28465700000001"/>
    <n v="52.95"/>
    <n v="20"/>
    <x v="20"/>
    <x v="0"/>
    <s v="June"/>
    <s v="2023-27"/>
  </r>
  <r>
    <d v="2023-07-03T00:00:00"/>
    <n v="143.39668399999999"/>
    <n v="-2.9392999999998892E-2"/>
    <n v="-48.149945000000002"/>
    <n v="52.95"/>
    <n v="20"/>
    <n v="145.516514"/>
    <n v="-0.12882899999999609"/>
    <n v="-53.703485999999998"/>
    <n v="52.95"/>
    <n v="20"/>
    <x v="20"/>
    <x v="1"/>
    <s v="July"/>
    <s v="2023-28"/>
  </r>
  <r>
    <d v="2023-07-10T00:00:00"/>
    <n v="142.87288899999999"/>
    <n v="-0.52379500000000689"/>
    <n v="-47.752241000000026"/>
    <n v="52.95"/>
    <n v="20"/>
    <n v="144.73065800000001"/>
    <n v="-0.78585599999999545"/>
    <n v="-54.009342000000004"/>
    <n v="52.95"/>
    <n v="20"/>
    <x v="20"/>
    <x v="1"/>
    <s v="July"/>
    <s v="2023-29"/>
  </r>
  <r>
    <d v="2023-07-17T00:00:00"/>
    <n v="142.76610299999999"/>
    <n v="-0.1067859999999996"/>
    <n v="-46.150980000000004"/>
    <n v="52.95"/>
    <n v="20"/>
    <n v="144.63642700000003"/>
    <n v="-9.4230999999979304E-2"/>
    <n v="-52.893572999999975"/>
    <n v="52.95"/>
    <n v="20"/>
    <x v="20"/>
    <x v="1"/>
    <s v="July"/>
    <s v="2023-30"/>
  </r>
  <r>
    <d v="2023-07-24T00:00:00"/>
    <n v="142.95764400000002"/>
    <n v="0.19154100000002927"/>
    <n v="-43.642851000000007"/>
    <n v="52.95"/>
    <n v="20"/>
    <n v="145.13000299999999"/>
    <n v="0.49357599999996182"/>
    <n v="-50.749997000000008"/>
    <n v="52.95"/>
    <n v="20"/>
    <x v="20"/>
    <x v="1"/>
    <s v="July"/>
    <s v="2023-31"/>
  </r>
  <r>
    <d v="2023-07-31T00:00:00"/>
    <n v="144.13136499999996"/>
    <n v="1.1737209999999436"/>
    <n v="-38.637107000000015"/>
    <n v="52.95"/>
    <n v="20"/>
    <n v="145.94888599999999"/>
    <n v="0.81888299999999958"/>
    <n v="-47.091114000000005"/>
    <n v="52.95"/>
    <n v="20"/>
    <x v="20"/>
    <x v="1"/>
    <s v="July"/>
    <s v="2023-32"/>
  </r>
  <r>
    <d v="2023-08-07T00:00:00"/>
    <n v="146.17518299999998"/>
    <n v="2.0438180000000159"/>
    <n v="-31.465589000000051"/>
    <n v="52.95"/>
    <n v="20"/>
    <n v="148.22952800000002"/>
    <n v="2.2806420000000287"/>
    <n v="-40.260471999999993"/>
    <n v="52.95"/>
    <n v="20"/>
    <x v="20"/>
    <x v="2"/>
    <s v="August"/>
    <s v="2023-33"/>
  </r>
  <r>
    <d v="2023-08-14T00:00:00"/>
    <n v="147.77280099999999"/>
    <n v="1.5976180000000113"/>
    <n v="-26.414729999999992"/>
    <n v="52.95"/>
    <n v="20"/>
    <n v="150.373794"/>
    <n v="2.1442659999999876"/>
    <n v="-34.786205999999993"/>
    <n v="52.95"/>
    <n v="20"/>
    <x v="20"/>
    <x v="2"/>
    <s v="August"/>
    <s v="2023-34"/>
  </r>
  <r>
    <d v="2023-08-21T00:00:00"/>
    <n v="149.40349000000001"/>
    <n v="1.630689000000018"/>
    <n v="-21.738793999999984"/>
    <n v="52.95"/>
    <n v="20"/>
    <n v="152.14298300000002"/>
    <n v="1.7691890000000114"/>
    <n v="-30.777016999999972"/>
    <n v="52.95"/>
    <n v="20"/>
    <x v="20"/>
    <x v="2"/>
    <s v="August"/>
    <s v="2023-35"/>
  </r>
  <r>
    <d v="2023-08-28T00:00:00"/>
    <n v="150.732888"/>
    <n v="1.3293979999999976"/>
    <n v="-19.385813999999982"/>
    <n v="52.95"/>
    <n v="20"/>
    <n v="153.52133200000003"/>
    <n v="1.3783490000000143"/>
    <n v="-29.678667999999959"/>
    <n v="52.95"/>
    <n v="20"/>
    <x v="20"/>
    <x v="2"/>
    <s v="August"/>
    <s v="2023-36"/>
  </r>
  <r>
    <d v="2023-09-04T00:00:00"/>
    <n v="151.70963200000003"/>
    <n v="0.97674400000002493"/>
    <n v="-17.217313999999959"/>
    <n v="52.95"/>
    <n v="20"/>
    <n v="154.64606999999998"/>
    <n v="1.1247379999999509"/>
    <n v="-28.173930000000013"/>
    <n v="52.95"/>
    <n v="20"/>
    <x v="20"/>
    <x v="3"/>
    <s v="September"/>
    <s v="2023-37"/>
  </r>
  <r>
    <d v="2023-09-11T00:00:00"/>
    <n v="153.09505400000003"/>
    <n v="1.3854220000000055"/>
    <n v="-14.514280999999954"/>
    <n v="52.95"/>
    <n v="20"/>
    <n v="156.147277"/>
    <n v="1.5012070000000222"/>
    <n v="-26.072722999999996"/>
    <n v="52.95"/>
    <n v="20"/>
    <x v="20"/>
    <x v="3"/>
    <s v="September"/>
    <s v="2023-38"/>
  </r>
  <r>
    <d v="2023-09-18T00:00:00"/>
    <n v="154.06309099999999"/>
    <n v="0.96803699999995274"/>
    <n v="-11.409491000000003"/>
    <n v="52.95"/>
    <n v="20"/>
    <n v="158.15800800000002"/>
    <n v="2.0107310000000211"/>
    <n v="-22.971991999999972"/>
    <n v="52.95"/>
    <n v="20"/>
    <x v="20"/>
    <x v="3"/>
    <s v="September"/>
    <s v="2023-39"/>
  </r>
  <r>
    <d v="2023-09-25T00:00:00"/>
    <n v="155.41274999999999"/>
    <n v="1.3496590000000026"/>
    <n v="-8.5900090000000375"/>
    <n v="52.95"/>
    <n v="20"/>
    <n v="160.611538"/>
    <n v="2.4535299999999722"/>
    <n v="-19.848462000000012"/>
    <n v="52.95"/>
    <n v="20"/>
    <x v="20"/>
    <x v="3"/>
    <s v="September"/>
    <s v="2023-40"/>
  </r>
  <r>
    <d v="2023-10-02T00:00:00"/>
    <n v="156.01705399999997"/>
    <n v="0.60430399999998485"/>
    <n v="-6.6497980000000325"/>
    <n v="52.95"/>
    <n v="20"/>
    <n v="162.15268499999999"/>
    <n v="1.5411469999999952"/>
    <n v="-17.887315000000001"/>
    <n v="52.95"/>
    <n v="20"/>
    <x v="20"/>
    <x v="4"/>
    <s v="October"/>
    <s v="2023-41"/>
  </r>
  <r>
    <d v="2023-10-09T00:00:00"/>
    <n v="155.942555"/>
    <n v="-7.4498999999974558E-2"/>
    <n v="-6.1435800000000143"/>
    <n v="52.95"/>
    <n v="20"/>
    <n v="162.49299999999999"/>
    <n v="0.34031500000000392"/>
    <n v="-18.266999999999996"/>
    <n v="52.95"/>
    <n v="20"/>
    <x v="20"/>
    <x v="4"/>
    <s v="October"/>
    <s v="2023-42"/>
  </r>
  <r>
    <d v="2023-10-16T00:00:00"/>
    <n v="155.085328"/>
    <n v="-0.85722699999999463"/>
    <n v="-7.7206280000000334"/>
    <n v="52.95"/>
    <n v="20"/>
    <n v="162.30953799999997"/>
    <n v="-0.18346200000002"/>
    <n v="-19.548636000000045"/>
    <n v="52.95"/>
    <n v="20"/>
    <x v="20"/>
    <x v="4"/>
    <s v="October"/>
    <s v="2023-43"/>
  </r>
  <r>
    <d v="2023-10-23T00:00:00"/>
    <n v="154.63084599999999"/>
    <n v="-0.45448200000001293"/>
    <n v="-9.9883020000000045"/>
    <n v="52.95"/>
    <n v="20"/>
    <n v="162.19093700000002"/>
    <n v="-0.11860099999995555"/>
    <n v="-25.105401000000001"/>
    <n v="52.95"/>
    <n v="20"/>
    <x v="20"/>
    <x v="4"/>
    <s v="October"/>
    <s v="2023-44"/>
  </r>
  <r>
    <d v="2023-10-30T00:00:00"/>
    <n v="153.973456"/>
    <n v="-0.65738999999999237"/>
    <n v="-11.89845200000002"/>
    <n v="52.95"/>
    <n v="20"/>
    <n v="161.75627500000002"/>
    <n v="-0.43466200000000299"/>
    <n v="-28.010794999999973"/>
    <n v="52.95"/>
    <n v="20"/>
    <x v="20"/>
    <x v="4"/>
    <s v="October"/>
    <s v="2023-45"/>
  </r>
  <r>
    <d v="2023-11-06T00:00:00"/>
    <n v="153.20476600000001"/>
    <n v="-0.76868999999999232"/>
    <n v="-12.412203999999974"/>
    <n v="52.95"/>
    <n v="20"/>
    <n v="160.85994699999998"/>
    <n v="-0.89632800000003954"/>
    <n v="-28.934138000000019"/>
    <n v="52.95"/>
    <n v="20"/>
    <x v="20"/>
    <x v="5"/>
    <s v="November"/>
    <s v="2023-46"/>
  </r>
  <r>
    <d v="2023-11-13T00:00:00"/>
    <n v="152.39060900000001"/>
    <n v="-0.81415699999999447"/>
    <n v="-12.013346999999982"/>
    <n v="52.95"/>
    <n v="20"/>
    <n v="160.38662900000003"/>
    <n v="-0.47331799999994928"/>
    <n v="-28.463370999999967"/>
    <n v="52.95"/>
    <n v="20"/>
    <x v="20"/>
    <x v="5"/>
    <s v="November"/>
    <s v="2023-47"/>
  </r>
  <r>
    <d v="2023-11-20T00:00:00"/>
    <n v="150.50029700000002"/>
    <n v="-1.8903119999999944"/>
    <n v="-12.775960999999995"/>
    <n v="52.95"/>
    <n v="20"/>
    <n v="158.44112499999997"/>
    <n v="-1.9455040000000565"/>
    <n v="-29.128875000000022"/>
    <n v="52.95"/>
    <n v="20"/>
    <x v="20"/>
    <x v="5"/>
    <s v="November"/>
    <s v="2023-48"/>
  </r>
  <r>
    <d v="2023-11-27T00:00:00"/>
    <n v="147.99245999999999"/>
    <n v="-2.5078370000000234"/>
    <n v="-13.140577000000008"/>
    <n v="52.95"/>
    <n v="20"/>
    <n v="156.18327599999998"/>
    <n v="-2.2578489999999931"/>
    <n v="-29.386724000000015"/>
    <n v="52.95"/>
    <n v="20"/>
    <x v="20"/>
    <x v="5"/>
    <s v="November"/>
    <s v="2023-49"/>
  </r>
  <r>
    <d v="2023-12-04T00:00:00"/>
    <n v="145.71497000000002"/>
    <n v="-2.2774899999999718"/>
    <n v="-13.480504999999994"/>
    <n v="52.95"/>
    <n v="20"/>
    <n v="154.10458400000002"/>
    <n v="-2.0786919999999611"/>
    <n v="-29.455415999999985"/>
    <n v="52.95"/>
    <n v="20"/>
    <x v="20"/>
    <x v="6"/>
    <s v="December"/>
    <s v="2023-50"/>
  </r>
  <r>
    <d v="2023-12-11T00:00:00"/>
    <n v="143.79533700000002"/>
    <n v="-1.9196330000000046"/>
    <n v="-12.175457999999963"/>
    <n v="52.95"/>
    <n v="20"/>
    <n v="152.00577899999999"/>
    <n v="-2.0988050000000271"/>
    <n v="-27.904221000000007"/>
    <n v="52.95"/>
    <n v="20"/>
    <x v="20"/>
    <x v="6"/>
    <s v="December"/>
    <s v="2023-51"/>
  </r>
  <r>
    <d v="2023-12-18T00:00:00"/>
    <n v="141.51442700000001"/>
    <n v="-2.2809100000000058"/>
    <n v="-12.551107999999999"/>
    <n v="52.95"/>
    <n v="20"/>
    <n v="150.37846099999999"/>
    <n v="-1.6273180000000025"/>
    <n v="-27.241539000000017"/>
    <n v="52.95"/>
    <n v="20"/>
    <x v="20"/>
    <x v="6"/>
    <s v="December"/>
    <s v="2023-52"/>
  </r>
  <r>
    <d v="2023-12-25T00:00:00"/>
    <n v="140.325402"/>
    <n v="-1.1890250000000151"/>
    <n v="-11.61417099999997"/>
    <n v="52.95"/>
    <n v="20"/>
    <n v="149.235826"/>
    <n v="-1.1426349999999843"/>
    <n v="-26.284174000000007"/>
    <n v="52.95"/>
    <n v="20"/>
    <x v="20"/>
    <x v="6"/>
    <s v="December"/>
    <s v="2023-53"/>
  </r>
  <r>
    <d v="2024-01-01T00:00:00"/>
    <n v="140.77874599999998"/>
    <n v="0.45334399999998709"/>
    <n v="-10.120351333333389"/>
    <n v="52.95"/>
    <n v="20"/>
    <n v="148.66493400000002"/>
    <n v="-0.57089199999998641"/>
    <n v="-25.49506599999998"/>
    <n v="52.95"/>
    <n v="20"/>
    <x v="21"/>
    <x v="7"/>
    <s v="January"/>
    <s v="2024-01"/>
  </r>
  <r>
    <d v="2024-01-08T00:00:00"/>
    <n v="139.71920299999999"/>
    <n v="-1.0595429999999908"/>
    <n v="-10.250639000000035"/>
    <n v="52.95"/>
    <n v="20"/>
    <n v="148.212366"/>
    <n v="-0.45256800000001363"/>
    <n v="-24.947633999999994"/>
    <n v="52.95"/>
    <n v="20"/>
    <x v="21"/>
    <x v="7"/>
    <s v="January"/>
    <s v="2024-02"/>
  </r>
  <r>
    <d v="2024-01-15T00:00:00"/>
    <n v="139.48575999999997"/>
    <n v="-0.23344300000002249"/>
    <n v="-9.3053610000000333"/>
    <n v="52.95"/>
    <n v="20"/>
    <n v="147.92895900000002"/>
    <n v="-0.28340699999998265"/>
    <n v="-23.711040999999966"/>
    <n v="52.95"/>
    <n v="20"/>
    <x v="21"/>
    <x v="7"/>
    <s v="January"/>
    <s v="2024-03"/>
  </r>
  <r>
    <d v="2024-01-22T00:00:00"/>
    <n v="139.38785799999999"/>
    <n v="-9.7901999999976397E-2"/>
    <n v="-8.8211029999999937"/>
    <n v="52.95"/>
    <n v="20"/>
    <n v="147.95832799999999"/>
    <n v="2.9368999999974221E-2"/>
    <n v="-22.903913999999986"/>
    <n v="52.95"/>
    <n v="20"/>
    <x v="21"/>
    <x v="7"/>
    <s v="January"/>
    <s v="2024-04"/>
  </r>
  <r>
    <d v="2024-01-29T00:00:00"/>
    <n v="139.90865399999998"/>
    <n v="0.52079599999999004"/>
    <n v="-8.2671700000000214"/>
    <n v="52.95"/>
    <n v="20"/>
    <n v="148.55655999999999"/>
    <n v="0.59823199999999588"/>
    <n v="-22.003440000000012"/>
    <n v="52.95"/>
    <n v="20"/>
    <x v="21"/>
    <x v="7"/>
    <s v="January"/>
    <s v="2024-05"/>
  </r>
  <r>
    <d v="2024-02-05T00:00:00"/>
    <n v="140.54664299999999"/>
    <n v="0.63798900000000458"/>
    <n v="-7.7969389999999805"/>
    <n v="52.95"/>
    <n v="20"/>
    <n v="149.354702"/>
    <n v="0.79814200000001279"/>
    <n v="-21.005616999999972"/>
    <n v="52.95"/>
    <n v="20"/>
    <x v="21"/>
    <x v="8"/>
    <s v="February"/>
    <s v="2024-06"/>
  </r>
  <r>
    <d v="2024-02-12T00:00:00"/>
    <n v="141.27642899999998"/>
    <n v="0.72978599999999005"/>
    <n v="-6.7015920000000335"/>
    <n v="52.95"/>
    <n v="20"/>
    <n v="150.27635899999999"/>
    <n v="0.92165699999998196"/>
    <n v="-19.383462000000037"/>
    <n v="52.95"/>
    <n v="20"/>
    <x v="21"/>
    <x v="8"/>
    <s v="February"/>
    <s v="2024-07"/>
  </r>
  <r>
    <d v="2024-02-19T00:00:00"/>
    <n v="142.859272"/>
    <n v="1.5828430000000253"/>
    <n v="-5.0009469999999965"/>
    <n v="52.95"/>
    <n v="20"/>
    <n v="152.07956000000001"/>
    <n v="1.8032010000000298"/>
    <n v="-17.220439999999996"/>
    <n v="52.95"/>
    <n v="20"/>
    <x v="21"/>
    <x v="8"/>
    <s v="February"/>
    <s v="2024-08"/>
  </r>
  <r>
    <d v="2024-02-26T00:00:00"/>
    <n v="143.96110000000002"/>
    <n v="1.1018280000000118"/>
    <n v="-3.5842779999999834"/>
    <n v="52.95"/>
    <n v="20"/>
    <n v="153.29074700000001"/>
    <n v="1.2111869999999954"/>
    <n v="-15.269252999999992"/>
    <n v="52.95"/>
    <n v="20"/>
    <x v="21"/>
    <x v="8"/>
    <s v="February"/>
    <s v="2024-09"/>
  </r>
  <r>
    <d v="2024-03-04T00:00:00"/>
    <n v="144.72775999999999"/>
    <n v="0.76665999999997325"/>
    <n v="-2.3950160000000267"/>
    <n v="52.95"/>
    <n v="20"/>
    <n v="154.526016"/>
    <n v="1.2352689999999882"/>
    <n v="-12.803984000000014"/>
    <n v="52.95"/>
    <n v="20"/>
    <x v="21"/>
    <x v="9"/>
    <s v="March"/>
    <s v="2024-10"/>
  </r>
  <r>
    <d v="2024-03-11T00:00:00"/>
    <n v="144.69928100000001"/>
    <n v="-2.847899999997594E-2"/>
    <n v="-2.2743790000000104"/>
    <n v="52.95"/>
    <n v="20"/>
    <n v="154.29267800000002"/>
    <n v="-0.23333799999997495"/>
    <n v="-12.747321999999969"/>
    <n v="52.95"/>
    <n v="20"/>
    <x v="21"/>
    <x v="9"/>
    <s v="March"/>
    <s v="2024-11"/>
  </r>
  <r>
    <d v="2024-03-18T00:00:00"/>
    <n v="144.73367199999998"/>
    <n v="3.4390999999970973E-2"/>
    <n v="-1.8826400000000092"/>
    <n v="52.95"/>
    <n v="20"/>
    <n v="153.80557499999998"/>
    <n v="-0.48710300000004736"/>
    <n v="-12.454425000000015"/>
    <n v="52.95"/>
    <n v="20"/>
    <x v="21"/>
    <x v="9"/>
    <s v="March"/>
    <s v="2024-12"/>
  </r>
  <r>
    <d v="2024-03-25T00:00:00"/>
    <n v="145.05787199999997"/>
    <n v="0.3241999999999905"/>
    <n v="-1.1550670000000025"/>
    <n v="52.95"/>
    <n v="20"/>
    <n v="153.89622499999999"/>
    <n v="9.0650000000010778E-2"/>
    <n v="-11.28377500000002"/>
    <n v="52.95"/>
    <n v="20"/>
    <x v="21"/>
    <x v="9"/>
    <s v="March"/>
    <s v="2024-13"/>
  </r>
  <r>
    <d v="2024-04-01T00:00:00"/>
    <n v="146.25257500000001"/>
    <n v="1.1947030000000325"/>
    <n v="0.52781500000000392"/>
    <n v="52.95"/>
    <n v="20"/>
    <n v="156.00234600000002"/>
    <n v="2.1061210000000301"/>
    <n v="-7.7076539999999909"/>
    <n v="52.95"/>
    <n v="20"/>
    <x v="21"/>
    <x v="10"/>
    <s v="April"/>
    <s v="2024-14"/>
  </r>
  <r>
    <d v="2024-04-08T00:00:00"/>
    <n v="146.91454300000001"/>
    <n v="0.66196800000000167"/>
    <n v="1.0975310000000036"/>
    <n v="52.95"/>
    <n v="20"/>
    <n v="156.29206399999998"/>
    <n v="0.28971799999996506"/>
    <n v="-6.4176490000000115"/>
    <n v="52.95"/>
    <n v="20"/>
    <x v="21"/>
    <x v="10"/>
    <s v="April"/>
    <s v="2024-15"/>
  </r>
  <r>
    <d v="2024-04-15T00:00:00"/>
    <n v="148.48649800000001"/>
    <n v="1.5719550000000027"/>
    <n v="2.5516260000000273"/>
    <n v="52.95"/>
    <n v="20"/>
    <n v="157.45900800000001"/>
    <n v="1.1669440000000293"/>
    <n v="-4.6557229999999663"/>
    <n v="52.95"/>
    <n v="20"/>
    <x v="21"/>
    <x v="10"/>
    <s v="April"/>
    <s v="2024-16"/>
  </r>
  <r>
    <d v="2024-04-22T00:00:00"/>
    <n v="149.21421899999999"/>
    <n v="0.72772099999997408"/>
    <n v="3.3739640000000009"/>
    <n v="52.95"/>
    <n v="20"/>
    <n v="157.982561"/>
    <n v="0.52355299999999261"/>
    <n v="-3.3582940000000008"/>
    <n v="52.95"/>
    <n v="20"/>
    <x v="21"/>
    <x v="10"/>
    <s v="April"/>
    <s v="2024-17"/>
  </r>
  <r>
    <d v="2024-04-29T00:00:00"/>
    <n v="149.49487899999997"/>
    <n v="0.28065999999998326"/>
    <n v="3.7850759999999752"/>
    <n v="52.95"/>
    <n v="20"/>
    <n v="157.97739300000001"/>
    <n v="-5.1679999999976189E-3"/>
    <n v="-2.3740579999999909"/>
    <n v="52.95"/>
    <n v="20"/>
    <x v="21"/>
    <x v="10"/>
    <s v="April"/>
    <s v="2024-18"/>
  </r>
  <r>
    <d v="2024-05-06T00:00:00"/>
    <n v="149.544085"/>
    <n v="4.9206000000026506E-2"/>
    <n v="4.2403799999999876"/>
    <n v="52.95"/>
    <n v="20"/>
    <n v="157.63794300000001"/>
    <n v="-0.33944999999999936"/>
    <n v="-0.47808599999999046"/>
    <n v="52.95"/>
    <n v="20"/>
    <x v="21"/>
    <x v="11"/>
    <s v="May"/>
    <s v="2024-19"/>
  </r>
  <r>
    <d v="2024-05-13T00:00:00"/>
    <n v="149.23194899999999"/>
    <n v="-0.31213600000000952"/>
    <n v="4.5828249999999855"/>
    <n v="52.95"/>
    <n v="20"/>
    <n v="157.08067699999998"/>
    <n v="-0.55726600000002691"/>
    <n v="1.5460889999999949"/>
    <n v="52.95"/>
    <n v="20"/>
    <x v="21"/>
    <x v="11"/>
    <s v="May"/>
    <s v="2024-20"/>
  </r>
  <r>
    <d v="2024-05-20T00:00:00"/>
    <n v="148.83242899999999"/>
    <n v="-0.39951999999999543"/>
    <n v="5.1928570000000036"/>
    <n v="52.95"/>
    <n v="20"/>
    <n v="156.211288"/>
    <n v="-0.86938899999998398"/>
    <n v="4.6167329999999822"/>
    <n v="52.95"/>
    <n v="20"/>
    <x v="21"/>
    <x v="11"/>
    <s v="May"/>
    <s v="2024-21"/>
  </r>
  <r>
    <d v="2024-05-27T00:00:00"/>
    <n v="147.64592100000002"/>
    <n v="-1.186507999999975"/>
    <n v="4.7084480000000326"/>
    <n v="52.95"/>
    <n v="20"/>
    <n v="154.304439"/>
    <n v="-1.906848999999994"/>
    <n v="6.4378370000000018"/>
    <n v="52.95"/>
    <n v="20"/>
    <x v="21"/>
    <x v="11"/>
    <s v="May"/>
    <s v="2024-22"/>
  </r>
  <r>
    <d v="2024-06-03T00:00:00"/>
    <n v="147.26555999999999"/>
    <n v="-0.38036100000002193"/>
    <n v="4.3644160000000056"/>
    <n v="52.95"/>
    <n v="20"/>
    <n v="153.26176600000002"/>
    <n v="-1.0426729999999793"/>
    <n v="6.8361290000000281"/>
    <n v="52.95"/>
    <n v="20"/>
    <x v="21"/>
    <x v="0"/>
    <s v="June"/>
    <s v="2024-23"/>
  </r>
  <r>
    <d v="2024-06-10T00:00:00"/>
    <n v="146.250944"/>
    <n v="-1.0146159999999895"/>
    <n v="3.5376860000000079"/>
    <n v="52.95"/>
    <n v="20"/>
    <n v="151.991635"/>
    <n v="-1.2701310000000205"/>
    <n v="6.5158950000000289"/>
    <n v="52.95"/>
    <n v="20"/>
    <x v="21"/>
    <x v="0"/>
    <s v="June"/>
    <s v="2024-24"/>
  </r>
  <r>
    <d v="2024-06-17T00:00:00"/>
    <n v="145.094052"/>
    <n v="-1.1568919999999991"/>
    <n v="2.139251999999999"/>
    <n v="52.95"/>
    <n v="20"/>
    <n v="150.70382199999997"/>
    <n v="-1.2878130000000283"/>
    <n v="5.5068419999999492"/>
    <n v="52.95"/>
    <n v="20"/>
    <x v="21"/>
    <x v="0"/>
    <s v="June"/>
    <s v="2024-25"/>
  </r>
  <r>
    <d v="2024-06-24T00:00:00"/>
    <n v="144.43488299999999"/>
    <n v="-0.65916900000001988"/>
    <n v="1.0088059999999928"/>
    <n v="52.95"/>
    <n v="20"/>
    <n v="150.11735599999997"/>
    <n v="-0.58646600000000149"/>
    <n v="4.4720129999999756"/>
    <n v="52.95"/>
    <n v="20"/>
    <x v="21"/>
    <x v="0"/>
    <s v="June"/>
    <s v="2024-26"/>
  </r>
  <r>
    <d v="2024-07-01T00:00:00"/>
    <n v="144.27794700000001"/>
    <n v="-0.15693599999997332"/>
    <n v="0.88126300000001834"/>
    <n v="52.95"/>
    <n v="20"/>
    <n v="150.059617"/>
    <n v="-5.7738999999969565E-2"/>
    <n v="4.5431030000000021"/>
    <n v="52.95"/>
    <n v="20"/>
    <x v="21"/>
    <x v="1"/>
    <s v="July"/>
    <s v="2024-27"/>
  </r>
  <r>
    <d v="2024-07-08T00:00:00"/>
    <n v="144.44523700000002"/>
    <n v="0.16729000000000838"/>
    <n v="1.5723480000000336"/>
    <n v="52.95"/>
    <n v="20"/>
    <n v="150.39364499999999"/>
    <n v="0.33402799999998933"/>
    <n v="5.6629869999999869"/>
    <n v="52.95"/>
    <n v="20"/>
    <x v="21"/>
    <x v="1"/>
    <s v="July"/>
    <s v="2024-28"/>
  </r>
  <r>
    <d v="2024-07-15T00:00:00"/>
    <n v="144.59996699999999"/>
    <n v="0.15472999999997228"/>
    <n v="1.8338640000000055"/>
    <n v="52.95"/>
    <n v="20"/>
    <n v="150.56242700000001"/>
    <n v="0.16878200000002153"/>
    <n v="5.9259999999999877"/>
    <n v="52.95"/>
    <n v="20"/>
    <x v="21"/>
    <x v="1"/>
    <s v="July"/>
    <s v="2024-29"/>
  </r>
  <r>
    <d v="2024-07-22T00:00:00"/>
    <n v="144.68757200000002"/>
    <n v="8.7605000000024802E-2"/>
    <n v="1.729928000000001"/>
    <n v="52.95"/>
    <n v="20"/>
    <n v="150.59186200000002"/>
    <n v="2.9435000000006539E-2"/>
    <n v="5.4618590000000324"/>
    <n v="52.95"/>
    <n v="20"/>
    <x v="21"/>
    <x v="1"/>
    <s v="July"/>
    <s v="2024-30"/>
  </r>
  <r>
    <d v="2024-07-29T00:00:00"/>
    <n v="144.191057"/>
    <n v="-0.49651500000001647"/>
    <n v="5.9692000000040935E-2"/>
    <n v="52.95"/>
    <n v="20"/>
    <n v="150.156567"/>
    <n v="-0.43529500000002486"/>
    <n v="4.207681000000008"/>
    <n v="52.95"/>
    <n v="20"/>
    <x v="21"/>
    <x v="1"/>
    <s v="July"/>
    <s v="2024-31"/>
  </r>
  <r>
    <d v="2024-08-05T00:00:00"/>
    <n v="143.42443"/>
    <n v="-0.76662699999999973"/>
    <n v="-2.7507529999999747"/>
    <n v="52.95"/>
    <n v="20"/>
    <n v="149.09860000000003"/>
    <n v="-1.0579669999999624"/>
    <n v="0.86907200000001694"/>
    <n v="52.95"/>
    <n v="20"/>
    <x v="21"/>
    <x v="2"/>
    <s v="August"/>
    <s v="2024-32"/>
  </r>
  <r>
    <d v="2024-08-12T00:00:00"/>
    <n v="142.91306100000003"/>
    <n v="-0.51136899999997354"/>
    <n v="-4.8597399999999595"/>
    <n v="52.95"/>
    <n v="20"/>
    <n v="148.47881599999999"/>
    <n v="-0.6197840000000383"/>
    <n v="-1.8949780000000089"/>
    <n v="52.95"/>
    <n v="20"/>
    <x v="21"/>
    <x v="2"/>
    <s v="August"/>
    <s v="2024-33"/>
  </r>
  <r>
    <d v="2024-08-19T00:00:00"/>
    <n v="141.95977600000001"/>
    <n v="-0.95328500000002236"/>
    <n v="-7.4437139999999999"/>
    <n v="52.95"/>
    <n v="20"/>
    <n v="147.424058"/>
    <n v="-1.0547579999999925"/>
    <n v="-4.7189250000000129"/>
    <n v="52.95"/>
    <n v="20"/>
    <x v="21"/>
    <x v="2"/>
    <s v="August"/>
    <s v="2024-34"/>
  </r>
  <r>
    <d v="2024-08-26T00:00:00"/>
    <n v="141.00969899999998"/>
    <n v="-0.9500770000000216"/>
    <n v="-9.7231890000000192"/>
    <n v="52.95"/>
    <n v="20"/>
    <n v="146.14681300000004"/>
    <n v="-1.2772449999999651"/>
    <n v="-7.3745189999999923"/>
    <n v="52.95"/>
    <n v="20"/>
    <x v="21"/>
    <x v="2"/>
    <s v="August"/>
    <s v="2024-35"/>
  </r>
  <r>
    <d v="2024-09-02T00:00:00"/>
    <n v="139.96133"/>
    <n v="-1.0483689999999797"/>
    <n v="-11.748302000000024"/>
    <n v="52.95"/>
    <n v="20"/>
    <n v="145.18855400000001"/>
    <n v="-0.95825900000002662"/>
    <n v="-9.4575159999999698"/>
    <n v="52.95"/>
    <n v="20"/>
    <x v="21"/>
    <x v="3"/>
    <s v="September"/>
    <s v="2024-36"/>
  </r>
  <r>
    <d v="2024-09-09T00:00:00"/>
    <n v="138.100517"/>
    <n v="-1.8608130000000074"/>
    <n v="-14.994537000000037"/>
    <n v="52.95"/>
    <n v="20"/>
    <n v="143.40070400000002"/>
    <n v="-1.7878499999999917"/>
    <n v="-12.746572999999984"/>
    <n v="52.95"/>
    <n v="20"/>
    <x v="21"/>
    <x v="3"/>
    <s v="September"/>
    <s v="2024-37"/>
  </r>
  <r>
    <d v="2024-09-16T00:00:00"/>
    <n v="136.485906"/>
    <n v="-1.6146109999999965"/>
    <n v="-17.577184999999986"/>
    <n v="52.95"/>
    <n v="20"/>
    <n v="141.60610999999997"/>
    <n v="-1.7945940000000462"/>
    <n v="-16.551898000000051"/>
    <n v="52.95"/>
    <n v="20"/>
    <x v="21"/>
    <x v="3"/>
    <s v="September"/>
    <s v="2024-38"/>
  </r>
  <r>
    <d v="2024-09-23T00:00:00"/>
    <n v="135.25935200000001"/>
    <n v="-1.226553999999993"/>
    <n v="-20.153397999999981"/>
    <n v="52.95"/>
    <n v="20"/>
    <n v="140.018216"/>
    <n v="-1.5878939999999773"/>
    <n v="-20.593322000000001"/>
    <n v="52.95"/>
    <n v="20"/>
    <x v="21"/>
    <x v="3"/>
    <s v="September"/>
    <s v="2024-39"/>
  </r>
  <r>
    <d v="2024-09-30T00:00:00"/>
    <n v="134.16621699999999"/>
    <n v="-1.093135000000018"/>
    <n v="-21.850836999999984"/>
    <n v="52.95"/>
    <n v="20"/>
    <n v="138.852994"/>
    <n v="-1.165222"/>
    <n v="-23.299690999999996"/>
    <n v="52.95"/>
    <n v="20"/>
    <x v="21"/>
    <x v="3"/>
    <s v="September"/>
    <s v="2024-40"/>
  </r>
  <r>
    <d v="2024-10-07T00:00:00"/>
    <n v="133.58621600000001"/>
    <n v="-0.58000099999998156"/>
    <n v="-22.356338999999991"/>
    <n v="52.95"/>
    <n v="20"/>
    <n v="138.46336599999998"/>
    <n v="-0.38962800000001607"/>
    <n v="-24.029634000000016"/>
    <n v="52.95"/>
    <n v="20"/>
    <x v="21"/>
    <x v="4"/>
    <s v="October"/>
    <s v="2024-41"/>
  </r>
  <r>
    <d v="2024-10-14T00:00:00"/>
    <n v="133.86126099999998"/>
    <n v="0.27504499999997734"/>
    <n v="-21.224067000000019"/>
    <n v="52.95"/>
    <n v="20"/>
    <n v="139.07519400000001"/>
    <n v="0.61182800000003112"/>
    <n v="-23.234343999999965"/>
    <n v="52.95"/>
    <n v="20"/>
    <x v="21"/>
    <x v="4"/>
    <s v="October"/>
    <s v="2024-42"/>
  </r>
  <r>
    <d v="2024-10-21T00:00:00"/>
    <n v="133.98826600000001"/>
    <n v="0.12700500000002535"/>
    <n v="-20.642579999999981"/>
    <n v="52.95"/>
    <n v="20"/>
    <n v="139.26096699999999"/>
    <n v="0.18577299999998331"/>
    <n v="-22.929970000000026"/>
    <n v="52.95"/>
    <n v="20"/>
    <x v="21"/>
    <x v="4"/>
    <s v="October"/>
    <s v="2024-43"/>
  </r>
  <r>
    <d v="2024-10-28T00:00:00"/>
    <n v="134.413331"/>
    <n v="0.42506499999998937"/>
    <n v="-19.560124999999999"/>
    <n v="52.95"/>
    <n v="20"/>
    <n v="139.709745"/>
    <n v="0.44877800000000434"/>
    <n v="-22.046530000000018"/>
    <n v="52.95"/>
    <n v="20"/>
    <x v="21"/>
    <x v="4"/>
    <s v="October"/>
    <s v="2024-44"/>
  </r>
  <r>
    <d v="2024-11-04T00:00:00"/>
    <n v="134.410302"/>
    <n v="-3.02899999999795E-3"/>
    <n v="-18.794464000000005"/>
    <n v="52.95"/>
    <n v="20"/>
    <n v="139.84395799999999"/>
    <n v="0.13421299999998837"/>
    <n v="-21.01598899999999"/>
    <n v="52.95"/>
    <n v="20"/>
    <x v="21"/>
    <x v="5"/>
    <s v="November"/>
    <s v="2024-45"/>
  </r>
  <r>
    <d v="2024-11-11T00:00:00"/>
    <n v="134.59466"/>
    <n v="0.18435800000000313"/>
    <n v="-17.795949000000007"/>
    <n v="52.95"/>
    <n v="20"/>
    <n v="140.13422300000002"/>
    <n v="0.29026500000003352"/>
    <n v="-20.252406000000008"/>
    <n v="52.95"/>
    <n v="20"/>
    <x v="21"/>
    <x v="5"/>
    <s v="November"/>
    <s v="2024-46"/>
  </r>
  <r>
    <d v="2024-11-18T00:00:00"/>
    <n v="134.848432"/>
    <n v="0.25377199999999789"/>
    <n v="-15.651865000000015"/>
    <n v="52.95"/>
    <n v="20"/>
    <n v="140.48737899999998"/>
    <n v="0.35315599999995584"/>
    <n v="-17.953745999999995"/>
    <n v="52.95"/>
    <n v="20"/>
    <x v="21"/>
    <x v="5"/>
    <s v="November"/>
    <s v="2024-47"/>
  </r>
  <r>
    <d v="2024-11-25T00:00:00"/>
    <n v="135.36596"/>
    <n v="0.51752799999999866"/>
    <n v="-12.626499999999993"/>
    <n v="52.95"/>
    <n v="20"/>
    <n v="141.40484000000001"/>
    <n v="0.91746100000003139"/>
    <n v="-14.778435999999971"/>
    <n v="52.95"/>
    <n v="20"/>
    <x v="21"/>
    <x v="5"/>
    <s v="November"/>
    <s v="2024-48"/>
  </r>
  <r>
    <d v="2024-12-02T00:00:00"/>
    <n v="135.92584099999999"/>
    <n v="0.55988099999999008"/>
    <n v="-9.7891290000000311"/>
    <n v="52.95"/>
    <n v="20"/>
    <n v="142.04014499999997"/>
    <n v="0.63530499999995982"/>
    <n v="-12.06443900000005"/>
    <n v="52.95"/>
    <n v="20"/>
    <x v="21"/>
    <x v="6"/>
    <s v="December"/>
    <s v="2024-49"/>
  </r>
  <r>
    <d v="2024-12-09T00:00:00"/>
    <n v="136.22645"/>
    <n v="0.30060900000000856"/>
    <n v="-7.5688870000000179"/>
    <n v="52.95"/>
    <n v="20"/>
    <n v="142.48728700000001"/>
    <n v="0.44714200000004212"/>
    <n v="-9.5184919999999806"/>
    <n v="52.95"/>
    <n v="20"/>
    <x v="21"/>
    <x v="6"/>
    <s v="December"/>
    <s v="2024-50"/>
  </r>
  <r>
    <d v="2024-12-16T00:00:00"/>
    <n v="136.39128099999999"/>
    <n v="0.1648309999999924"/>
    <n v="-5.1231460000000197"/>
    <n v="52.95"/>
    <n v="20"/>
    <n v="142.70911500000003"/>
    <n v="0.22182800000001635"/>
    <n v="-7.6693459999999618"/>
    <n v="52.95"/>
    <n v="20"/>
    <x v="21"/>
    <x v="6"/>
    <s v="December"/>
    <s v="2024-51"/>
  </r>
  <r>
    <d v="2024-12-23T00:00:00"/>
    <n v="136.385029"/>
    <n v="-6.2519999999892661E-3"/>
    <n v="-3.9403729999999939"/>
    <n v="52.95"/>
    <n v="20"/>
    <n v="142.848073"/>
    <n v="0.13895799999997394"/>
    <n v="-6.3877530000000036"/>
    <n v="52.95"/>
    <n v="20"/>
    <x v="21"/>
    <x v="6"/>
    <s v="December"/>
    <s v="2024-52"/>
  </r>
  <r>
    <d v="2024-12-30T00:00:00"/>
    <n v="136.491308"/>
    <n v="0.10627900000000068"/>
    <n v="-4.2874379999999803"/>
    <n v="52.95"/>
    <n v="20"/>
    <n v="142.98101699999998"/>
    <n v="0.13294399999998063"/>
    <n v="-5.6839170000000365"/>
    <n v="52.95"/>
    <n v="20"/>
    <x v="21"/>
    <x v="6"/>
    <s v="December"/>
    <s v="2024-53"/>
  </r>
  <r>
    <d v="2025-01-06T00:00:00"/>
    <n v="136.60324699999998"/>
    <n v="0.11193899999997825"/>
    <n v="-3.1159560000000113"/>
    <n v="52.95"/>
    <n v="20"/>
    <n v="143.295242"/>
    <n v="0.31422500000002174"/>
    <n v="-4.9171240000000012"/>
    <n v="52.95"/>
    <n v="20"/>
    <x v="22"/>
    <x v="7"/>
    <s v="January"/>
    <s v="2025-02"/>
  </r>
  <r>
    <d v="2025-01-13T00:00:00"/>
    <n v="136.509985"/>
    <n v="-9.3261999999981526E-2"/>
    <n v="-2.9757749999999703"/>
    <n v="52.95"/>
    <n v="20"/>
    <n v="143.32843099999999"/>
    <n v="3.318899999999303E-2"/>
    <n v="-4.6005280000000255"/>
    <n v="52.95"/>
    <n v="20"/>
    <x v="22"/>
    <x v="7"/>
    <s v="January"/>
    <s v="2025-03"/>
  </r>
  <r>
    <d v="2025-01-20T00:00:00"/>
    <n v="136.96904999999998"/>
    <n v="0.45906499999998118"/>
    <n v="-2.4188080000000127"/>
    <n v="52.95"/>
    <n v="20"/>
    <n v="144.26750099999998"/>
    <n v="0.93906999999998675"/>
    <n v="-3.690827000000013"/>
    <n v="52.95"/>
    <n v="20"/>
    <x v="22"/>
    <x v="7"/>
    <s v="January"/>
    <s v="2025-04"/>
  </r>
  <r>
    <d v="2025-01-27T00:00:00"/>
    <n v="138.36296499999997"/>
    <n v="1.3939149999999927"/>
    <n v="-1.5456890000000101"/>
    <n v="52.95"/>
    <n v="20"/>
    <n v="145.574793"/>
    <n v="1.3072920000000181"/>
    <n v="-2.9817669999999907"/>
    <n v="52.95"/>
    <n v="20"/>
    <x v="22"/>
    <x v="7"/>
    <s v="January"/>
    <s v="2025-05"/>
  </r>
  <r>
    <d v="2025-02-03T00:00:00"/>
    <n v="138.741411"/>
    <n v="0.37844600000002515"/>
    <n v="-1.8052319999999895"/>
    <n v="52.95"/>
    <n v="20"/>
    <n v="146.13087400000001"/>
    <n v="0.55608100000000604"/>
    <n v="-3.2238279999999975"/>
    <n v="52.95"/>
    <n v="20"/>
    <x v="22"/>
    <x v="8"/>
    <s v="February"/>
    <s v="2025-06"/>
  </r>
  <r>
    <d v="2025-02-10T00:00:00"/>
    <n v="139.021659"/>
    <n v="0.28024800000000027"/>
    <n v="-2.2547699999999793"/>
    <n v="52.95"/>
    <n v="20"/>
    <n v="146.29333200000002"/>
    <n v="0.16245800000001509"/>
    <n v="-3.9830269999999643"/>
    <n v="52.95"/>
    <n v="20"/>
    <x v="22"/>
    <x v="8"/>
    <s v="February"/>
    <s v="2025-07"/>
  </r>
  <r>
    <d v="2025-02-17T00:00:00"/>
    <n v="139.217579"/>
    <n v="0.19592000000000098"/>
    <n v="-3.6416930000000036"/>
    <n v="52.95"/>
    <n v="20"/>
    <n v="146.44771800000001"/>
    <n v="0.15438599999998814"/>
    <n v="-5.631842000000006"/>
    <n v="52.95"/>
    <n v="20"/>
    <x v="22"/>
    <x v="8"/>
    <s v="February"/>
    <s v="2025-08"/>
  </r>
  <r>
    <d v="2025-02-24T00:00:00"/>
    <n v="139.62223799999998"/>
    <n v="0.40465899999998101"/>
    <n v="-4.3388620000000344"/>
    <n v="52.95"/>
    <n v="20"/>
    <n v="146.82192700000002"/>
    <n v="0.37420900000000756"/>
    <n v="-6.4688199999999938"/>
    <n v="52.95"/>
    <n v="20"/>
    <x v="22"/>
    <x v="8"/>
    <s v="February"/>
    <s v="2025-09"/>
  </r>
  <r>
    <d v="2025-03-03T00:00:00"/>
    <n v="139.612483"/>
    <n v="-9.754999999984193E-3"/>
    <n v="-5.1152769999999919"/>
    <n v="52.95"/>
    <n v="20"/>
    <n v="146.884027"/>
    <n v="6.2099999999986721E-2"/>
    <n v="-7.6419889999999953"/>
    <n v="52.95"/>
    <n v="20"/>
    <x v="22"/>
    <x v="9"/>
    <s v="March"/>
    <s v="2025-10"/>
  </r>
  <r>
    <d v="2025-03-10T00:00:00"/>
    <n v="139.41696999999999"/>
    <n v="-0.19551300000000538"/>
    <n v="-5.2823110000000213"/>
    <n v="52.95"/>
    <n v="20"/>
    <n v="146.57529"/>
    <n v="-0.30873700000000781"/>
    <n v="-7.7173880000000281"/>
    <n v="52.95"/>
    <n v="20"/>
    <x v="22"/>
    <x v="9"/>
    <s v="March"/>
    <s v="2025-11"/>
  </r>
  <r>
    <d v="2025-03-17T00:00:00"/>
    <n v="137.971654"/>
    <n v="-1.4453159999999912"/>
    <n v="-6.7620179999999834"/>
    <n v="52.95"/>
    <n v="20"/>
    <n v="145.38482700000003"/>
    <n v="-1.1904629999999656"/>
    <n v="-8.4207479999999464"/>
    <n v="52.95"/>
    <n v="20"/>
    <x v="22"/>
    <x v="9"/>
    <s v="March"/>
    <s v="2025-12"/>
  </r>
  <r>
    <d v="2025-03-24T00:00:00"/>
    <n v="135.607957"/>
    <n v="-2.3636970000000019"/>
    <n v="-9.4499149999999759"/>
    <n v="52.95"/>
    <n v="20"/>
    <n v="143.07308"/>
    <n v="-2.3117470000000253"/>
    <n v="-10.823144999999982"/>
    <n v="52.95"/>
    <n v="20"/>
    <x v="22"/>
    <x v="9"/>
    <s v="March"/>
    <s v="2025-13"/>
  </r>
  <r>
    <d v="2025-03-31T00:00:00"/>
    <n v="134.907432"/>
    <n v="-0.70052499999999895"/>
    <n v="-11.345143000000007"/>
    <n v="52.95"/>
    <n v="20"/>
    <n v="142.255009"/>
    <n v="-0.81807100000000332"/>
    <n v="-13.747337000000016"/>
    <n v="52.95"/>
    <n v="20"/>
    <x v="22"/>
    <x v="9"/>
    <s v="March"/>
    <s v="2025-14"/>
  </r>
  <r>
    <d v="2025-04-07T00:00:00"/>
    <n v="135.24951899999999"/>
    <n v="0.34208699999999226"/>
    <n v="-11.665024000000017"/>
    <n v="52.95"/>
    <n v="20"/>
    <n v="142.54169199999998"/>
    <n v="0.28668299999998226"/>
    <n v="-13.750371999999999"/>
    <n v="52.95"/>
    <n v="20"/>
    <x v="22"/>
    <x v="10"/>
    <s v="April"/>
    <s v="2025-15"/>
  </r>
  <r>
    <d v="2025-04-14T00:00:00"/>
    <n v="134.847714"/>
    <n v="-0.40180499999999597"/>
    <n v="-13.638784000000015"/>
    <n v="52.95"/>
    <n v="20"/>
    <n v="141.97461799999999"/>
    <n v="-0.56707399999999097"/>
    <n v="-15.484390000000019"/>
    <n v="52.95"/>
    <n v="20"/>
    <x v="22"/>
    <x v="10"/>
    <s v="April"/>
    <s v="2025-16"/>
  </r>
  <r>
    <d v="2025-04-21T00:00:00"/>
    <n v="134.26116099999999"/>
    <n v="-0.58655300000000921"/>
    <n v="-14.953057999999999"/>
    <n v="52.95"/>
    <n v="20"/>
    <n v="141.44217399999999"/>
    <n v="-0.53244399999999814"/>
    <n v="-16.54038700000001"/>
    <n v="52.95"/>
    <n v="20"/>
    <x v="22"/>
    <x v="10"/>
    <s v="April"/>
    <s v="2025-17"/>
  </r>
  <r>
    <d v="2025-04-28T00:00:00"/>
    <n v="133.8357"/>
    <n v="-0.42546099999998432"/>
    <n v="-15.659178999999966"/>
    <n v="52.95"/>
    <n v="20"/>
    <n v="140.81097600000001"/>
    <n v="-0.63119799999998349"/>
    <n v="-17.166416999999996"/>
    <n v="52.95"/>
    <n v="20"/>
    <x v="22"/>
    <x v="10"/>
    <s v="April"/>
    <s v="2025-18"/>
  </r>
  <r>
    <d v="2025-05-05T00:00:00"/>
    <n v="133.18171299999997"/>
    <n v="-0.65398700000002918"/>
    <n v="-16.362372000000022"/>
    <n v="52.95"/>
    <n v="20"/>
    <n v="140.05547999999999"/>
    <n v="-0.75549600000002215"/>
    <n v="-17.582463000000018"/>
    <n v="52.95"/>
    <n v="20"/>
    <x v="22"/>
    <x v="11"/>
    <s v="May"/>
    <s v="2025-19"/>
  </r>
  <r>
    <d v="2025-05-12T00:00:00"/>
    <n v="132.31878399999999"/>
    <n v="-0.86292899999997985"/>
    <n v="-16.913164999999992"/>
    <n v="52.95"/>
    <n v="20"/>
    <n v="139.19787699999998"/>
    <n v="-0.85760300000001166"/>
    <n v="-17.882800000000003"/>
    <n v="52.95"/>
    <n v="20"/>
    <x v="22"/>
    <x v="11"/>
    <s v="May"/>
    <s v="2025-20"/>
  </r>
  <r>
    <d v="2025-05-19T00:00:00"/>
    <n v="132.074648"/>
    <n v="-0.24413599999999747"/>
    <n v="-16.757780999999994"/>
    <n v="52.95"/>
    <n v="20"/>
    <n v="138.57350100000002"/>
    <n v="-0.62437599999995541"/>
    <n v="-17.637786999999975"/>
    <n v="52.95"/>
    <n v="20"/>
    <x v="22"/>
    <x v="11"/>
    <s v="May"/>
    <s v="2025-21"/>
  </r>
  <r>
    <d v="2025-05-26T00:00:00"/>
    <n v="131.98617000000002"/>
    <n v="-8.8477999999980739E-2"/>
    <n v="-15.659751"/>
    <n v="52.95"/>
    <n v="20"/>
    <n v="138.367391"/>
    <n v="-0.20611000000002377"/>
    <n v="-15.937048000000004"/>
    <n v="52.95"/>
    <n v="20"/>
    <x v="22"/>
    <x v="11"/>
    <s v="May"/>
    <s v="2025-22"/>
  </r>
  <r>
    <d v="2025-06-02T00:00:00"/>
    <n v="131.45446399999997"/>
    <n v="-0.53170600000004242"/>
    <n v="-15.81109600000002"/>
    <n v="52.95"/>
    <n v="20"/>
    <n v="138.08744300000001"/>
    <n v="-0.27994799999999032"/>
    <n v="-15.174323000000015"/>
    <n v="52.95"/>
    <n v="20"/>
    <x v="22"/>
    <x v="0"/>
    <s v="June"/>
    <s v="2025-23"/>
  </r>
  <r>
    <d v="2025-06-09T00:00:00"/>
    <n v="131.347556"/>
    <n v="-0.1069079999999758"/>
    <n v="-14.903388000000007"/>
    <n v="52.95"/>
    <n v="20"/>
    <n v="137.53903200000002"/>
    <n v="-0.54841099999998733"/>
    <n v="-14.452602999999982"/>
    <n v="52.95"/>
    <n v="20"/>
    <x v="22"/>
    <x v="0"/>
    <s v="June"/>
    <s v="2025-24"/>
  </r>
  <r>
    <d v="2025-06-16T00:00:00"/>
    <n v="131.39140800000001"/>
    <n v="4.3852000000015323E-2"/>
    <n v="-13.702643999999992"/>
    <n v="52.95"/>
    <n v="20"/>
    <n v="137.542314"/>
    <n v="3.281999999984464E-3"/>
    <n v="-13.161507999999969"/>
    <n v="52.95"/>
    <n v="20"/>
    <x v="22"/>
    <x v="0"/>
    <s v="June"/>
    <s v="2025-25"/>
  </r>
  <r>
    <d v="2025-06-23T00:00:00"/>
    <n v="132.329373"/>
    <n v="0.93796499999999128"/>
    <n v="-12.105509999999981"/>
    <n v="52.95"/>
    <n v="20"/>
    <n v="139.02959200000001"/>
    <n v="1.4872780000000034"/>
    <n v="-11.087763999999964"/>
    <n v="52.95"/>
    <n v="20"/>
    <x v="22"/>
    <x v="0"/>
    <s v="June"/>
    <s v="2025-26"/>
  </r>
  <r>
    <d v="2025-06-30T00:00:00"/>
    <n v="132.95441300000002"/>
    <n v="0.6250400000000127"/>
    <n v="-11.323533999999995"/>
    <n v="52.95"/>
    <n v="20"/>
    <n v="140.26409099999998"/>
    <n v="1.2344989999999711"/>
    <n v="-9.7955260000000237"/>
    <n v="52.95"/>
    <n v="20"/>
    <x v="22"/>
    <x v="0"/>
    <s v="June"/>
    <s v="2025-27"/>
  </r>
  <r>
    <d v="2025-07-07T00:00:00"/>
    <n v="133.18821600000001"/>
    <n v="0.23380299999999465"/>
    <n v="-11.257021000000009"/>
    <n v="52.95"/>
    <n v="20"/>
    <n v="140.57684799999998"/>
    <n v="0.31275700000000484"/>
    <n v="-9.8167970000000082"/>
    <n v="52.95"/>
    <n v="20"/>
    <x v="22"/>
    <x v="1"/>
    <s v="July"/>
    <s v="2025-28"/>
  </r>
  <r>
    <d v="2025-07-14T00:00:00"/>
    <n v="133.945447"/>
    <n v="0.75723099999999022"/>
    <n v="-10.654519999999991"/>
    <n v="52.95"/>
    <n v="20"/>
    <n v="141.10385300000002"/>
    <n v="0.52700500000003103"/>
    <n v="-9.4585739999999987"/>
    <n v="52.95"/>
    <n v="20"/>
    <x v="22"/>
    <x v="1"/>
    <s v="July"/>
    <s v="2025-29"/>
  </r>
  <r>
    <d v="2025-07-21T00:00:00"/>
    <n v="134.09445300000002"/>
    <n v="0.14900600000001418"/>
    <n v="-10.593119000000002"/>
    <n v="52.95"/>
    <n v="20"/>
    <n v="141.850977"/>
    <n v="0.74712399999998524"/>
    <n v="-8.74088500000002"/>
    <n v="52.95"/>
    <n v="20"/>
    <x v="22"/>
    <x v="1"/>
    <s v="July"/>
    <s v="2025-30"/>
  </r>
  <r>
    <d v="2025-07-28T00:00:00"/>
    <n v="134.243922"/>
    <n v="0.14946899999998209"/>
    <n v="-9.9471350000000029"/>
    <n v="52.95"/>
    <n v="20"/>
    <n v="142.00014199999998"/>
    <n v="0.14916499999998223"/>
    <n v="-8.1564250000000129"/>
    <n v="52.95"/>
    <n v="20"/>
    <x v="22"/>
    <x v="1"/>
    <s v="July"/>
    <s v="2025-31"/>
  </r>
  <r>
    <d v="2025-08-04T00:00:00"/>
    <n v="134.29653199999998"/>
    <n v="5.2609999999987167E-2"/>
    <n v="-9.1278980000000161"/>
    <n v="52.95"/>
    <n v="20"/>
    <n v="142.130449"/>
    <n v="0.13030700000001616"/>
    <n v="-6.9681510000000344"/>
    <n v="52.95"/>
    <n v="20"/>
    <x v="22"/>
    <x v="2"/>
    <s v="August"/>
    <s v="2025-32"/>
  </r>
  <r>
    <d v="2025-08-11T00:00:00"/>
    <n v="134.38629299999999"/>
    <n v="8.9761000000009972E-2"/>
    <n v="-8.5267680000000325"/>
    <n v="52.95"/>
    <n v="20"/>
    <n v="142.48968600000001"/>
    <n v="0.35923700000000736"/>
    <n v="-5.9891299999999887"/>
    <n v="52.95"/>
    <n v="20"/>
    <x v="22"/>
    <x v="2"/>
    <s v="August"/>
    <s v="2025-33"/>
  </r>
  <r>
    <d v="2025-08-18T00:00:00"/>
    <n v="134.30053199999998"/>
    <n v="-8.5761000000019294E-2"/>
    <n v="-7.6592440000000295"/>
    <n v="52.95"/>
    <n v="20"/>
    <n v="142.16559099999998"/>
    <n v="-0.32409500000002822"/>
    <n v="-5.2584670000000244"/>
    <n v="52.95"/>
    <n v="20"/>
    <x v="22"/>
    <x v="2"/>
    <s v="August"/>
    <s v="2025-34"/>
  </r>
  <r>
    <d v="2025-08-25T00:00:00"/>
    <n v="133.91452700000002"/>
    <n v="-0.38600499999995463"/>
    <n v="-7.0951719999999625"/>
    <n v="52.95"/>
    <n v="20"/>
    <n v="141.917306"/>
    <n v="-0.24828499999998144"/>
    <n v="-4.2295070000000408"/>
    <n v="52.95"/>
    <n v="20"/>
    <x v="22"/>
    <x v="2"/>
    <s v="August"/>
    <s v="2025-35"/>
  </r>
  <r>
    <d v="2025-09-01T00:00:00"/>
    <n v="133.860963"/>
    <n v="-5.3564000000022816E-2"/>
    <n v="-6.1003670000000056"/>
    <n v="52.95"/>
    <n v="20"/>
    <n v="141.65410799999998"/>
    <n v="-0.26319800000001692"/>
    <n v="-3.5344460000000311"/>
    <n v="52.95"/>
    <n v="20"/>
    <x v="22"/>
    <x v="3"/>
    <s v="September"/>
    <s v="2025-36"/>
  </r>
  <r>
    <d v="2025-09-08T00:00:00"/>
    <n v="133.724233"/>
    <n v="-0.13673000000000002"/>
    <n v="-4.3762839999999983"/>
    <n v="52.95"/>
    <n v="20"/>
    <n v="141.58071000000001"/>
    <n v="-7.3397999999968988E-2"/>
    <n v="-1.8199940000000083"/>
    <n v="52.95"/>
    <n v="20"/>
    <x v="22"/>
    <x v="3"/>
    <s v="September"/>
    <s v="2025-37"/>
  </r>
  <r>
    <d v="2025-09-15T00:00:00"/>
    <n v="133.812353"/>
    <n v="8.8120000000003529E-2"/>
    <n v="-2.6735529999999983"/>
    <n v="52.95"/>
    <n v="20"/>
    <n v="141.68569500000001"/>
    <n v="0.10498499999999922"/>
    <n v="7.9585000000037098E-2"/>
    <n v="52.95"/>
    <n v="20"/>
    <x v="22"/>
    <x v="3"/>
    <s v="September"/>
    <s v="2025-38"/>
  </r>
  <r>
    <d v="2025-09-22T00:00:00"/>
    <n v="134.14521299999998"/>
    <n v="0.33285999999998239"/>
    <n v="-1.1141390000000229"/>
    <n v="52.95"/>
    <n v="20"/>
    <n v="142.024261"/>
    <n v="0.33856599999998593"/>
    <n v="2.0060450000000003"/>
    <n v="52.95"/>
    <n v="20"/>
    <x v="22"/>
    <x v="3"/>
    <s v="September"/>
    <s v="2025-39"/>
  </r>
  <r>
    <d v="2025-09-29T00:00:00"/>
    <n v="134.36203600000002"/>
    <n v="0.21682300000003352"/>
    <n v="0.19581900000002861"/>
    <n v="52.95"/>
    <n v="20"/>
    <n v="142.23597000000001"/>
    <n v="0.21170900000001325"/>
    <n v="3.3829760000000135"/>
    <n v="52.95"/>
    <n v="20"/>
    <x v="22"/>
    <x v="3"/>
    <s v="September"/>
    <s v="2025-40"/>
  </r>
  <r>
    <d v="2025-10-06T00:00:00"/>
    <n v="134.76431600000001"/>
    <n v="0.40227999999999042"/>
    <n v="1.1781000000000006"/>
    <n v="52.95"/>
    <n v="20"/>
    <n v="142.917157"/>
    <n v="0.68118699999999421"/>
    <n v="4.4537910000000238"/>
    <n v="52.95"/>
    <n v="20"/>
    <x v="22"/>
    <x v="4"/>
    <s v="October"/>
    <s v="2025-41"/>
  </r>
  <r>
    <d v="2025-10-13T00:00:00"/>
    <n v="134.81126799999998"/>
    <n v="4.6951999999976124E-2"/>
    <n v="0.95000699999999938"/>
    <n v="52.95"/>
    <n v="20"/>
    <n v="142.98682199999999"/>
    <n v="6.9664999999986321E-2"/>
    <n v="3.911627999999979"/>
    <n v="52.95"/>
    <n v="20"/>
    <x v="22"/>
    <x v="4"/>
    <s v="October"/>
    <s v="2025-42"/>
  </r>
  <r>
    <d v="2025-10-20T00:00:00"/>
    <n v="134.69223"/>
    <n v="-0.1190379999999891"/>
    <n v="0.70396399999998494"/>
    <n v="52.95"/>
    <n v="20"/>
    <n v="142.81489199999999"/>
    <n v="-0.17193000000000325"/>
    <n v="3.5539249999999925"/>
    <n v="52.95"/>
    <n v="20"/>
    <x v="22"/>
    <x v="4"/>
    <s v="October"/>
    <s v="2025-43"/>
  </r>
  <r>
    <d v="2025-10-27T00:00:00"/>
    <n v="134.40487300000001"/>
    <n v="-0.28735699999998587"/>
    <n v="-8.4579999999903066E-3"/>
    <n v="52.95"/>
    <n v="20"/>
    <n v="142.37860900000001"/>
    <n v="-0.43628299999997466"/>
    <n v="2.6688640000000134"/>
    <n v="52.95"/>
    <n v="20"/>
    <x v="22"/>
    <x v="4"/>
    <s v="October"/>
    <s v="2025-44"/>
  </r>
  <r>
    <d v="2025-11-03T00:00:00"/>
    <n v="134.38128799999998"/>
    <n v="-2.3585000000025502E-2"/>
    <n v="-2.9014000000017859E-2"/>
    <n v="52.95"/>
    <n v="20"/>
    <n v="142.60810999999998"/>
    <n v="0.22950099999997065"/>
    <n v="2.7641519999999957"/>
    <n v="52.95"/>
    <n v="20"/>
    <x v="22"/>
    <x v="5"/>
    <s v="November"/>
    <s v="2025-45"/>
  </r>
  <r>
    <d v="2025-11-10T00:00:00"/>
    <n v="134.64813899999999"/>
    <n v="0.26685100000000261"/>
    <n v="5.3478999999981625E-2"/>
    <n v="52.95"/>
    <n v="20"/>
    <n v="143.30982399999999"/>
    <n v="0.70171400000000972"/>
    <n v="3.1756009999999719"/>
    <n v="52.95"/>
    <n v="20"/>
    <x v="22"/>
    <x v="5"/>
    <s v="November"/>
    <s v="2025-46"/>
  </r>
  <r>
    <d v="2025-11-17T00:00:00"/>
    <n v="135.07288800000001"/>
    <n v="0.42474900000001981"/>
    <n v="0.22445600000000354"/>
    <n v="52.95"/>
    <n v="20"/>
    <n v="143.97318100000001"/>
    <n v="0.66335700000001907"/>
    <n v="3.4858020000000352"/>
    <n v="52.95"/>
    <n v="20"/>
    <x v="22"/>
    <x v="5"/>
    <s v="November"/>
    <s v="2025-47"/>
  </r>
  <r>
    <d v="2025-11-24T00:00:00"/>
    <n v="136.07401099999998"/>
    <n v="1.0011229999999784"/>
    <n v="0.70805099999998333"/>
    <n v="52.95"/>
    <n v="20"/>
    <n v="145.39935000000003"/>
    <n v="1.4261690000000158"/>
    <n v="3.9945100000000195"/>
    <n v="52.95"/>
    <n v="20"/>
    <x v="22"/>
    <x v="5"/>
    <s v="November"/>
    <s v="2025-48"/>
  </r>
  <r>
    <d v="2025-12-01T00:00:00"/>
    <n v="136.61131399999999"/>
    <n v="0.53730300000000852"/>
    <n v="0.68547300000000178"/>
    <n v="52.95"/>
    <n v="20"/>
    <n v="146.19905800000001"/>
    <n v="0.79970799999998121"/>
    <n v="4.1589130000000409"/>
    <n v="52.95"/>
    <n v="20"/>
    <x v="22"/>
    <x v="6"/>
    <s v="December"/>
    <s v="2025-49"/>
  </r>
  <r>
    <d v="2025-12-08T00:00:00"/>
    <n v="136.67733200000001"/>
    <n v="6.6018000000013899E-2"/>
    <n v="0.45088200000000711"/>
    <n v="52.95"/>
    <n v="20"/>
    <n v="146.23381900000001"/>
    <n v="3.476100000000315E-2"/>
    <n v="3.746532000000002"/>
    <n v="52.95"/>
    <n v="20"/>
    <x v="22"/>
    <x v="6"/>
    <s v="December"/>
    <s v="2025-50"/>
  </r>
  <r>
    <d v="2025-12-15T00:00:00"/>
    <n v="136.83113299999999"/>
    <n v="0.1538009999999872"/>
    <n v="0.43985200000000191"/>
    <n v="52.95"/>
    <n v="20"/>
    <n v="146.14285699999999"/>
    <n v="-9.0962000000018861E-2"/>
    <n v="3.4337419999999668"/>
    <n v="52.95"/>
    <n v="20"/>
    <x v="22"/>
    <x v="6"/>
    <s v="December"/>
    <s v="2025-51"/>
  </r>
  <r>
    <d v="2025-12-22T00:00:00"/>
    <n v="136.22822000000002"/>
    <n v="-0.6029129999999725"/>
    <n v="-0.15680899999998132"/>
    <n v="52.95"/>
    <n v="20"/>
    <n v="145.44801899999999"/>
    <n v="-0.69483800000000429"/>
    <n v="2.5999459999999885"/>
    <n v="52.95"/>
    <n v="20"/>
    <x v="22"/>
    <x v="6"/>
    <s v="December"/>
    <s v="2025-52"/>
  </r>
  <r>
    <d v="2025-12-29T00:00:00"/>
    <n v="135.338199"/>
    <n v="-0.8900210000000186"/>
    <n v="-1.1531090000000006"/>
    <n v="52.95"/>
    <n v="20"/>
    <n v="144.58739800000001"/>
    <n v="-0.86062099999998054"/>
    <n v="1.6063810000000274"/>
    <n v="52.95"/>
    <n v="20"/>
    <x v="22"/>
    <x v="6"/>
    <s v="December"/>
    <s v="2025-53"/>
  </r>
  <r>
    <d v="2026-01-05T00:00:00"/>
    <n v="134.89606800000001"/>
    <n v="-0.44213099999998917"/>
    <n v="-1.707178999999968"/>
    <n v="52.95"/>
    <n v="20"/>
    <n v="144.18756299999998"/>
    <n v="-0.39983500000002437"/>
    <n v="0.89232099999998127"/>
    <n v="52.95"/>
    <n v="20"/>
    <x v="23"/>
    <x v="7"/>
    <s v="January"/>
    <s v="2026-02"/>
  </r>
  <r>
    <d v="2026-01-12T00:00:00"/>
    <n v="133.43266399999999"/>
    <n v="-1.4634040000000255"/>
    <n v="-3.077321000000012"/>
    <n v="52.95"/>
    <n v="20"/>
    <n v="142.62878900000001"/>
    <n v="-1.5587739999999712"/>
    <n v="-0.699641999999983"/>
    <n v="52.95"/>
    <n v="20"/>
    <x v="23"/>
    <x v="7"/>
    <s v="January"/>
    <s v="2026-03"/>
  </r>
  <r>
    <d v="2026-01-19T00:00:00"/>
    <n v="132.639636"/>
    <n v="-0.79302799999999252"/>
    <n v="-4.3294139999999857"/>
    <n v="52.95"/>
    <n v="20"/>
    <n v="141.81531200000001"/>
    <n v="-0.813477000000006"/>
    <n v="-2.4521889999999757"/>
    <n v="52.95"/>
    <n v="20"/>
    <x v="23"/>
    <x v="7"/>
    <s v="January"/>
    <s v="2026-04"/>
  </r>
  <r>
    <d v="2026-01-26T00:00:00"/>
    <n v="131.99566799999999"/>
    <n v="-0.64396800000000098"/>
    <n v="-6.3672969999999793"/>
    <n v="52.95"/>
    <n v="20"/>
    <n v="141.25736000000001"/>
    <n v="-0.55795200000000023"/>
    <n v="-4.3174329999999941"/>
    <n v="52.95"/>
    <n v="20"/>
    <x v="23"/>
    <x v="7"/>
    <s v="January"/>
    <s v="2026-05"/>
  </r>
  <r>
    <d v="2026-02-02T00:00:00"/>
    <n v="131.62345400000001"/>
    <n v="-0.37221399999998539"/>
    <n v="-7.1179569999999899"/>
    <n v="52.95"/>
    <n v="20"/>
    <n v="140.81647099999998"/>
    <n v="-0.44088900000002695"/>
    <n v="-5.3144030000000271"/>
    <n v="52.95"/>
    <n v="20"/>
    <x v="23"/>
    <x v="8"/>
    <s v="February"/>
    <s v="2026-06"/>
  </r>
  <r>
    <d v="2026-02-09T00:00:00"/>
    <n v="131.46178999999998"/>
    <n v="-0.16166400000003023"/>
    <n v="-7.5598690000000204"/>
    <n v="52.95"/>
    <n v="20"/>
    <n v="140.72389400000003"/>
    <n v="-9.2576999999948839E-2"/>
    <n v="-5.569437999999991"/>
    <n v="52.95"/>
    <n v="20"/>
    <x v="23"/>
    <x v="8"/>
    <s v="February"/>
    <s v="2026-07"/>
  </r>
  <r>
    <d v="2026-02-16T00:00:00"/>
    <n v="131.597407"/>
    <n v="0.13561700000002475"/>
    <n v="-7.6201719999999966"/>
    <n v="52.95"/>
    <n v="20"/>
    <n v="141.45736099999999"/>
    <n v="0.7334669999999619"/>
    <n v="-4.9903570000000173"/>
    <n v="52.95"/>
    <n v="20"/>
    <x v="23"/>
    <x v="8"/>
    <s v="February"/>
    <s v="2026-08"/>
  </r>
  <r>
    <d v="2026-02-23T00:00:00"/>
    <n v="131.70702400000002"/>
    <n v="0.10961700000001429"/>
    <n v="-7.9152139999999633"/>
    <n v="52.95"/>
    <n v="20"/>
    <n v="141.455443"/>
    <n v="-1.9179999999892061E-3"/>
    <n v="-5.366484000000014"/>
    <n v="52.95"/>
    <n v="20"/>
    <x v="23"/>
    <x v="8"/>
    <s v="February"/>
    <s v="2026-09"/>
  </r>
  <r>
    <d v="2026-03-02T00:00:00"/>
    <n v="132.13817599999999"/>
    <n v="0.43115199999996889"/>
    <n v="-7.4743070000000102"/>
    <n v="52.95"/>
    <n v="20"/>
    <n v="142.14869900000002"/>
    <n v="0.69325600000001941"/>
    <n v="-4.7353279999999813"/>
    <n v="52.95"/>
    <n v="20"/>
    <x v="23"/>
    <x v="9"/>
    <s v="March"/>
    <s v="2026-10"/>
  </r>
  <r>
    <d v="2026-03-09T00:00:00"/>
    <n v="135.667125"/>
    <n v="3.5289490000000114"/>
    <n v="-3.7498449999999934"/>
    <n v="52.95"/>
    <n v="20"/>
    <n v="149.01496200000003"/>
    <n v="6.8662630000000036"/>
    <n v="2.43967200000003"/>
    <n v="52.95"/>
    <n v="20"/>
    <x v="23"/>
    <x v="9"/>
    <s v="March"/>
    <s v="2026-11"/>
  </r>
  <r>
    <d v="2026-03-16T00:00:00"/>
    <n v="140.275083"/>
    <n v="4.6079579999999964"/>
    <n v="2.3034289999999942"/>
    <n v="52.95"/>
    <n v="20"/>
    <n v="158.78076900000002"/>
    <n v="9.7658069999999952"/>
    <n v="13.395941999999991"/>
    <n v="52.95"/>
    <n v="20"/>
    <x v="23"/>
    <x v="9"/>
    <s v="March"/>
    <s v="2026-12"/>
  </r>
  <r>
    <d v="2026-03-23T00:00:00"/>
    <n v="144.16244899999998"/>
    <n v="3.8873659999999859"/>
    <n v="8.554491999999982"/>
    <n v="52.95"/>
    <n v="20"/>
    <n v="166.877734"/>
    <n v="8.0969649999999831"/>
    <n v="23.804653999999999"/>
    <n v="52.95"/>
    <n v="20"/>
    <x v="23"/>
    <x v="9"/>
    <s v="March"/>
    <s v="2026-13"/>
  </r>
  <r>
    <d v="2026-03-30T00:00:00"/>
    <n v="148.781409"/>
    <n v="4.6189600000000155"/>
    <n v="13.873976999999996"/>
    <n v="52.95"/>
    <n v="20"/>
    <n v="176.52186600000002"/>
    <n v="9.6441320000000132"/>
    <n v="34.266857000000016"/>
    <n v="52.95"/>
    <n v="20"/>
    <x v="23"/>
    <x v="9"/>
    <s v="March"/>
    <s v="2026-14"/>
  </r>
  <r>
    <d v="2026-04-06T00:00:00"/>
    <n v="154.65179699999999"/>
    <n v="5.8703879999999913"/>
    <n v="19.402277999999995"/>
    <n v="52.95"/>
    <n v="20"/>
    <n v="186.74589200000003"/>
    <n v="10.224026000000009"/>
    <n v="44.204200000000043"/>
    <n v="52.95"/>
    <n v="20"/>
    <x v="23"/>
    <x v="10"/>
    <s v="April"/>
    <s v="2026-15"/>
  </r>
  <r>
    <d v="2026-04-13T00:00:00"/>
    <n v="158.17279600000001"/>
    <n v="3.5209990000000175"/>
    <n v="23.325082000000009"/>
    <n v="52.95"/>
    <n v="20"/>
    <n v="192.13534799999999"/>
    <n v="5.3894559999999672"/>
    <n v="50.160730000000001"/>
    <n v="52.95"/>
    <n v="20"/>
    <x v="23"/>
    <x v="10"/>
    <s v="April"/>
    <s v="2026-16"/>
  </r>
  <r>
    <d v="2026-04-20T00:00:00"/>
    <n v="157.624481"/>
    <n v="-0.54831500000000233"/>
    <n v="23.363320000000016"/>
    <n v="52.95"/>
    <n v="20"/>
    <n v="191.237031"/>
    <n v="-0.89831699999999159"/>
    <n v="49.794857000000007"/>
    <n v="52.95"/>
    <n v="20"/>
    <x v="23"/>
    <x v="10"/>
    <s v="April"/>
    <s v="2026-17"/>
  </r>
  <r>
    <d v="2026-04-27T00:00:00"/>
    <n v="156.99114800000004"/>
    <n v="-0.63333299999996484"/>
    <n v="23.155448000000035"/>
    <n v="52.95"/>
    <n v="20"/>
    <n v="189.81097900000003"/>
    <n v="-1.4260519999999701"/>
    <n v="49.000003000000021"/>
    <n v="52.95"/>
    <n v="20"/>
    <x v="23"/>
    <x v="10"/>
    <s v="April"/>
    <s v="2026-18"/>
  </r>
  <r>
    <d v="2026-05-04T00:00:00"/>
    <n v="156.81544799999998"/>
    <n v="-0.17570000000006303"/>
    <n v="23.633735000000001"/>
    <n v="52.95"/>
    <n v="20"/>
    <n v="188.79284200000001"/>
    <n v="-1.0181370000000243"/>
    <n v="48.737362000000019"/>
    <n v="52.95"/>
    <n v="20"/>
    <x v="23"/>
    <x v="11"/>
    <s v="May"/>
    <s v="2026-19"/>
  </r>
  <r>
    <d v="2026-05-11T00:00:00"/>
    <n v="156.80991900000001"/>
    <n v="-5.5289999999672546E-3"/>
    <n v="24.491135000000014"/>
    <n v="52.95"/>
    <n v="20"/>
    <n v="188.141614"/>
    <n v="-0.65122800000000325"/>
    <n v="48.943737000000027"/>
    <n v="52.95"/>
    <n v="20"/>
    <x v="23"/>
    <x v="11"/>
    <s v="May"/>
    <s v="2026-20"/>
  </r>
  <r>
    <d v="2026-05-18T00:00:00"/>
    <n v="157.39308400000002"/>
    <n v="0.58316500000000815"/>
    <n v="25.31843600000002"/>
    <n v="52.95"/>
    <n v="20"/>
    <n v="186.56378000000001"/>
    <n v="-1.5778339999999957"/>
    <n v="47.990278999999987"/>
    <n v="52.95"/>
    <n v="20"/>
    <x v="23"/>
    <x v="11"/>
    <s v="May"/>
    <s v="2026-21"/>
  </r>
  <r>
    <d v="2026-05-25T00:00:00"/>
    <n v="158.780822"/>
    <n v="1.3877379999999846"/>
    <n v="26.794651999999985"/>
    <n v="52.95"/>
    <n v="20"/>
    <n v="185.06502800000001"/>
    <n v="-1.4987519999999961"/>
    <n v="46.697637000000014"/>
    <n v="52.95"/>
    <n v="20"/>
    <x v="23"/>
    <x v="11"/>
    <s v="May"/>
    <s v="2026-22"/>
  </r>
  <r>
    <d v="2026-06-01T00:00:00"/>
    <n v="158.735591"/>
    <n v="-4.5231000000001131E-2"/>
    <n v="27.281127000000026"/>
    <n v="52.95"/>
    <n v="20"/>
    <n v="184.10922200000002"/>
    <n v="-0.95580599999999549"/>
    <n v="46.021779000000009"/>
    <n v="52.95"/>
    <n v="20"/>
    <x v="23"/>
    <x v="0"/>
    <s v="June"/>
    <s v="2026-23"/>
  </r>
  <r>
    <d v="2026-06-08T00:00:00"/>
    <n v="157.950931"/>
    <n v="-0.78466000000000236"/>
    <n v="26.603375"/>
    <n v="52.95"/>
    <n v="20"/>
    <n v="181.78607500000001"/>
    <n v="-2.3231470000000058"/>
    <n v="44.247042999999991"/>
    <n v="52.95"/>
    <n v="20"/>
    <x v="23"/>
    <x v="0"/>
    <s v="June"/>
    <s v="2026-24"/>
  </r>
  <r>
    <d v="2026-06-15T00:00:00"/>
    <n v="155.53671700000001"/>
    <n v="-2.414213999999987"/>
    <n v="24.145308999999997"/>
    <n v="52.95"/>
    <n v="20"/>
    <n v="176.71444"/>
    <n v="-5.0716350000000148"/>
    <n v="39.172125999999992"/>
    <n v="52.95"/>
    <n v="20"/>
    <x v="23"/>
    <x v="0"/>
    <s v="June"/>
    <s v="2026-25"/>
  </r>
  <r>
    <d v="2026-06-22T00:00:00"/>
    <n v="153.26066599999999"/>
    <n v="-2.2760510000000238"/>
    <n v="20.931292999999982"/>
    <n v="52.95"/>
    <n v="20"/>
    <n v="172.46530100000001"/>
    <n v="-4.2491389999999853"/>
    <n v="33.435709000000003"/>
    <n v="52.95"/>
    <n v="20"/>
    <x v="23"/>
    <x v="0"/>
    <s v="June"/>
    <s v="2026-26"/>
  </r>
  <r>
    <d v="2026-06-29T00:00:00"/>
    <n v="151.01665299999999"/>
    <n v="-2.2440129999999954"/>
    <n v="18.062239999999974"/>
    <n v="52.95"/>
    <n v="20"/>
    <n v="167.121861"/>
    <n v="-5.3434400000000153"/>
    <n v="26.857770000000016"/>
    <n v="52.95"/>
    <n v="20"/>
    <x v="23"/>
    <x v="0"/>
    <s v="June"/>
    <s v="2026-27"/>
  </r>
  <r>
    <d v="2026-07-06T00:00:00"/>
    <n v="149.79589500000003"/>
    <n v="-1.2207579999999609"/>
    <n v="16.607679000000019"/>
    <n v="52.95"/>
    <n v="20"/>
    <n v="164.774722"/>
    <n v="-2.3471389999999985"/>
    <n v="24.197874000000013"/>
    <n v="52.95"/>
    <n v="20"/>
    <x v="23"/>
    <x v="1"/>
    <s v="July"/>
    <s v="2026-28"/>
  </r>
  <r>
    <d v="2026-07-13T00:00:00"/>
    <n v="150.529146"/>
    <n v="0.73325099999996723"/>
    <n v="16.583698999999996"/>
    <n v="52.95"/>
    <n v="20"/>
    <n v="164.51511599999998"/>
    <n v="-0.25960600000001932"/>
    <n v="23.411262999999963"/>
    <n v="52.95"/>
    <n v="20"/>
    <x v="23"/>
    <x v="1"/>
    <s v="July"/>
    <s v="2026-29"/>
  </r>
  <r>
    <d v="2026-07-20T00:00:00"/>
    <n v="152.29188300000001"/>
    <n v="1.7627370000000155"/>
    <n v="18.197429999999997"/>
    <n v="52.95"/>
    <n v="20"/>
    <n v="167.08453599999999"/>
    <n v="2.569420000000008"/>
    <n v="25.233558999999985"/>
    <n v="52.95"/>
    <n v="20"/>
    <x v="23"/>
    <x v="1"/>
    <s v="July"/>
    <s v="2026-30"/>
  </r>
  <r>
    <d v="2026-07-27T00:00:00"/>
    <n v="156.13248000000002"/>
    <n v="3.8405970000000025"/>
    <n v="21.888558000000018"/>
    <n v="52.95"/>
    <n v="20"/>
    <n v="173.96566300000001"/>
    <n v="6.8811270000000206"/>
    <n v="31.965521000000024"/>
    <n v="52.95"/>
    <n v="20"/>
    <x v="23"/>
    <x v="1"/>
    <s v="July"/>
    <s v="2026-31"/>
  </r>
  <r>
    <d v="2026-08-03T00:00:00"/>
    <n v="159.889082"/>
    <n v="3.7566019999999867"/>
    <n v="25.592550000000017"/>
    <n v="52.95"/>
    <n v="20"/>
    <n v="179.186646"/>
    <n v="5.2209829999999897"/>
    <n v="37.056196999999997"/>
    <n v="52.95"/>
    <n v="20"/>
    <x v="23"/>
    <x v="2"/>
    <s v="August"/>
    <s v="2026-32"/>
  </r>
  <r>
    <d v="2026-08-10T00:00:00"/>
    <n v="162.14530099999999"/>
    <n v="2.2562189999999873"/>
    <n v="27.759007999999994"/>
    <n v="52.95"/>
    <n v="20"/>
    <n v="181.97299099999998"/>
    <n v="2.786344999999983"/>
    <n v="39.483304999999973"/>
    <n v="52.95"/>
    <n v="20"/>
    <x v="23"/>
    <x v="2"/>
    <s v="August"/>
    <s v="2026-33"/>
  </r>
  <r>
    <d v="2026-08-17T00:00:00"/>
    <n v="161.802539"/>
    <n v="-0.34276199999999335"/>
    <n v="27.50200700000002"/>
    <n v="52.95"/>
    <n v="20"/>
    <n v="182.45175599999999"/>
    <n v="0.47876500000000988"/>
    <n v="40.286165000000011"/>
    <n v="52.95"/>
    <n v="20"/>
    <x v="23"/>
    <x v="2"/>
    <s v="August"/>
    <s v="2026-34"/>
  </r>
  <r>
    <d v="2026-08-24T00:00:00"/>
    <n v="161.627835"/>
    <n v="-0.17470399999999131"/>
    <n v="27.713307999999984"/>
    <n v="52.95"/>
    <n v="20"/>
    <n v="182.81792899999999"/>
    <n v="0.36617300000000341"/>
    <n v="40.900622999999996"/>
    <n v="52.95"/>
    <n v="20"/>
    <x v="23"/>
    <x v="2"/>
    <s v="August"/>
    <s v="2026-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EA3587-A68E-4EF9-8B9E-812A7262315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/Month">
  <location ref="F2:K27" firstHeaderRow="0" firstDataRow="1" firstDataCol="1"/>
  <pivotFields count="15">
    <pivotField dataField="1" numFmtId="14" showAll="0"/>
    <pivotField dataField="1" showAll="0"/>
    <pivotField showAll="0"/>
    <pivotField showAll="0"/>
    <pivotField numFmtId="2" showAll="0"/>
    <pivotField numFmtId="2" showAll="0"/>
    <pivotField dataField="1" showAll="0"/>
    <pivotField showAll="0"/>
    <pivotField showAll="0"/>
    <pivotField numFmtId="2" showAll="0"/>
    <pivotField numFmtId="2" showAll="0"/>
    <pivotField axis="axisRow" numFmtId="1" showAll="0">
      <items count="2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t="default"/>
      </items>
    </pivotField>
    <pivotField axis="axisRow" numFmtId="1" showAll="0">
      <items count="13">
        <item x="7"/>
        <item x="8"/>
        <item x="9"/>
        <item x="10"/>
        <item x="11"/>
        <item x="0"/>
        <item x="1"/>
        <item x="2"/>
        <item x="3"/>
        <item x="4"/>
        <item x="5"/>
        <item x="6"/>
        <item t="default"/>
      </items>
    </pivotField>
    <pivotField showAll="0"/>
    <pivotField showAll="0"/>
  </pivotFields>
  <rowFields count="2">
    <field x="11"/>
    <field x="1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Weeks" fld="0" subtotal="count" baseField="11" baseItem="0"/>
    <dataField name="Average of  Petrol_Price(p/litre)" fld="1" subtotal="average" baseField="11" baseItem="0"/>
    <dataField name="Max. of  Petrol_Price(p/litre)" fld="1" subtotal="max" baseField="11" baseItem="0"/>
    <dataField name="Average of Diesel_Price (p/litre)" fld="6" subtotal="average" baseField="11" baseItem="0"/>
    <dataField name="Max. of Diesel_Price (p/litre)" fld="6" subtotal="max" baseField="11" baseItem="0"/>
  </dataFields>
  <formats count="4">
    <format dxfId="44">
      <pivotArea outline="0" collapsedLevelsAreSubtotals="1" fieldPosition="0"/>
    </format>
    <format dxfId="43">
      <pivotArea dataOnly="0" labelOnly="1" outline="0" axis="axisValues" fieldPosition="0"/>
    </format>
    <format dxfId="42">
      <pivotArea outline="0" collapsedLevelsAreSubtotals="1" fieldPosition="0"/>
    </format>
    <format dxfId="4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E1BD21-9834-4766-A495-EFEA6EDB7F06}" name="Weekly_Prices_time_series_from_2003" displayName="Weekly_Prices_time_series_from_2003" ref="A1:K1213" totalsRowShown="0" headerRowDxfId="33" dataDxfId="32">
  <autoFilter ref="A1:K1213" xr:uid="{ACE1BD21-9834-4766-A495-EFEA6EDB7F06}"/>
  <tableColumns count="11">
    <tableColumn id="1" xr3:uid="{115A7501-86E7-4A92-BB03-E3EEF91F95A0}" name="Date" dataDxfId="31"/>
    <tableColumn id="2" xr3:uid="{CA4B919B-1CF6-47E8-A79B-EB1F6BF38D39}" name="ULSP: Pump price (p/litre)" dataDxfId="30"/>
    <tableColumn id="3" xr3:uid="{9D384F61-2A24-4BBD-9310-1060B46302CC}" name="ULSP: Diff on previous week (p/litre)" dataDxfId="29">
      <calculatedColumnFormula>B2-B1</calculatedColumnFormula>
    </tableColumn>
    <tableColumn id="4" xr3:uid="{9AE539A6-E7EC-41F6-A15E-3DC46BFCBC80}" name="ULSP: Diff on previous year (p/litre)" dataDxfId="28"/>
    <tableColumn id="5" xr3:uid="{ED9A10AF-BEB2-4A7F-AD5B-9465838EC5AE}" name="ULSP: Duty rate (p/litre)" dataDxfId="27"/>
    <tableColumn id="6" xr3:uid="{077E955B-308C-4FFF-AAB0-1248925EAA33}" name="ULSP: VAT rate (%)" dataDxfId="26"/>
    <tableColumn id="7" xr3:uid="{5BC3EBB2-37F7-44F6-A98E-8A8F5E1FAB30}" name="ULSD: Pump price (p/litre)" dataDxfId="25"/>
    <tableColumn id="8" xr3:uid="{5AB923DF-64FE-4AF5-8EB0-753DFA1FD073}" name="ULSD: Diff on previous week (p/litre)" dataDxfId="24">
      <calculatedColumnFormula>G2-G1</calculatedColumnFormula>
    </tableColumn>
    <tableColumn id="9" xr3:uid="{4060B1A2-8942-42B1-BE87-3D55173DA900}" name="ULSD: Diff on previous year (p/litre)" dataDxfId="23"/>
    <tableColumn id="10" xr3:uid="{41AC808C-A785-4C47-B871-178B41B085BA}" name="ULSD: Duty rate (p/litre)" dataDxfId="22"/>
    <tableColumn id="11" xr3:uid="{9C2A3CCF-55E2-4813-A3AD-70B52D7ADA97}" name="ULSD: VAT rate (%)" dataDxfId="2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58B9CF-F2A9-4D0F-9784-155FD00D3473}" name="Weekly_Prices" displayName="Weekly_Prices" ref="A1:O1214" totalsRowCount="1" headerRowDxfId="20" dataDxfId="19">
  <autoFilter ref="A1:O1213" xr:uid="{5458B9CF-F2A9-4D0F-9784-155FD00D3473}"/>
  <tableColumns count="15">
    <tableColumn id="1" xr3:uid="{EBDAB47E-B3B2-4F78-9716-B79DD8A30CCA}" name="Date" dataDxfId="18"/>
    <tableColumn id="2" xr3:uid="{9F87D410-5ABF-46E6-9505-E890DD738E25}" name=" Petrol_Price(p/litre)" dataDxfId="17"/>
    <tableColumn id="3" xr3:uid="{D31CF791-3674-4599-B036-E6A6F4701B7F}" name="Petrol_Week_Change (p/litre)" dataDxfId="16">
      <calculatedColumnFormula>B2-B1</calculatedColumnFormula>
    </tableColumn>
    <tableColumn id="4" xr3:uid="{92886510-103C-4617-8C31-9DD495F919D9}" name="Petrol_Year_Change (p/litre)" dataDxfId="15"/>
    <tableColumn id="5" xr3:uid="{0837310C-975E-4A53-A616-6F38BF0C90D3}" name="Petrol_Duty (p/litre)" dataDxfId="14"/>
    <tableColumn id="6" xr3:uid="{1887E6DE-E75C-4BE6-B0B6-31F836A0170B}" name="Petrol_VAT rate (%)" dataDxfId="13"/>
    <tableColumn id="7" xr3:uid="{16A541E2-38E6-4099-820F-6F197EE6CAC3}" name="Diesel_Price (p/litre)" dataDxfId="12"/>
    <tableColumn id="8" xr3:uid="{57CED93C-CC11-4BD5-A9BE-B9DF37B8AF7A}" name="Diesel_Week_Change (p/litre)" dataDxfId="11">
      <calculatedColumnFormula>G2-G1</calculatedColumnFormula>
    </tableColumn>
    <tableColumn id="9" xr3:uid="{8999EF9A-FB21-4413-99DF-1363E7C81596}" name="Diesel_Year_Change (p/litre)" dataDxfId="10"/>
    <tableColumn id="10" xr3:uid="{62E2CBE3-8885-4A13-A4D3-F7F5A74E6E45}" name="Diesel_Duty (p/litre)" dataDxfId="9"/>
    <tableColumn id="11" xr3:uid="{4579F27F-E92B-4DFC-BC91-46616A9FC784}" name="Diesel_VAT rate (%)" dataDxfId="8"/>
    <tableColumn id="12" xr3:uid="{01B9AC7D-6002-4BE1-8C75-22A882BB500E}" name="Year" dataDxfId="7">
      <calculatedColumnFormula>YEAR(Weekly_Prices[[#This Row],[Date]])</calculatedColumnFormula>
    </tableColumn>
    <tableColumn id="13" xr3:uid="{02C538CF-29F7-4A07-AAF8-10A3D68F2513}" name="Month" dataDxfId="6">
      <calculatedColumnFormula>MONTH(Weekly_Prices[[#This Row],[Date]])</calculatedColumnFormula>
    </tableColumn>
    <tableColumn id="14" xr3:uid="{57C11478-5A3C-42B5-9CEA-A8A58A0ADD1F}" name="MonthName" dataDxfId="5">
      <calculatedColumnFormula>TEXT(Weekly_Prices[[#This Row],[Date]],"MMMM")</calculatedColumnFormula>
    </tableColumn>
    <tableColumn id="15" xr3:uid="{0947F058-3498-458D-B6AF-343E92352E16}" name="Week_ID" dataDxfId="4">
      <calculatedColumnFormula>YEAR(Weekly_Prices[[#This Row],[Date]])&amp;"-"&amp;TEXT(WEEKNUM(Weekly_Prices[[#This Row],[Date]],2),"00")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EF8B1E-3556-48D9-90D9-195ABC919228}" name="Latest_Week_Snapshot" displayName="Latest_Week_Snapshot" ref="A4:C8" totalsRowShown="0" headerRowDxfId="40" dataDxfId="38" headerRowBorderDxfId="39" tableBorderDxfId="37">
  <autoFilter ref="A4:C8" xr:uid="{3CEF8B1E-3556-48D9-90D9-195ABC919228}"/>
  <tableColumns count="3">
    <tableColumn id="1" xr3:uid="{8C5E242F-9BC6-4B1A-95CB-107C313ECEE7}" name="Metric" dataDxfId="36"/>
    <tableColumn id="2" xr3:uid="{F5BBCE48-1658-4D93-8004-CFEBB6AFA8F9}" name="Petrol (ULSP)" dataDxfId="35"/>
    <tableColumn id="3" xr3:uid="{40E99A56-CED8-4E34-8784-0067B34F8568}" name="Diesel (ULSD)" dataDxfId="3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8A9EA47-FCCB-4507-A905-A38817EDEE14}" name="Table5" displayName="Table5" ref="A6:B17" totalsRowShown="0" headerRowDxfId="3" dataDxfId="2">
  <autoFilter ref="A6:B17" xr:uid="{18A9EA47-FCCB-4507-A905-A38817EDEE14}">
    <filterColumn colId="0" hiddenButton="1"/>
    <filterColumn colId="1" hiddenButton="1"/>
  </autoFilter>
  <tableColumns count="2">
    <tableColumn id="1" xr3:uid="{CADAEB79-5DC4-49F4-8DB6-DF58E927D006}" name="Data Point" dataDxfId="1"/>
    <tableColumn id="2" xr3:uid="{C3ED47A6-6AEF-438F-B8CE-EC32AE5235D2}" name="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5563BB3-CF7A-4FB3-9B1C-80BE24064105}">
  <we:reference id="6da5b0d7-dbb0-49a9-93ba-d19c80971ba6" version="8.0.4.0" store="EXCatalog" storeType="EXCatalog"/>
  <we:alternateReferences>
    <we:reference id="WA104381050" version="8.0.4.0" store="en-GB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5B6D0-BEFD-4200-9F54-E9961BFA672F}">
  <sheetPr>
    <tabColor rgb="FF00B0F0"/>
  </sheetPr>
  <dimension ref="A1:K35"/>
  <sheetViews>
    <sheetView showGridLines="0" workbookViewId="0">
      <selection activeCell="B18" sqref="B18"/>
    </sheetView>
  </sheetViews>
  <sheetFormatPr defaultRowHeight="14.5" x14ac:dyDescent="0.35"/>
  <cols>
    <col min="1" max="1" width="19.36328125" bestFit="1" customWidth="1"/>
    <col min="2" max="2" width="71.81640625" bestFit="1" customWidth="1"/>
    <col min="3" max="3" width="18.08984375" bestFit="1" customWidth="1"/>
  </cols>
  <sheetData>
    <row r="1" spans="1:11" ht="26" x14ac:dyDescent="0.35">
      <c r="A1" s="43" t="s">
        <v>60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11" ht="23.5" customHeight="1" x14ac:dyDescent="0.35">
      <c r="A2" s="44" t="s">
        <v>61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4" spans="1:11" x14ac:dyDescent="0.35">
      <c r="A4" s="45" t="s">
        <v>62</v>
      </c>
      <c r="B4" s="45"/>
      <c r="C4" s="45"/>
    </row>
    <row r="5" spans="1:11" ht="37.5" x14ac:dyDescent="0.35">
      <c r="A5" s="50" t="s">
        <v>63</v>
      </c>
      <c r="B5" s="59" t="s">
        <v>64</v>
      </c>
    </row>
    <row r="6" spans="1:11" x14ac:dyDescent="0.35">
      <c r="A6" s="50" t="s">
        <v>65</v>
      </c>
      <c r="B6" s="48" t="s">
        <v>66</v>
      </c>
    </row>
    <row r="7" spans="1:11" x14ac:dyDescent="0.35">
      <c r="A7" s="50" t="s">
        <v>67</v>
      </c>
      <c r="B7" s="48" t="s">
        <v>68</v>
      </c>
    </row>
    <row r="8" spans="1:11" x14ac:dyDescent="0.35">
      <c r="A8" s="50" t="s">
        <v>69</v>
      </c>
      <c r="B8" s="48" t="s">
        <v>70</v>
      </c>
    </row>
    <row r="9" spans="1:11" x14ac:dyDescent="0.35">
      <c r="A9" s="50" t="s">
        <v>71</v>
      </c>
      <c r="B9" s="48" t="s">
        <v>72</v>
      </c>
    </row>
    <row r="11" spans="1:11" x14ac:dyDescent="0.35">
      <c r="A11" s="45" t="s">
        <v>73</v>
      </c>
      <c r="B11" s="45"/>
      <c r="C11" s="45"/>
    </row>
    <row r="12" spans="1:11" x14ac:dyDescent="0.35">
      <c r="A12" s="46" t="s">
        <v>74</v>
      </c>
      <c r="B12" s="46" t="s">
        <v>75</v>
      </c>
    </row>
    <row r="13" spans="1:11" x14ac:dyDescent="0.35">
      <c r="A13" s="49" t="s">
        <v>76</v>
      </c>
      <c r="B13" s="49" t="s">
        <v>77</v>
      </c>
    </row>
    <row r="14" spans="1:11" x14ac:dyDescent="0.35">
      <c r="A14" s="49" t="s">
        <v>113</v>
      </c>
      <c r="B14" s="49" t="s">
        <v>81</v>
      </c>
    </row>
    <row r="15" spans="1:11" x14ac:dyDescent="0.35">
      <c r="A15" s="49" t="s">
        <v>112</v>
      </c>
      <c r="B15" s="49" t="s">
        <v>78</v>
      </c>
    </row>
    <row r="16" spans="1:11" x14ac:dyDescent="0.35">
      <c r="A16" s="49" t="s">
        <v>114</v>
      </c>
      <c r="B16" s="49" t="s">
        <v>79</v>
      </c>
    </row>
    <row r="17" spans="1:3" x14ac:dyDescent="0.35">
      <c r="A17" s="49" t="s">
        <v>115</v>
      </c>
      <c r="B17" s="49" t="s">
        <v>80</v>
      </c>
    </row>
    <row r="19" spans="1:3" x14ac:dyDescent="0.35">
      <c r="A19" s="45" t="s">
        <v>116</v>
      </c>
      <c r="B19" s="45"/>
      <c r="C19" s="45"/>
    </row>
    <row r="20" spans="1:3" x14ac:dyDescent="0.35">
      <c r="A20" s="46" t="s">
        <v>82</v>
      </c>
      <c r="B20" s="46" t="s">
        <v>83</v>
      </c>
      <c r="C20" s="46" t="s">
        <v>84</v>
      </c>
    </row>
    <row r="21" spans="1:3" x14ac:dyDescent="0.35">
      <c r="A21" s="49" t="s">
        <v>0</v>
      </c>
      <c r="B21" s="49" t="s">
        <v>85</v>
      </c>
      <c r="C21" s="49" t="s">
        <v>86</v>
      </c>
    </row>
    <row r="22" spans="1:3" x14ac:dyDescent="0.35">
      <c r="A22" s="47" t="s">
        <v>87</v>
      </c>
      <c r="B22" s="47" t="s">
        <v>88</v>
      </c>
      <c r="C22" s="47" t="s">
        <v>89</v>
      </c>
    </row>
    <row r="23" spans="1:3" x14ac:dyDescent="0.35">
      <c r="A23" s="49" t="s">
        <v>90</v>
      </c>
      <c r="B23" s="49" t="s">
        <v>91</v>
      </c>
      <c r="C23" s="49" t="s">
        <v>89</v>
      </c>
    </row>
    <row r="24" spans="1:3" x14ac:dyDescent="0.35">
      <c r="A24" s="47" t="s">
        <v>92</v>
      </c>
      <c r="B24" s="47" t="s">
        <v>93</v>
      </c>
      <c r="C24" s="47" t="s">
        <v>89</v>
      </c>
    </row>
    <row r="25" spans="1:3" x14ac:dyDescent="0.35">
      <c r="A25" s="49" t="s">
        <v>14</v>
      </c>
      <c r="B25" s="49" t="s">
        <v>94</v>
      </c>
      <c r="C25" s="49" t="s">
        <v>89</v>
      </c>
    </row>
    <row r="26" spans="1:3" x14ac:dyDescent="0.35">
      <c r="A26" s="47" t="s">
        <v>15</v>
      </c>
      <c r="B26" s="47" t="s">
        <v>95</v>
      </c>
      <c r="C26" s="47" t="s">
        <v>96</v>
      </c>
    </row>
    <row r="27" spans="1:3" x14ac:dyDescent="0.35">
      <c r="A27" s="49" t="s">
        <v>16</v>
      </c>
      <c r="B27" s="49" t="s">
        <v>97</v>
      </c>
      <c r="C27" s="49" t="s">
        <v>89</v>
      </c>
    </row>
    <row r="28" spans="1:3" x14ac:dyDescent="0.35">
      <c r="A28" s="47" t="s">
        <v>98</v>
      </c>
      <c r="B28" s="47" t="s">
        <v>99</v>
      </c>
      <c r="C28" s="47" t="s">
        <v>89</v>
      </c>
    </row>
    <row r="29" spans="1:3" x14ac:dyDescent="0.35">
      <c r="A29" s="49" t="s">
        <v>100</v>
      </c>
      <c r="B29" s="49" t="s">
        <v>101</v>
      </c>
      <c r="C29" s="49" t="s">
        <v>89</v>
      </c>
    </row>
    <row r="30" spans="1:3" x14ac:dyDescent="0.35">
      <c r="A30" s="47" t="s">
        <v>19</v>
      </c>
      <c r="B30" s="47" t="s">
        <v>102</v>
      </c>
      <c r="C30" s="47" t="s">
        <v>89</v>
      </c>
    </row>
    <row r="31" spans="1:3" x14ac:dyDescent="0.35">
      <c r="A31" s="49" t="s">
        <v>20</v>
      </c>
      <c r="B31" s="49" t="s">
        <v>103</v>
      </c>
      <c r="C31" s="49" t="s">
        <v>96</v>
      </c>
    </row>
    <row r="32" spans="1:3" x14ac:dyDescent="0.35">
      <c r="A32" s="47" t="s">
        <v>21</v>
      </c>
      <c r="B32" s="47" t="s">
        <v>104</v>
      </c>
      <c r="C32" s="47" t="s">
        <v>105</v>
      </c>
    </row>
    <row r="33" spans="1:3" x14ac:dyDescent="0.35">
      <c r="A33" s="49" t="s">
        <v>22</v>
      </c>
      <c r="B33" s="49" t="s">
        <v>106</v>
      </c>
      <c r="C33" s="49" t="s">
        <v>107</v>
      </c>
    </row>
    <row r="34" spans="1:3" x14ac:dyDescent="0.35">
      <c r="A34" s="47" t="s">
        <v>23</v>
      </c>
      <c r="B34" s="47" t="s">
        <v>108</v>
      </c>
      <c r="C34" s="47" t="s">
        <v>105</v>
      </c>
    </row>
    <row r="35" spans="1:3" x14ac:dyDescent="0.35">
      <c r="A35" s="49" t="s">
        <v>109</v>
      </c>
      <c r="B35" s="49" t="s">
        <v>110</v>
      </c>
      <c r="C35" s="49" t="s">
        <v>111</v>
      </c>
    </row>
  </sheetData>
  <mergeCells count="5">
    <mergeCell ref="A4:C4"/>
    <mergeCell ref="A11:C11"/>
    <mergeCell ref="A19:C19"/>
    <mergeCell ref="A1:K1"/>
    <mergeCell ref="A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20F0B-2B8D-4273-915F-BCF72299673C}">
  <sheetPr>
    <tabColor theme="5"/>
  </sheetPr>
  <dimension ref="A1:K1213"/>
  <sheetViews>
    <sheetView topLeftCell="G1194" workbookViewId="0">
      <selection activeCell="H1214" sqref="H1214"/>
    </sheetView>
  </sheetViews>
  <sheetFormatPr defaultRowHeight="14.5" x14ac:dyDescent="0.35"/>
  <cols>
    <col min="1" max="1" width="10.6328125" bestFit="1" customWidth="1"/>
    <col min="2" max="2" width="27.453125" bestFit="1" customWidth="1"/>
    <col min="3" max="3" width="37.36328125" bestFit="1" customWidth="1"/>
    <col min="4" max="4" width="36.26953125" bestFit="1" customWidth="1"/>
    <col min="5" max="5" width="25.1796875" bestFit="1" customWidth="1"/>
    <col min="6" max="6" width="21.453125" bestFit="1" customWidth="1"/>
    <col min="7" max="7" width="27.54296875" bestFit="1" customWidth="1"/>
    <col min="8" max="8" width="37.453125" bestFit="1" customWidth="1"/>
    <col min="9" max="9" width="36.36328125" bestFit="1" customWidth="1"/>
    <col min="10" max="10" width="25.26953125" bestFit="1" customWidth="1"/>
    <col min="11" max="11" width="21.542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>
        <v>37781</v>
      </c>
      <c r="B2" s="3">
        <v>74.590283999999997</v>
      </c>
      <c r="C2" s="4"/>
      <c r="D2" s="4"/>
      <c r="E2" s="3">
        <v>45.82</v>
      </c>
      <c r="F2" s="3">
        <v>17.5</v>
      </c>
      <c r="G2" s="3">
        <v>76.773393999999996</v>
      </c>
      <c r="H2" s="4"/>
      <c r="I2" s="4"/>
      <c r="J2" s="3">
        <v>45.82</v>
      </c>
      <c r="K2" s="3">
        <v>17.5</v>
      </c>
    </row>
    <row r="3" spans="1:11" x14ac:dyDescent="0.35">
      <c r="A3" s="2">
        <v>37788</v>
      </c>
      <c r="B3" s="3">
        <v>74.469143000000003</v>
      </c>
      <c r="C3" s="4">
        <f t="shared" ref="C3:C66" si="0">B3-B2</f>
        <v>-0.12114099999999439</v>
      </c>
      <c r="D3" s="4"/>
      <c r="E3" s="3">
        <v>45.82</v>
      </c>
      <c r="F3" s="3">
        <v>17.5</v>
      </c>
      <c r="G3" s="3">
        <v>76.689053999999999</v>
      </c>
      <c r="H3" s="4">
        <f t="shared" ref="H3:H66" si="1">G3-G2</f>
        <v>-8.4339999999997417E-2</v>
      </c>
      <c r="I3" s="4"/>
      <c r="J3" s="3">
        <v>45.82</v>
      </c>
      <c r="K3" s="3">
        <v>17.5</v>
      </c>
    </row>
    <row r="4" spans="1:11" x14ac:dyDescent="0.35">
      <c r="A4" s="2">
        <v>37795</v>
      </c>
      <c r="B4" s="3">
        <v>74.423565999999994</v>
      </c>
      <c r="C4" s="4">
        <f t="shared" si="0"/>
        <v>-4.5577000000008638E-2</v>
      </c>
      <c r="D4" s="4"/>
      <c r="E4" s="3">
        <v>45.82</v>
      </c>
      <c r="F4" s="3">
        <v>17.5</v>
      </c>
      <c r="G4" s="3">
        <v>76.620546000000004</v>
      </c>
      <c r="H4" s="4">
        <f t="shared" si="1"/>
        <v>-6.850799999999424E-2</v>
      </c>
      <c r="I4" s="4"/>
      <c r="J4" s="3">
        <v>45.82</v>
      </c>
      <c r="K4" s="3">
        <v>17.5</v>
      </c>
    </row>
    <row r="5" spans="1:11" x14ac:dyDescent="0.35">
      <c r="A5" s="2">
        <v>37802</v>
      </c>
      <c r="B5" s="3">
        <v>74.352420999999993</v>
      </c>
      <c r="C5" s="4">
        <f t="shared" si="0"/>
        <v>-7.1145000000001346E-2</v>
      </c>
      <c r="D5" s="4"/>
      <c r="E5" s="3">
        <v>45.82</v>
      </c>
      <c r="F5" s="3">
        <v>17.5</v>
      </c>
      <c r="G5" s="3">
        <v>76.505259999999993</v>
      </c>
      <c r="H5" s="4">
        <f t="shared" si="1"/>
        <v>-0.11528600000001177</v>
      </c>
      <c r="I5" s="4"/>
      <c r="J5" s="3">
        <v>45.82</v>
      </c>
      <c r="K5" s="3">
        <v>17.5</v>
      </c>
    </row>
    <row r="6" spans="1:11" x14ac:dyDescent="0.35">
      <c r="A6" s="2">
        <v>37809</v>
      </c>
      <c r="B6" s="3">
        <v>74.283737000000002</v>
      </c>
      <c r="C6" s="4">
        <f t="shared" si="0"/>
        <v>-6.8683999999990419E-2</v>
      </c>
      <c r="D6" s="4"/>
      <c r="E6" s="3">
        <v>45.82</v>
      </c>
      <c r="F6" s="3">
        <v>17.5</v>
      </c>
      <c r="G6" s="3">
        <v>76.457375999999996</v>
      </c>
      <c r="H6" s="4">
        <f t="shared" si="1"/>
        <v>-4.7883999999996263E-2</v>
      </c>
      <c r="I6" s="4"/>
      <c r="J6" s="3">
        <v>45.82</v>
      </c>
      <c r="K6" s="3">
        <v>17.5</v>
      </c>
    </row>
    <row r="7" spans="1:11" x14ac:dyDescent="0.35">
      <c r="A7" s="2">
        <v>37816</v>
      </c>
      <c r="B7" s="3">
        <v>74.206576999999996</v>
      </c>
      <c r="C7" s="4">
        <f t="shared" si="0"/>
        <v>-7.7160000000006335E-2</v>
      </c>
      <c r="D7" s="4"/>
      <c r="E7" s="3">
        <v>45.82</v>
      </c>
      <c r="F7" s="3">
        <v>17.5</v>
      </c>
      <c r="G7" s="3">
        <v>76.408119999999997</v>
      </c>
      <c r="H7" s="4">
        <f t="shared" si="1"/>
        <v>-4.9255999999999744E-2</v>
      </c>
      <c r="I7" s="4"/>
      <c r="J7" s="3">
        <v>45.82</v>
      </c>
      <c r="K7" s="3">
        <v>17.5</v>
      </c>
    </row>
    <row r="8" spans="1:11" x14ac:dyDescent="0.35">
      <c r="A8" s="2">
        <v>37823</v>
      </c>
      <c r="B8" s="3">
        <v>75.065240000000003</v>
      </c>
      <c r="C8" s="4">
        <f t="shared" si="0"/>
        <v>0.85866300000000706</v>
      </c>
      <c r="D8" s="4"/>
      <c r="E8" s="3">
        <v>45.82</v>
      </c>
      <c r="F8" s="3">
        <v>17.5</v>
      </c>
      <c r="G8" s="3">
        <v>76.899144000000007</v>
      </c>
      <c r="H8" s="4">
        <f t="shared" si="1"/>
        <v>0.49102400000001012</v>
      </c>
      <c r="I8" s="4"/>
      <c r="J8" s="3">
        <v>45.82</v>
      </c>
      <c r="K8" s="3">
        <v>17.5</v>
      </c>
    </row>
    <row r="9" spans="1:11" x14ac:dyDescent="0.35">
      <c r="A9" s="2">
        <v>37830</v>
      </c>
      <c r="B9" s="3">
        <v>75.10085500000001</v>
      </c>
      <c r="C9" s="4">
        <f t="shared" si="0"/>
        <v>3.5615000000007058E-2</v>
      </c>
      <c r="D9" s="4"/>
      <c r="E9" s="3">
        <v>45.82</v>
      </c>
      <c r="F9" s="3">
        <v>17.5</v>
      </c>
      <c r="G9" s="3">
        <v>76.861863999999997</v>
      </c>
      <c r="H9" s="4">
        <f t="shared" si="1"/>
        <v>-3.728000000000975E-2</v>
      </c>
      <c r="I9" s="4"/>
      <c r="J9" s="3">
        <v>45.82</v>
      </c>
      <c r="K9" s="3">
        <v>17.5</v>
      </c>
    </row>
    <row r="10" spans="1:11" x14ac:dyDescent="0.35">
      <c r="A10" s="2">
        <v>37837</v>
      </c>
      <c r="B10" s="3">
        <v>75.124384000000006</v>
      </c>
      <c r="C10" s="4">
        <f t="shared" si="0"/>
        <v>2.3528999999996358E-2</v>
      </c>
      <c r="D10" s="4"/>
      <c r="E10" s="3">
        <v>45.82</v>
      </c>
      <c r="F10" s="3">
        <v>17.5</v>
      </c>
      <c r="G10" s="3">
        <v>76.812342000000001</v>
      </c>
      <c r="H10" s="4">
        <f t="shared" si="1"/>
        <v>-4.9521999999996069E-2</v>
      </c>
      <c r="I10" s="4"/>
      <c r="J10" s="3">
        <v>45.82</v>
      </c>
      <c r="K10" s="3">
        <v>17.5</v>
      </c>
    </row>
    <row r="11" spans="1:11" x14ac:dyDescent="0.35">
      <c r="A11" s="2">
        <v>37844</v>
      </c>
      <c r="B11" s="3">
        <v>75.444516000000007</v>
      </c>
      <c r="C11" s="4">
        <f t="shared" si="0"/>
        <v>0.32013200000000097</v>
      </c>
      <c r="D11" s="4"/>
      <c r="E11" s="3">
        <v>45.82</v>
      </c>
      <c r="F11" s="3">
        <v>17.5</v>
      </c>
      <c r="G11" s="3">
        <v>77.080737999999997</v>
      </c>
      <c r="H11" s="4">
        <f t="shared" si="1"/>
        <v>0.26839599999999564</v>
      </c>
      <c r="I11" s="4"/>
      <c r="J11" s="3">
        <v>45.82</v>
      </c>
      <c r="K11" s="3">
        <v>17.5</v>
      </c>
    </row>
    <row r="12" spans="1:11" x14ac:dyDescent="0.35">
      <c r="A12" s="2">
        <v>37851</v>
      </c>
      <c r="B12" s="3">
        <v>75.808947999999987</v>
      </c>
      <c r="C12" s="4">
        <f t="shared" si="0"/>
        <v>0.36443199999997944</v>
      </c>
      <c r="D12" s="4"/>
      <c r="E12" s="3">
        <v>45.82</v>
      </c>
      <c r="F12" s="3">
        <v>17.5</v>
      </c>
      <c r="G12" s="3">
        <v>77.438590000000005</v>
      </c>
      <c r="H12" s="4">
        <f t="shared" si="1"/>
        <v>0.35785200000000827</v>
      </c>
      <c r="I12" s="4"/>
      <c r="J12" s="3">
        <v>45.82</v>
      </c>
      <c r="K12" s="3">
        <v>17.5</v>
      </c>
    </row>
    <row r="13" spans="1:11" x14ac:dyDescent="0.35">
      <c r="A13" s="2">
        <v>37859</v>
      </c>
      <c r="B13" s="3">
        <v>76.053010999999998</v>
      </c>
      <c r="C13" s="4">
        <f t="shared" si="0"/>
        <v>0.24406300000001124</v>
      </c>
      <c r="D13" s="4"/>
      <c r="E13" s="3">
        <v>45.82</v>
      </c>
      <c r="F13" s="3">
        <v>17.5</v>
      </c>
      <c r="G13" s="3">
        <v>77.675094000000001</v>
      </c>
      <c r="H13" s="4">
        <f t="shared" si="1"/>
        <v>0.23650399999999649</v>
      </c>
      <c r="I13" s="4"/>
      <c r="J13" s="3">
        <v>45.82</v>
      </c>
      <c r="K13" s="3">
        <v>17.5</v>
      </c>
    </row>
    <row r="14" spans="1:11" x14ac:dyDescent="0.35">
      <c r="A14" s="2">
        <v>37865</v>
      </c>
      <c r="B14" s="3">
        <v>76.125859999999989</v>
      </c>
      <c r="C14" s="4">
        <f t="shared" si="0"/>
        <v>7.2848999999990838E-2</v>
      </c>
      <c r="D14" s="4"/>
      <c r="E14" s="3">
        <v>45.82</v>
      </c>
      <c r="F14" s="3">
        <v>17.5</v>
      </c>
      <c r="G14" s="3">
        <v>77.587704000000002</v>
      </c>
      <c r="H14" s="4">
        <f t="shared" si="1"/>
        <v>-8.7389999999999191E-2</v>
      </c>
      <c r="I14" s="4"/>
      <c r="J14" s="3">
        <v>45.82</v>
      </c>
      <c r="K14" s="3">
        <v>17.5</v>
      </c>
    </row>
    <row r="15" spans="1:11" x14ac:dyDescent="0.35">
      <c r="A15" s="2">
        <v>37872</v>
      </c>
      <c r="B15" s="3">
        <v>76.226190000000003</v>
      </c>
      <c r="C15" s="4">
        <f t="shared" si="0"/>
        <v>0.1003300000000138</v>
      </c>
      <c r="D15" s="4"/>
      <c r="E15" s="3">
        <v>45.82</v>
      </c>
      <c r="F15" s="3">
        <v>17.5</v>
      </c>
      <c r="G15" s="3">
        <v>77.670140000000004</v>
      </c>
      <c r="H15" s="4">
        <f t="shared" si="1"/>
        <v>8.2436000000001286E-2</v>
      </c>
      <c r="I15" s="4"/>
      <c r="J15" s="3">
        <v>45.82</v>
      </c>
      <c r="K15" s="3">
        <v>17.5</v>
      </c>
    </row>
    <row r="16" spans="1:11" x14ac:dyDescent="0.35">
      <c r="A16" s="2">
        <v>37879</v>
      </c>
      <c r="B16" s="3">
        <v>76.196424999999991</v>
      </c>
      <c r="C16" s="4">
        <f t="shared" si="0"/>
        <v>-2.976500000001181E-2</v>
      </c>
      <c r="D16" s="4"/>
      <c r="E16" s="3">
        <v>45.82</v>
      </c>
      <c r="F16" s="3">
        <v>17.5</v>
      </c>
      <c r="G16" s="3">
        <v>77.626435999999998</v>
      </c>
      <c r="H16" s="4">
        <f t="shared" si="1"/>
        <v>-4.3704000000005294E-2</v>
      </c>
      <c r="I16" s="4"/>
      <c r="J16" s="3">
        <v>45.82</v>
      </c>
      <c r="K16" s="3">
        <v>17.5</v>
      </c>
    </row>
    <row r="17" spans="1:11" x14ac:dyDescent="0.35">
      <c r="A17" s="2">
        <v>37886</v>
      </c>
      <c r="B17" s="3">
        <v>76.148708999999997</v>
      </c>
      <c r="C17" s="4">
        <f t="shared" si="0"/>
        <v>-4.7715999999994096E-2</v>
      </c>
      <c r="D17" s="4"/>
      <c r="E17" s="3">
        <v>45.82</v>
      </c>
      <c r="F17" s="3">
        <v>17.5</v>
      </c>
      <c r="G17" s="3">
        <v>77.545841999999993</v>
      </c>
      <c r="H17" s="4">
        <f t="shared" si="1"/>
        <v>-8.0594000000004939E-2</v>
      </c>
      <c r="I17" s="4"/>
      <c r="J17" s="3">
        <v>45.82</v>
      </c>
      <c r="K17" s="3">
        <v>17.5</v>
      </c>
    </row>
    <row r="18" spans="1:11" x14ac:dyDescent="0.35">
      <c r="A18" s="2">
        <v>37893</v>
      </c>
      <c r="B18" s="3">
        <v>76.08399</v>
      </c>
      <c r="C18" s="4">
        <f t="shared" si="0"/>
        <v>-6.471899999999664E-2</v>
      </c>
      <c r="D18" s="4"/>
      <c r="E18" s="3">
        <v>45.82</v>
      </c>
      <c r="F18" s="3">
        <v>17.5</v>
      </c>
      <c r="G18" s="3">
        <v>77.526893999999999</v>
      </c>
      <c r="H18" s="4">
        <f t="shared" si="1"/>
        <v>-1.8947999999994636E-2</v>
      </c>
      <c r="I18" s="4"/>
      <c r="J18" s="3">
        <v>45.82</v>
      </c>
      <c r="K18" s="3">
        <v>17.5</v>
      </c>
    </row>
    <row r="19" spans="1:11" x14ac:dyDescent="0.35">
      <c r="A19" s="2">
        <v>37900</v>
      </c>
      <c r="B19" s="3">
        <v>76.432933000000006</v>
      </c>
      <c r="C19" s="4">
        <f t="shared" si="0"/>
        <v>0.34894300000000555</v>
      </c>
      <c r="D19" s="4"/>
      <c r="E19" s="3">
        <v>47.1</v>
      </c>
      <c r="F19" s="3">
        <v>17.5</v>
      </c>
      <c r="G19" s="3">
        <v>77.661236000000002</v>
      </c>
      <c r="H19" s="4">
        <f t="shared" si="1"/>
        <v>0.13434200000000374</v>
      </c>
      <c r="I19" s="4"/>
      <c r="J19" s="3">
        <v>47.1</v>
      </c>
      <c r="K19" s="3">
        <v>17.5</v>
      </c>
    </row>
    <row r="20" spans="1:11" x14ac:dyDescent="0.35">
      <c r="A20" s="2">
        <v>37907</v>
      </c>
      <c r="B20" s="3">
        <v>75.897528000000008</v>
      </c>
      <c r="C20" s="4">
        <f t="shared" si="0"/>
        <v>-0.53540499999999724</v>
      </c>
      <c r="D20" s="4"/>
      <c r="E20" s="3">
        <v>47.1</v>
      </c>
      <c r="F20" s="3">
        <v>17.5</v>
      </c>
      <c r="G20" s="3">
        <v>77.426488000000006</v>
      </c>
      <c r="H20" s="4">
        <f t="shared" si="1"/>
        <v>-0.23474799999999618</v>
      </c>
      <c r="I20" s="4"/>
      <c r="J20" s="3">
        <v>47.1</v>
      </c>
      <c r="K20" s="3">
        <v>17.5</v>
      </c>
    </row>
    <row r="21" spans="1:11" x14ac:dyDescent="0.35">
      <c r="A21" s="2">
        <v>37914</v>
      </c>
      <c r="B21" s="3">
        <v>76.048059999999992</v>
      </c>
      <c r="C21" s="4">
        <f t="shared" si="0"/>
        <v>0.15053199999998412</v>
      </c>
      <c r="D21" s="4"/>
      <c r="E21" s="3">
        <v>47.1</v>
      </c>
      <c r="F21" s="3">
        <v>17.5</v>
      </c>
      <c r="G21" s="3">
        <v>77.544713999999999</v>
      </c>
      <c r="H21" s="4">
        <f t="shared" si="1"/>
        <v>0.11822599999999284</v>
      </c>
      <c r="I21" s="4"/>
      <c r="J21" s="3">
        <v>47.1</v>
      </c>
      <c r="K21" s="3">
        <v>17.5</v>
      </c>
    </row>
    <row r="22" spans="1:11" x14ac:dyDescent="0.35">
      <c r="A22" s="2">
        <v>37921</v>
      </c>
      <c r="B22" s="3">
        <v>75.995459999999994</v>
      </c>
      <c r="C22" s="4">
        <f t="shared" si="0"/>
        <v>-5.2599999999998204E-2</v>
      </c>
      <c r="D22" s="4"/>
      <c r="E22" s="3">
        <v>47.1</v>
      </c>
      <c r="F22" s="3">
        <v>17.5</v>
      </c>
      <c r="G22" s="3">
        <v>77.510977999999994</v>
      </c>
      <c r="H22" s="4">
        <f t="shared" si="1"/>
        <v>-3.3736000000004651E-2</v>
      </c>
      <c r="I22" s="4"/>
      <c r="J22" s="3">
        <v>47.1</v>
      </c>
      <c r="K22" s="3">
        <v>17.5</v>
      </c>
    </row>
    <row r="23" spans="1:11" x14ac:dyDescent="0.35">
      <c r="A23" s="2">
        <v>37928</v>
      </c>
      <c r="B23" s="3">
        <v>75.996259000000009</v>
      </c>
      <c r="C23" s="4">
        <f t="shared" si="0"/>
        <v>7.9900000001487115E-4</v>
      </c>
      <c r="D23" s="4"/>
      <c r="E23" s="3">
        <v>47.1</v>
      </c>
      <c r="F23" s="3">
        <v>17.5</v>
      </c>
      <c r="G23" s="3">
        <v>77.519974000000005</v>
      </c>
      <c r="H23" s="4">
        <f t="shared" si="1"/>
        <v>8.9960000000104401E-3</v>
      </c>
      <c r="I23" s="4"/>
      <c r="J23" s="3">
        <v>47.1</v>
      </c>
      <c r="K23" s="3">
        <v>17.5</v>
      </c>
    </row>
    <row r="24" spans="1:11" x14ac:dyDescent="0.35">
      <c r="A24" s="2">
        <v>37935</v>
      </c>
      <c r="B24" s="3">
        <v>75.942830000000001</v>
      </c>
      <c r="C24" s="4">
        <f t="shared" si="0"/>
        <v>-5.3429000000008386E-2</v>
      </c>
      <c r="D24" s="4"/>
      <c r="E24" s="3">
        <v>47.1</v>
      </c>
      <c r="F24" s="3">
        <v>17.5</v>
      </c>
      <c r="G24" s="3">
        <v>77.469867999999991</v>
      </c>
      <c r="H24" s="4">
        <f t="shared" si="1"/>
        <v>-5.0106000000013751E-2</v>
      </c>
      <c r="I24" s="4"/>
      <c r="J24" s="3">
        <v>47.1</v>
      </c>
      <c r="K24" s="3">
        <v>17.5</v>
      </c>
    </row>
    <row r="25" spans="1:11" x14ac:dyDescent="0.35">
      <c r="A25" s="2">
        <v>37942</v>
      </c>
      <c r="B25" s="3">
        <v>75.926843000000005</v>
      </c>
      <c r="C25" s="4">
        <f t="shared" si="0"/>
        <v>-1.5986999999995533E-2</v>
      </c>
      <c r="D25" s="4"/>
      <c r="E25" s="3">
        <v>47.1</v>
      </c>
      <c r="F25" s="3">
        <v>17.5</v>
      </c>
      <c r="G25" s="3">
        <v>77.517623999999998</v>
      </c>
      <c r="H25" s="4">
        <f t="shared" si="1"/>
        <v>4.7756000000006793E-2</v>
      </c>
      <c r="I25" s="4"/>
      <c r="J25" s="3">
        <v>47.1</v>
      </c>
      <c r="K25" s="3">
        <v>17.5</v>
      </c>
    </row>
    <row r="26" spans="1:11" x14ac:dyDescent="0.35">
      <c r="A26" s="2">
        <v>37949</v>
      </c>
      <c r="B26" s="3">
        <v>76.015097999999995</v>
      </c>
      <c r="C26" s="4">
        <f t="shared" si="0"/>
        <v>8.8254999999989536E-2</v>
      </c>
      <c r="D26" s="4"/>
      <c r="E26" s="3">
        <v>47.1</v>
      </c>
      <c r="F26" s="3">
        <v>17.5</v>
      </c>
      <c r="G26" s="3">
        <v>77.670648</v>
      </c>
      <c r="H26" s="4">
        <f t="shared" si="1"/>
        <v>0.15302400000000205</v>
      </c>
      <c r="I26" s="4"/>
      <c r="J26" s="3">
        <v>47.1</v>
      </c>
      <c r="K26" s="3">
        <v>17.5</v>
      </c>
    </row>
    <row r="27" spans="1:11" x14ac:dyDescent="0.35">
      <c r="A27" s="2">
        <v>37956</v>
      </c>
      <c r="B27" s="3">
        <v>75.995276000000004</v>
      </c>
      <c r="C27" s="4">
        <f t="shared" si="0"/>
        <v>-1.982199999999068E-2</v>
      </c>
      <c r="D27" s="4"/>
      <c r="E27" s="3">
        <v>47.1</v>
      </c>
      <c r="F27" s="3">
        <v>17.5</v>
      </c>
      <c r="G27" s="3">
        <v>77.657071999999999</v>
      </c>
      <c r="H27" s="4">
        <f t="shared" si="1"/>
        <v>-1.3576000000000477E-2</v>
      </c>
      <c r="I27" s="4"/>
      <c r="J27" s="3">
        <v>47.1</v>
      </c>
      <c r="K27" s="3">
        <v>17.5</v>
      </c>
    </row>
    <row r="28" spans="1:11" x14ac:dyDescent="0.35">
      <c r="A28" s="2">
        <v>37963</v>
      </c>
      <c r="B28" s="3">
        <v>75.970566000000005</v>
      </c>
      <c r="C28" s="4">
        <f t="shared" si="0"/>
        <v>-2.47099999999989E-2</v>
      </c>
      <c r="D28" s="4"/>
      <c r="E28" s="3">
        <v>47.1</v>
      </c>
      <c r="F28" s="3">
        <v>17.5</v>
      </c>
      <c r="G28" s="3">
        <v>77.628803999999988</v>
      </c>
      <c r="H28" s="4">
        <f t="shared" si="1"/>
        <v>-2.8268000000011284E-2</v>
      </c>
      <c r="I28" s="4"/>
      <c r="J28" s="3">
        <v>47.1</v>
      </c>
      <c r="K28" s="3">
        <v>17.5</v>
      </c>
    </row>
    <row r="29" spans="1:11" x14ac:dyDescent="0.35">
      <c r="A29" s="2">
        <v>37970</v>
      </c>
      <c r="B29" s="3">
        <v>75.959063</v>
      </c>
      <c r="C29" s="4">
        <f t="shared" si="0"/>
        <v>-1.1503000000004704E-2</v>
      </c>
      <c r="D29" s="4"/>
      <c r="E29" s="3">
        <v>47.1</v>
      </c>
      <c r="F29" s="3">
        <v>17.5</v>
      </c>
      <c r="G29" s="3">
        <v>77.619337999999999</v>
      </c>
      <c r="H29" s="4">
        <f t="shared" si="1"/>
        <v>-9.4659999999890942E-3</v>
      </c>
      <c r="I29" s="4"/>
      <c r="J29" s="3">
        <v>47.1</v>
      </c>
      <c r="K29" s="3">
        <v>17.5</v>
      </c>
    </row>
    <row r="30" spans="1:11" x14ac:dyDescent="0.35">
      <c r="A30" s="2">
        <v>37977</v>
      </c>
      <c r="B30" s="3">
        <v>75.922636000000011</v>
      </c>
      <c r="C30" s="4">
        <f t="shared" si="0"/>
        <v>-3.6426999999989107E-2</v>
      </c>
      <c r="D30" s="4"/>
      <c r="E30" s="3">
        <v>47.1</v>
      </c>
      <c r="F30" s="3">
        <v>17.5</v>
      </c>
      <c r="G30" s="3">
        <v>77.613817999999995</v>
      </c>
      <c r="H30" s="4">
        <f t="shared" si="1"/>
        <v>-5.5200000000041882E-3</v>
      </c>
      <c r="I30" s="4"/>
      <c r="J30" s="3">
        <v>47.1</v>
      </c>
      <c r="K30" s="3">
        <v>17.5</v>
      </c>
    </row>
    <row r="31" spans="1:11" x14ac:dyDescent="0.35">
      <c r="A31" s="2">
        <v>37984</v>
      </c>
      <c r="B31" s="3">
        <v>75.939699000000005</v>
      </c>
      <c r="C31" s="4">
        <f t="shared" si="0"/>
        <v>1.7062999999993167E-2</v>
      </c>
      <c r="D31" s="4"/>
      <c r="E31" s="3">
        <v>47.1</v>
      </c>
      <c r="F31" s="3">
        <v>17.5</v>
      </c>
      <c r="G31" s="3">
        <v>77.600881999999984</v>
      </c>
      <c r="H31" s="4">
        <f t="shared" si="1"/>
        <v>-1.2936000000010495E-2</v>
      </c>
      <c r="I31" s="4"/>
      <c r="J31" s="3">
        <v>47.1</v>
      </c>
      <c r="K31" s="3">
        <v>17.5</v>
      </c>
    </row>
    <row r="32" spans="1:11" x14ac:dyDescent="0.35">
      <c r="A32" s="2">
        <v>37991</v>
      </c>
      <c r="B32" s="3">
        <v>75.876775000000009</v>
      </c>
      <c r="C32" s="4">
        <f t="shared" si="0"/>
        <v>-6.2923999999995317E-2</v>
      </c>
      <c r="D32" s="4"/>
      <c r="E32" s="3">
        <v>47.1</v>
      </c>
      <c r="F32" s="3">
        <v>17.5</v>
      </c>
      <c r="G32" s="3">
        <v>77.535647999999995</v>
      </c>
      <c r="H32" s="4">
        <f t="shared" si="1"/>
        <v>-6.5233999999989578E-2</v>
      </c>
      <c r="I32" s="4"/>
      <c r="J32" s="3">
        <v>47.1</v>
      </c>
      <c r="K32" s="3">
        <v>17.5</v>
      </c>
    </row>
    <row r="33" spans="1:11" x14ac:dyDescent="0.35">
      <c r="A33" s="2">
        <v>37998</v>
      </c>
      <c r="B33" s="3">
        <v>75.898215999999991</v>
      </c>
      <c r="C33" s="4">
        <f t="shared" si="0"/>
        <v>2.1440999999981614E-2</v>
      </c>
      <c r="D33" s="4"/>
      <c r="E33" s="3">
        <v>47.1</v>
      </c>
      <c r="F33" s="3">
        <v>17.5</v>
      </c>
      <c r="G33" s="3">
        <v>77.542541999999997</v>
      </c>
      <c r="H33" s="4">
        <f t="shared" si="1"/>
        <v>6.8940000000026203E-3</v>
      </c>
      <c r="I33" s="4"/>
      <c r="J33" s="3">
        <v>47.1</v>
      </c>
      <c r="K33" s="3">
        <v>17.5</v>
      </c>
    </row>
    <row r="34" spans="1:11" x14ac:dyDescent="0.35">
      <c r="A34" s="2">
        <v>38005</v>
      </c>
      <c r="B34" s="3">
        <v>76.360931000000008</v>
      </c>
      <c r="C34" s="4">
        <f t="shared" si="0"/>
        <v>0.46271500000001708</v>
      </c>
      <c r="D34" s="4"/>
      <c r="E34" s="3">
        <v>47.1</v>
      </c>
      <c r="F34" s="3">
        <v>17.5</v>
      </c>
      <c r="G34" s="3">
        <v>78.055917999999991</v>
      </c>
      <c r="H34" s="4">
        <f t="shared" si="1"/>
        <v>0.51337599999999384</v>
      </c>
      <c r="I34" s="4"/>
      <c r="J34" s="3">
        <v>47.1</v>
      </c>
      <c r="K34" s="3">
        <v>17.5</v>
      </c>
    </row>
    <row r="35" spans="1:11" x14ac:dyDescent="0.35">
      <c r="A35" s="2">
        <v>38012</v>
      </c>
      <c r="B35" s="3">
        <v>76.440478999999996</v>
      </c>
      <c r="C35" s="4">
        <f t="shared" si="0"/>
        <v>7.9547999999988406E-2</v>
      </c>
      <c r="D35" s="4"/>
      <c r="E35" s="3">
        <v>47.1</v>
      </c>
      <c r="F35" s="3">
        <v>17.5</v>
      </c>
      <c r="G35" s="3">
        <v>78.07987</v>
      </c>
      <c r="H35" s="4">
        <f t="shared" si="1"/>
        <v>2.3952000000008411E-2</v>
      </c>
      <c r="I35" s="4"/>
      <c r="J35" s="3">
        <v>47.1</v>
      </c>
      <c r="K35" s="3">
        <v>17.5</v>
      </c>
    </row>
    <row r="36" spans="1:11" x14ac:dyDescent="0.35">
      <c r="A36" s="2">
        <v>38019</v>
      </c>
      <c r="B36" s="3">
        <v>76.484503000000004</v>
      </c>
      <c r="C36" s="4">
        <f t="shared" si="0"/>
        <v>4.4024000000007391E-2</v>
      </c>
      <c r="D36" s="4"/>
      <c r="E36" s="3">
        <v>47.1</v>
      </c>
      <c r="F36" s="3">
        <v>17.5</v>
      </c>
      <c r="G36" s="3">
        <v>78.125573999999986</v>
      </c>
      <c r="H36" s="4">
        <f t="shared" si="1"/>
        <v>4.5703999999986422E-2</v>
      </c>
      <c r="I36" s="4"/>
      <c r="J36" s="3">
        <v>47.1</v>
      </c>
      <c r="K36" s="3">
        <v>17.5</v>
      </c>
    </row>
    <row r="37" spans="1:11" x14ac:dyDescent="0.35">
      <c r="A37" s="2">
        <v>38026</v>
      </c>
      <c r="B37" s="3">
        <v>76.501518999999988</v>
      </c>
      <c r="C37" s="4">
        <f t="shared" si="0"/>
        <v>1.7015999999983933E-2</v>
      </c>
      <c r="D37" s="4"/>
      <c r="E37" s="3">
        <v>47.1</v>
      </c>
      <c r="F37" s="3">
        <v>17.5</v>
      </c>
      <c r="G37" s="3">
        <v>77.981781999999981</v>
      </c>
      <c r="H37" s="4">
        <f t="shared" si="1"/>
        <v>-0.1437920000000048</v>
      </c>
      <c r="I37" s="4"/>
      <c r="J37" s="3">
        <v>47.1</v>
      </c>
      <c r="K37" s="3">
        <v>17.5</v>
      </c>
    </row>
    <row r="38" spans="1:11" x14ac:dyDescent="0.35">
      <c r="A38" s="2">
        <v>38033</v>
      </c>
      <c r="B38" s="3">
        <v>76.440508999999992</v>
      </c>
      <c r="C38" s="4">
        <f t="shared" si="0"/>
        <v>-6.1009999999996012E-2</v>
      </c>
      <c r="D38" s="4"/>
      <c r="E38" s="3">
        <v>47.1</v>
      </c>
      <c r="F38" s="3">
        <v>17.5</v>
      </c>
      <c r="G38" s="3">
        <v>77.996951999999993</v>
      </c>
      <c r="H38" s="4">
        <f t="shared" si="1"/>
        <v>1.5170000000011896E-2</v>
      </c>
      <c r="I38" s="4"/>
      <c r="J38" s="3">
        <v>47.1</v>
      </c>
      <c r="K38" s="3">
        <v>17.5</v>
      </c>
    </row>
    <row r="39" spans="1:11" x14ac:dyDescent="0.35">
      <c r="A39" s="2">
        <v>38040</v>
      </c>
      <c r="B39" s="3">
        <v>76.381048000000007</v>
      </c>
      <c r="C39" s="4">
        <f t="shared" si="0"/>
        <v>-5.9460999999984665E-2</v>
      </c>
      <c r="D39" s="4"/>
      <c r="E39" s="3">
        <v>47.1</v>
      </c>
      <c r="F39" s="3">
        <v>17.5</v>
      </c>
      <c r="G39" s="3">
        <v>77.928959999999989</v>
      </c>
      <c r="H39" s="4">
        <f t="shared" si="1"/>
        <v>-6.7992000000003827E-2</v>
      </c>
      <c r="I39" s="4"/>
      <c r="J39" s="3">
        <v>47.1</v>
      </c>
      <c r="K39" s="3">
        <v>17.5</v>
      </c>
    </row>
    <row r="40" spans="1:11" x14ac:dyDescent="0.35">
      <c r="A40" s="2">
        <v>38047</v>
      </c>
      <c r="B40" s="3">
        <v>76.324192000000011</v>
      </c>
      <c r="C40" s="4">
        <f t="shared" si="0"/>
        <v>-5.6855999999996243E-2</v>
      </c>
      <c r="D40" s="4"/>
      <c r="E40" s="3">
        <v>47.1</v>
      </c>
      <c r="F40" s="3">
        <v>17.5</v>
      </c>
      <c r="G40" s="3">
        <v>77.869355999999996</v>
      </c>
      <c r="H40" s="4">
        <f t="shared" si="1"/>
        <v>-5.9603999999993107E-2</v>
      </c>
      <c r="I40" s="4"/>
      <c r="J40" s="3">
        <v>47.1</v>
      </c>
      <c r="K40" s="3">
        <v>17.5</v>
      </c>
    </row>
    <row r="41" spans="1:11" x14ac:dyDescent="0.35">
      <c r="A41" s="2">
        <v>38054</v>
      </c>
      <c r="B41" s="3">
        <v>76.733069</v>
      </c>
      <c r="C41" s="4">
        <f t="shared" si="0"/>
        <v>0.40887699999998972</v>
      </c>
      <c r="D41" s="4"/>
      <c r="E41" s="3">
        <v>47.1</v>
      </c>
      <c r="F41" s="3">
        <v>17.5</v>
      </c>
      <c r="G41" s="3">
        <v>78.254357999999996</v>
      </c>
      <c r="H41" s="4">
        <f t="shared" si="1"/>
        <v>0.38500200000000007</v>
      </c>
      <c r="I41" s="4"/>
      <c r="J41" s="3">
        <v>47.1</v>
      </c>
      <c r="K41" s="3">
        <v>17.5</v>
      </c>
    </row>
    <row r="42" spans="1:11" x14ac:dyDescent="0.35">
      <c r="A42" s="2">
        <v>38061</v>
      </c>
      <c r="B42" s="3">
        <v>77.388471999999993</v>
      </c>
      <c r="C42" s="4">
        <f t="shared" si="0"/>
        <v>0.65540299999999263</v>
      </c>
      <c r="D42" s="4"/>
      <c r="E42" s="3">
        <v>47.1</v>
      </c>
      <c r="F42" s="3">
        <v>17.5</v>
      </c>
      <c r="G42" s="3">
        <v>78.797116000000003</v>
      </c>
      <c r="H42" s="4">
        <f t="shared" si="1"/>
        <v>0.54275800000000629</v>
      </c>
      <c r="I42" s="4"/>
      <c r="J42" s="3">
        <v>47.1</v>
      </c>
      <c r="K42" s="3">
        <v>17.5</v>
      </c>
    </row>
    <row r="43" spans="1:11" x14ac:dyDescent="0.35">
      <c r="A43" s="2">
        <v>38068</v>
      </c>
      <c r="B43" s="3">
        <v>77.440048000000004</v>
      </c>
      <c r="C43" s="4">
        <f t="shared" si="0"/>
        <v>5.1576000000011391E-2</v>
      </c>
      <c r="D43" s="4"/>
      <c r="E43" s="3">
        <v>47.1</v>
      </c>
      <c r="F43" s="3">
        <v>17.5</v>
      </c>
      <c r="G43" s="3">
        <v>78.924886000000001</v>
      </c>
      <c r="H43" s="4">
        <f t="shared" si="1"/>
        <v>0.12776999999999816</v>
      </c>
      <c r="I43" s="4"/>
      <c r="J43" s="3">
        <v>47.1</v>
      </c>
      <c r="K43" s="3">
        <v>17.5</v>
      </c>
    </row>
    <row r="44" spans="1:11" x14ac:dyDescent="0.35">
      <c r="A44" s="2">
        <v>38075</v>
      </c>
      <c r="B44" s="3">
        <v>77.590616000000011</v>
      </c>
      <c r="C44" s="4">
        <f t="shared" si="0"/>
        <v>0.15056800000000692</v>
      </c>
      <c r="D44" s="4"/>
      <c r="E44" s="3">
        <v>47.1</v>
      </c>
      <c r="F44" s="3">
        <v>17.5</v>
      </c>
      <c r="G44" s="3">
        <v>79.013481999999996</v>
      </c>
      <c r="H44" s="4">
        <f t="shared" si="1"/>
        <v>8.8595999999995456E-2</v>
      </c>
      <c r="I44" s="4"/>
      <c r="J44" s="3">
        <v>47.1</v>
      </c>
      <c r="K44" s="3">
        <v>17.5</v>
      </c>
    </row>
    <row r="45" spans="1:11" x14ac:dyDescent="0.35">
      <c r="A45" s="2">
        <v>38082</v>
      </c>
      <c r="B45" s="3">
        <v>77.855522000000008</v>
      </c>
      <c r="C45" s="4">
        <f t="shared" si="0"/>
        <v>0.26490599999999631</v>
      </c>
      <c r="D45" s="4"/>
      <c r="E45" s="3">
        <v>47.1</v>
      </c>
      <c r="F45" s="3">
        <v>17.5</v>
      </c>
      <c r="G45" s="3">
        <v>79.232032999999987</v>
      </c>
      <c r="H45" s="4">
        <f t="shared" si="1"/>
        <v>0.21855099999999084</v>
      </c>
      <c r="I45" s="4"/>
      <c r="J45" s="3">
        <v>47.1</v>
      </c>
      <c r="K45" s="3">
        <v>17.5</v>
      </c>
    </row>
    <row r="46" spans="1:11" x14ac:dyDescent="0.35">
      <c r="A46" s="2">
        <v>38089</v>
      </c>
      <c r="B46" s="3">
        <v>77.884124</v>
      </c>
      <c r="C46" s="4">
        <f t="shared" si="0"/>
        <v>2.8601999999992245E-2</v>
      </c>
      <c r="D46" s="4"/>
      <c r="E46" s="3">
        <v>47.1</v>
      </c>
      <c r="F46" s="3">
        <v>17.5</v>
      </c>
      <c r="G46" s="3">
        <v>79.270280999999997</v>
      </c>
      <c r="H46" s="4">
        <f t="shared" si="1"/>
        <v>3.8248000000010052E-2</v>
      </c>
      <c r="I46" s="4"/>
      <c r="J46" s="3">
        <v>47.1</v>
      </c>
      <c r="K46" s="3">
        <v>17.5</v>
      </c>
    </row>
    <row r="47" spans="1:11" x14ac:dyDescent="0.35">
      <c r="A47" s="2">
        <v>38096</v>
      </c>
      <c r="B47" s="3">
        <v>78.043833000000006</v>
      </c>
      <c r="C47" s="4">
        <f t="shared" si="0"/>
        <v>0.15970900000000654</v>
      </c>
      <c r="D47" s="4"/>
      <c r="E47" s="3">
        <v>47.1</v>
      </c>
      <c r="F47" s="3">
        <v>17.5</v>
      </c>
      <c r="G47" s="3">
        <v>79.433368999999999</v>
      </c>
      <c r="H47" s="4">
        <f t="shared" si="1"/>
        <v>0.1630880000000019</v>
      </c>
      <c r="I47" s="4"/>
      <c r="J47" s="3">
        <v>47.1</v>
      </c>
      <c r="K47" s="3">
        <v>17.5</v>
      </c>
    </row>
    <row r="48" spans="1:11" x14ac:dyDescent="0.35">
      <c r="A48" s="2">
        <v>38103</v>
      </c>
      <c r="B48" s="3">
        <v>78.395093000000003</v>
      </c>
      <c r="C48" s="4">
        <f t="shared" si="0"/>
        <v>0.35125999999999635</v>
      </c>
      <c r="D48" s="4"/>
      <c r="E48" s="3">
        <v>47.1</v>
      </c>
      <c r="F48" s="3">
        <v>17.5</v>
      </c>
      <c r="G48" s="3">
        <v>79.75238499999999</v>
      </c>
      <c r="H48" s="4">
        <f t="shared" si="1"/>
        <v>0.31901599999999064</v>
      </c>
      <c r="I48" s="4"/>
      <c r="J48" s="3">
        <v>47.1</v>
      </c>
      <c r="K48" s="3">
        <v>17.5</v>
      </c>
    </row>
    <row r="49" spans="1:11" x14ac:dyDescent="0.35">
      <c r="A49" s="2">
        <v>38111</v>
      </c>
      <c r="B49" s="3">
        <v>79.275408999999996</v>
      </c>
      <c r="C49" s="4">
        <f t="shared" si="0"/>
        <v>0.88031599999999344</v>
      </c>
      <c r="D49" s="4"/>
      <c r="E49" s="3">
        <v>47.1</v>
      </c>
      <c r="F49" s="3">
        <v>17.5</v>
      </c>
      <c r="G49" s="3">
        <v>80.643159999999995</v>
      </c>
      <c r="H49" s="4">
        <f t="shared" si="1"/>
        <v>0.89077500000000498</v>
      </c>
      <c r="I49" s="4"/>
      <c r="J49" s="3">
        <v>47.1</v>
      </c>
      <c r="K49" s="3">
        <v>17.5</v>
      </c>
    </row>
    <row r="50" spans="1:11" x14ac:dyDescent="0.35">
      <c r="A50" s="2">
        <v>38117</v>
      </c>
      <c r="B50" s="3">
        <v>80.295771999999999</v>
      </c>
      <c r="C50" s="4">
        <f t="shared" si="0"/>
        <v>1.0203630000000032</v>
      </c>
      <c r="D50" s="4"/>
      <c r="E50" s="3">
        <v>47.1</v>
      </c>
      <c r="F50" s="3">
        <v>17.5</v>
      </c>
      <c r="G50" s="3">
        <v>81.675301999999988</v>
      </c>
      <c r="H50" s="4">
        <f t="shared" si="1"/>
        <v>1.0321419999999932</v>
      </c>
      <c r="I50" s="4"/>
      <c r="J50" s="3">
        <v>47.1</v>
      </c>
      <c r="K50" s="3">
        <v>17.5</v>
      </c>
    </row>
    <row r="51" spans="1:11" x14ac:dyDescent="0.35">
      <c r="A51" s="2">
        <v>38124</v>
      </c>
      <c r="B51" s="3">
        <v>81.493419000000003</v>
      </c>
      <c r="C51" s="4">
        <f t="shared" si="0"/>
        <v>1.1976470000000035</v>
      </c>
      <c r="D51" s="4"/>
      <c r="E51" s="3">
        <v>47.1</v>
      </c>
      <c r="F51" s="3">
        <v>17.5</v>
      </c>
      <c r="G51" s="3">
        <v>82.830852000000021</v>
      </c>
      <c r="H51" s="4">
        <f t="shared" si="1"/>
        <v>1.1555500000000336</v>
      </c>
      <c r="I51" s="4"/>
      <c r="J51" s="3">
        <v>47.1</v>
      </c>
      <c r="K51" s="3">
        <v>17.5</v>
      </c>
    </row>
    <row r="52" spans="1:11" x14ac:dyDescent="0.35">
      <c r="A52" s="2">
        <v>38131</v>
      </c>
      <c r="B52" s="3">
        <v>82.125366</v>
      </c>
      <c r="C52" s="4">
        <f t="shared" si="0"/>
        <v>0.63194699999999671</v>
      </c>
      <c r="D52" s="4"/>
      <c r="E52" s="3">
        <v>47.1</v>
      </c>
      <c r="F52" s="3">
        <v>17.5</v>
      </c>
      <c r="G52" s="3">
        <v>83.479307000000006</v>
      </c>
      <c r="H52" s="4">
        <f t="shared" si="1"/>
        <v>0.64845499999998424</v>
      </c>
      <c r="I52" s="4"/>
      <c r="J52" s="3">
        <v>47.1</v>
      </c>
      <c r="K52" s="3">
        <v>17.5</v>
      </c>
    </row>
    <row r="53" spans="1:11" x14ac:dyDescent="0.35">
      <c r="A53" s="2">
        <v>38138</v>
      </c>
      <c r="B53" s="3">
        <v>82.354682999999994</v>
      </c>
      <c r="C53" s="4">
        <f t="shared" si="0"/>
        <v>0.22931699999999466</v>
      </c>
      <c r="D53" s="4"/>
      <c r="E53" s="3">
        <v>47.1</v>
      </c>
      <c r="F53" s="3">
        <v>17.5</v>
      </c>
      <c r="G53" s="3">
        <v>83.612115999999986</v>
      </c>
      <c r="H53" s="4">
        <f t="shared" si="1"/>
        <v>0.13280899999998041</v>
      </c>
      <c r="I53" s="4"/>
      <c r="J53" s="3">
        <v>47.1</v>
      </c>
      <c r="K53" s="3">
        <v>17.5</v>
      </c>
    </row>
    <row r="54" spans="1:11" x14ac:dyDescent="0.35">
      <c r="A54" s="2">
        <v>38145</v>
      </c>
      <c r="B54" s="3">
        <v>82.441050000000004</v>
      </c>
      <c r="C54" s="4">
        <f t="shared" si="0"/>
        <v>8.6367000000009853E-2</v>
      </c>
      <c r="D54" s="4">
        <f>B54-B2</f>
        <v>7.8507660000000072</v>
      </c>
      <c r="E54" s="3">
        <v>47.1</v>
      </c>
      <c r="F54" s="3">
        <v>17.5</v>
      </c>
      <c r="G54" s="3">
        <v>83.651707000000002</v>
      </c>
      <c r="H54" s="4">
        <f t="shared" si="1"/>
        <v>3.9591000000015697E-2</v>
      </c>
      <c r="I54" s="4">
        <f>G54-G2</f>
        <v>6.8783130000000057</v>
      </c>
      <c r="J54" s="3">
        <v>47.1</v>
      </c>
      <c r="K54" s="3">
        <v>17.5</v>
      </c>
    </row>
    <row r="55" spans="1:11" x14ac:dyDescent="0.35">
      <c r="A55" s="2">
        <v>38152</v>
      </c>
      <c r="B55" s="3">
        <v>81.54213</v>
      </c>
      <c r="C55" s="4">
        <f t="shared" si="0"/>
        <v>-0.89892000000000394</v>
      </c>
      <c r="D55" s="4">
        <f t="shared" ref="D55:D118" si="2">B55-B3</f>
        <v>7.0729869999999977</v>
      </c>
      <c r="E55" s="3">
        <v>47.1</v>
      </c>
      <c r="F55" s="3">
        <v>17.5</v>
      </c>
      <c r="G55" s="3">
        <v>82.604957000000013</v>
      </c>
      <c r="H55" s="4">
        <f t="shared" si="1"/>
        <v>-1.0467499999999887</v>
      </c>
      <c r="I55" s="4">
        <f t="shared" ref="I55:I118" si="3">G55-G3</f>
        <v>5.9159030000000143</v>
      </c>
      <c r="J55" s="3">
        <v>47.1</v>
      </c>
      <c r="K55" s="3">
        <v>17.5</v>
      </c>
    </row>
    <row r="56" spans="1:11" x14ac:dyDescent="0.35">
      <c r="A56" s="2">
        <v>38159</v>
      </c>
      <c r="B56" s="3">
        <v>81.042513999999997</v>
      </c>
      <c r="C56" s="4">
        <f t="shared" si="0"/>
        <v>-0.49961600000000317</v>
      </c>
      <c r="D56" s="4">
        <f t="shared" si="2"/>
        <v>6.6189480000000032</v>
      </c>
      <c r="E56" s="3">
        <v>47.1</v>
      </c>
      <c r="F56" s="3">
        <v>17.5</v>
      </c>
      <c r="G56" s="3">
        <v>82.094263000000012</v>
      </c>
      <c r="H56" s="4">
        <f t="shared" si="1"/>
        <v>-0.51069400000000087</v>
      </c>
      <c r="I56" s="4">
        <f t="shared" si="3"/>
        <v>5.4737170000000077</v>
      </c>
      <c r="J56" s="3">
        <v>47.1</v>
      </c>
      <c r="K56" s="3">
        <v>17.5</v>
      </c>
    </row>
    <row r="57" spans="1:11" x14ac:dyDescent="0.35">
      <c r="A57" s="2">
        <v>38166</v>
      </c>
      <c r="B57" s="3">
        <v>80.408494999999988</v>
      </c>
      <c r="C57" s="4">
        <f t="shared" si="0"/>
        <v>-0.63401900000000921</v>
      </c>
      <c r="D57" s="4">
        <f t="shared" si="2"/>
        <v>6.0560739999999953</v>
      </c>
      <c r="E57" s="3">
        <v>47.1</v>
      </c>
      <c r="F57" s="3">
        <v>17.5</v>
      </c>
      <c r="G57" s="3">
        <v>81.044817000000009</v>
      </c>
      <c r="H57" s="4">
        <f t="shared" si="1"/>
        <v>-1.0494460000000032</v>
      </c>
      <c r="I57" s="4">
        <f t="shared" si="3"/>
        <v>4.5395570000000163</v>
      </c>
      <c r="J57" s="3">
        <v>47.1</v>
      </c>
      <c r="K57" s="3">
        <v>17.5</v>
      </c>
    </row>
    <row r="58" spans="1:11" x14ac:dyDescent="0.35">
      <c r="A58" s="2">
        <v>38173</v>
      </c>
      <c r="B58" s="3">
        <v>79.873708999999991</v>
      </c>
      <c r="C58" s="4">
        <f t="shared" si="0"/>
        <v>-0.53478599999999687</v>
      </c>
      <c r="D58" s="4">
        <f t="shared" si="2"/>
        <v>5.5899719999999888</v>
      </c>
      <c r="E58" s="3">
        <v>47.1</v>
      </c>
      <c r="F58" s="3">
        <v>17.5</v>
      </c>
      <c r="G58" s="3">
        <v>80.511467999999994</v>
      </c>
      <c r="H58" s="4">
        <f t="shared" si="1"/>
        <v>-0.53334900000001539</v>
      </c>
      <c r="I58" s="4">
        <f t="shared" si="3"/>
        <v>4.0540919999999971</v>
      </c>
      <c r="J58" s="3">
        <v>47.1</v>
      </c>
      <c r="K58" s="3">
        <v>17.5</v>
      </c>
    </row>
    <row r="59" spans="1:11" x14ac:dyDescent="0.35">
      <c r="A59" s="2">
        <v>38180</v>
      </c>
      <c r="B59" s="3">
        <v>80.336298999999997</v>
      </c>
      <c r="C59" s="4">
        <f t="shared" si="0"/>
        <v>0.46259000000000583</v>
      </c>
      <c r="D59" s="4">
        <f t="shared" si="2"/>
        <v>6.129722000000001</v>
      </c>
      <c r="E59" s="3">
        <v>47.1</v>
      </c>
      <c r="F59" s="3">
        <v>17.5</v>
      </c>
      <c r="G59" s="3">
        <v>81.054852000000011</v>
      </c>
      <c r="H59" s="4">
        <f t="shared" si="1"/>
        <v>0.54338400000001741</v>
      </c>
      <c r="I59" s="4">
        <f t="shared" si="3"/>
        <v>4.6467320000000143</v>
      </c>
      <c r="J59" s="3">
        <v>47.1</v>
      </c>
      <c r="K59" s="3">
        <v>17.5</v>
      </c>
    </row>
    <row r="60" spans="1:11" x14ac:dyDescent="0.35">
      <c r="A60" s="2">
        <v>38187</v>
      </c>
      <c r="B60" s="3">
        <v>80.836542999999992</v>
      </c>
      <c r="C60" s="4">
        <f t="shared" si="0"/>
        <v>0.50024399999999503</v>
      </c>
      <c r="D60" s="4">
        <f t="shared" si="2"/>
        <v>5.771302999999989</v>
      </c>
      <c r="E60" s="3">
        <v>47.1</v>
      </c>
      <c r="F60" s="3">
        <v>17.5</v>
      </c>
      <c r="G60" s="3">
        <v>81.677249000000018</v>
      </c>
      <c r="H60" s="4">
        <f t="shared" si="1"/>
        <v>0.62239700000000653</v>
      </c>
      <c r="I60" s="4">
        <f t="shared" si="3"/>
        <v>4.7781050000000107</v>
      </c>
      <c r="J60" s="3">
        <v>47.1</v>
      </c>
      <c r="K60" s="3">
        <v>17.5</v>
      </c>
    </row>
    <row r="61" spans="1:11" x14ac:dyDescent="0.35">
      <c r="A61" s="2">
        <v>38194</v>
      </c>
      <c r="B61" s="3">
        <v>80.868030000000005</v>
      </c>
      <c r="C61" s="4">
        <f t="shared" si="0"/>
        <v>3.1487000000012699E-2</v>
      </c>
      <c r="D61" s="4">
        <f t="shared" si="2"/>
        <v>5.7671749999999946</v>
      </c>
      <c r="E61" s="3">
        <v>47.1</v>
      </c>
      <c r="F61" s="3">
        <v>17.5</v>
      </c>
      <c r="G61" s="3">
        <v>81.697859000000008</v>
      </c>
      <c r="H61" s="4">
        <f t="shared" si="1"/>
        <v>2.0609999999990691E-2</v>
      </c>
      <c r="I61" s="4">
        <f t="shared" si="3"/>
        <v>4.8359950000000111</v>
      </c>
      <c r="J61" s="3">
        <v>47.1</v>
      </c>
      <c r="K61" s="3">
        <v>17.5</v>
      </c>
    </row>
    <row r="62" spans="1:11" x14ac:dyDescent="0.35">
      <c r="A62" s="2">
        <v>38201</v>
      </c>
      <c r="B62" s="3">
        <v>80.855708000000007</v>
      </c>
      <c r="C62" s="4">
        <f t="shared" si="0"/>
        <v>-1.2321999999997502E-2</v>
      </c>
      <c r="D62" s="4">
        <f t="shared" si="2"/>
        <v>5.7313240000000008</v>
      </c>
      <c r="E62" s="3">
        <v>47.1</v>
      </c>
      <c r="F62" s="3">
        <v>17.5</v>
      </c>
      <c r="G62" s="3">
        <v>81.793266000000017</v>
      </c>
      <c r="H62" s="4">
        <f t="shared" si="1"/>
        <v>9.5407000000008679E-2</v>
      </c>
      <c r="I62" s="4">
        <f t="shared" si="3"/>
        <v>4.9809240000000159</v>
      </c>
      <c r="J62" s="3">
        <v>47.1</v>
      </c>
      <c r="K62" s="3">
        <v>17.5</v>
      </c>
    </row>
    <row r="63" spans="1:11" x14ac:dyDescent="0.35">
      <c r="A63" s="2">
        <v>38208</v>
      </c>
      <c r="B63" s="3">
        <v>81.183042</v>
      </c>
      <c r="C63" s="4">
        <f t="shared" si="0"/>
        <v>0.32733399999999335</v>
      </c>
      <c r="D63" s="4">
        <f t="shared" si="2"/>
        <v>5.7385259999999931</v>
      </c>
      <c r="E63" s="3">
        <v>47.1</v>
      </c>
      <c r="F63" s="3">
        <v>17.5</v>
      </c>
      <c r="G63" s="3">
        <v>82.144335000000027</v>
      </c>
      <c r="H63" s="4">
        <f t="shared" si="1"/>
        <v>0.35106900000000962</v>
      </c>
      <c r="I63" s="4">
        <f t="shared" si="3"/>
        <v>5.0635970000000299</v>
      </c>
      <c r="J63" s="3">
        <v>47.1</v>
      </c>
      <c r="K63" s="3">
        <v>17.5</v>
      </c>
    </row>
    <row r="64" spans="1:11" x14ac:dyDescent="0.35">
      <c r="A64" s="2">
        <v>38215</v>
      </c>
      <c r="B64" s="3">
        <v>81.251350000000002</v>
      </c>
      <c r="C64" s="4">
        <f t="shared" si="0"/>
        <v>6.8308000000001812E-2</v>
      </c>
      <c r="D64" s="4">
        <f t="shared" si="2"/>
        <v>5.4424020000000155</v>
      </c>
      <c r="E64" s="3">
        <v>47.1</v>
      </c>
      <c r="F64" s="3">
        <v>17.5</v>
      </c>
      <c r="G64" s="3">
        <v>82.327274000000003</v>
      </c>
      <c r="H64" s="4">
        <f t="shared" si="1"/>
        <v>0.1829389999999762</v>
      </c>
      <c r="I64" s="4">
        <f t="shared" si="3"/>
        <v>4.8886839999999978</v>
      </c>
      <c r="J64" s="3">
        <v>47.1</v>
      </c>
      <c r="K64" s="3">
        <v>17.5</v>
      </c>
    </row>
    <row r="65" spans="1:11" x14ac:dyDescent="0.35">
      <c r="A65" s="2">
        <v>38222</v>
      </c>
      <c r="B65" s="3">
        <v>81.507866000000007</v>
      </c>
      <c r="C65" s="4">
        <f t="shared" si="0"/>
        <v>0.25651600000000485</v>
      </c>
      <c r="D65" s="4">
        <f t="shared" si="2"/>
        <v>5.4548550000000091</v>
      </c>
      <c r="E65" s="3">
        <v>47.1</v>
      </c>
      <c r="F65" s="3">
        <v>17.5</v>
      </c>
      <c r="G65" s="3">
        <v>82.819437000000008</v>
      </c>
      <c r="H65" s="4">
        <f t="shared" si="1"/>
        <v>0.49216300000000501</v>
      </c>
      <c r="I65" s="4">
        <f t="shared" si="3"/>
        <v>5.1443430000000063</v>
      </c>
      <c r="J65" s="3">
        <v>47.1</v>
      </c>
      <c r="K65" s="3">
        <v>17.5</v>
      </c>
    </row>
    <row r="66" spans="1:11" x14ac:dyDescent="0.35">
      <c r="A66" s="2">
        <v>38230</v>
      </c>
      <c r="B66" s="3">
        <v>81.528019999999998</v>
      </c>
      <c r="C66" s="4">
        <f t="shared" si="0"/>
        <v>2.0153999999990901E-2</v>
      </c>
      <c r="D66" s="4">
        <f t="shared" si="2"/>
        <v>5.4021600000000092</v>
      </c>
      <c r="E66" s="3">
        <v>47.1</v>
      </c>
      <c r="F66" s="3">
        <v>17.5</v>
      </c>
      <c r="G66" s="3">
        <v>82.887681000000001</v>
      </c>
      <c r="H66" s="4">
        <f t="shared" si="1"/>
        <v>6.8243999999992866E-2</v>
      </c>
      <c r="I66" s="4">
        <f t="shared" si="3"/>
        <v>5.2999769999999984</v>
      </c>
      <c r="J66" s="3">
        <v>47.1</v>
      </c>
      <c r="K66" s="3">
        <v>17.5</v>
      </c>
    </row>
    <row r="67" spans="1:11" x14ac:dyDescent="0.35">
      <c r="A67" s="2">
        <v>38236</v>
      </c>
      <c r="B67" s="3">
        <v>81.369415000000004</v>
      </c>
      <c r="C67" s="4">
        <f t="shared" ref="C67:C130" si="4">B67-B66</f>
        <v>-0.15860499999999433</v>
      </c>
      <c r="D67" s="4">
        <f t="shared" si="2"/>
        <v>5.143225000000001</v>
      </c>
      <c r="E67" s="3">
        <v>47.1</v>
      </c>
      <c r="F67" s="3">
        <v>17.5</v>
      </c>
      <c r="G67" s="3">
        <v>82.9208</v>
      </c>
      <c r="H67" s="4">
        <f t="shared" ref="H67:H130" si="5">G67-G66</f>
        <v>3.3118999999999232E-2</v>
      </c>
      <c r="I67" s="4">
        <f t="shared" si="3"/>
        <v>5.2506599999999963</v>
      </c>
      <c r="J67" s="3">
        <v>47.1</v>
      </c>
      <c r="K67" s="3">
        <v>17.5</v>
      </c>
    </row>
    <row r="68" spans="1:11" x14ac:dyDescent="0.35">
      <c r="A68" s="2">
        <v>38243</v>
      </c>
      <c r="B68" s="3">
        <v>81.311183</v>
      </c>
      <c r="C68" s="4">
        <f t="shared" si="4"/>
        <v>-5.8232000000003836E-2</v>
      </c>
      <c r="D68" s="4">
        <f t="shared" si="2"/>
        <v>5.114758000000009</v>
      </c>
      <c r="E68" s="3">
        <v>47.1</v>
      </c>
      <c r="F68" s="3">
        <v>17.5</v>
      </c>
      <c r="G68" s="3">
        <v>82.906786999999994</v>
      </c>
      <c r="H68" s="4">
        <f t="shared" si="5"/>
        <v>-1.4013000000005604E-2</v>
      </c>
      <c r="I68" s="4">
        <f t="shared" si="3"/>
        <v>5.280350999999996</v>
      </c>
      <c r="J68" s="3">
        <v>47.1</v>
      </c>
      <c r="K68" s="3">
        <v>17.5</v>
      </c>
    </row>
    <row r="69" spans="1:11" x14ac:dyDescent="0.35">
      <c r="A69" s="2">
        <v>38250</v>
      </c>
      <c r="B69" s="3">
        <v>81.278715000000005</v>
      </c>
      <c r="C69" s="4">
        <f t="shared" si="4"/>
        <v>-3.246799999999439E-2</v>
      </c>
      <c r="D69" s="4">
        <f t="shared" si="2"/>
        <v>5.1300060000000087</v>
      </c>
      <c r="E69" s="3">
        <v>47.1</v>
      </c>
      <c r="F69" s="3">
        <v>17.5</v>
      </c>
      <c r="G69" s="3">
        <v>83.031695000000013</v>
      </c>
      <c r="H69" s="4">
        <f t="shared" si="5"/>
        <v>0.12490800000001911</v>
      </c>
      <c r="I69" s="4">
        <f t="shared" si="3"/>
        <v>5.4858530000000201</v>
      </c>
      <c r="J69" s="3">
        <v>47.1</v>
      </c>
      <c r="K69" s="3">
        <v>17.5</v>
      </c>
    </row>
    <row r="70" spans="1:11" x14ac:dyDescent="0.35">
      <c r="A70" s="2">
        <v>38257</v>
      </c>
      <c r="B70" s="3">
        <v>81.625393000000003</v>
      </c>
      <c r="C70" s="4">
        <f t="shared" si="4"/>
        <v>0.34667799999999716</v>
      </c>
      <c r="D70" s="4">
        <f t="shared" si="2"/>
        <v>5.5414030000000025</v>
      </c>
      <c r="E70" s="3">
        <v>47.1</v>
      </c>
      <c r="F70" s="3">
        <v>17.5</v>
      </c>
      <c r="G70" s="3">
        <v>83.461528000000001</v>
      </c>
      <c r="H70" s="4">
        <f t="shared" si="5"/>
        <v>0.42983299999998792</v>
      </c>
      <c r="I70" s="4">
        <f t="shared" si="3"/>
        <v>5.9346340000000026</v>
      </c>
      <c r="J70" s="3">
        <v>47.1</v>
      </c>
      <c r="K70" s="3">
        <v>17.5</v>
      </c>
    </row>
    <row r="71" spans="1:11" x14ac:dyDescent="0.35">
      <c r="A71" s="2">
        <v>38264</v>
      </c>
      <c r="B71" s="3">
        <v>82.049086000000003</v>
      </c>
      <c r="C71" s="4">
        <f t="shared" si="4"/>
        <v>0.4236930000000001</v>
      </c>
      <c r="D71" s="4">
        <f t="shared" si="2"/>
        <v>5.6161529999999971</v>
      </c>
      <c r="E71" s="3">
        <v>47.1</v>
      </c>
      <c r="F71" s="3">
        <v>17.5</v>
      </c>
      <c r="G71" s="3">
        <v>83.84076300000001</v>
      </c>
      <c r="H71" s="4">
        <f t="shared" si="5"/>
        <v>0.37923500000000843</v>
      </c>
      <c r="I71" s="4">
        <f t="shared" si="3"/>
        <v>6.1795270000000073</v>
      </c>
      <c r="J71" s="3">
        <v>47.1</v>
      </c>
      <c r="K71" s="3">
        <v>17.5</v>
      </c>
    </row>
    <row r="72" spans="1:11" x14ac:dyDescent="0.35">
      <c r="A72" s="2">
        <v>38271</v>
      </c>
      <c r="B72" s="3">
        <v>83.110709000000014</v>
      </c>
      <c r="C72" s="4">
        <f t="shared" si="4"/>
        <v>1.0616230000000115</v>
      </c>
      <c r="D72" s="4">
        <f t="shared" si="2"/>
        <v>7.2131810000000058</v>
      </c>
      <c r="E72" s="3">
        <v>47.1</v>
      </c>
      <c r="F72" s="3">
        <v>17.5</v>
      </c>
      <c r="G72" s="3">
        <v>85.012929999999997</v>
      </c>
      <c r="H72" s="4">
        <f t="shared" si="5"/>
        <v>1.1721669999999875</v>
      </c>
      <c r="I72" s="4">
        <f t="shared" si="3"/>
        <v>7.586441999999991</v>
      </c>
      <c r="J72" s="3">
        <v>47.1</v>
      </c>
      <c r="K72" s="3">
        <v>17.5</v>
      </c>
    </row>
    <row r="73" spans="1:11" x14ac:dyDescent="0.35">
      <c r="A73" s="2">
        <v>38278</v>
      </c>
      <c r="B73" s="3">
        <v>83.349954999999994</v>
      </c>
      <c r="C73" s="4">
        <f t="shared" si="4"/>
        <v>0.23924599999998009</v>
      </c>
      <c r="D73" s="4">
        <f t="shared" si="2"/>
        <v>7.3018950000000018</v>
      </c>
      <c r="E73" s="3">
        <v>47.1</v>
      </c>
      <c r="F73" s="3">
        <v>17.5</v>
      </c>
      <c r="G73" s="3">
        <v>85.33741599999999</v>
      </c>
      <c r="H73" s="4">
        <f t="shared" si="5"/>
        <v>0.32448599999999317</v>
      </c>
      <c r="I73" s="4">
        <f t="shared" si="3"/>
        <v>7.7927019999999914</v>
      </c>
      <c r="J73" s="3">
        <v>47.1</v>
      </c>
      <c r="K73" s="3">
        <v>17.5</v>
      </c>
    </row>
    <row r="74" spans="1:11" x14ac:dyDescent="0.35">
      <c r="A74" s="2">
        <v>38285</v>
      </c>
      <c r="B74" s="3">
        <v>83.935907999999998</v>
      </c>
      <c r="C74" s="4">
        <f t="shared" si="4"/>
        <v>0.5859530000000035</v>
      </c>
      <c r="D74" s="4">
        <f t="shared" si="2"/>
        <v>7.9404480000000035</v>
      </c>
      <c r="E74" s="3">
        <v>47.1</v>
      </c>
      <c r="F74" s="3">
        <v>17.5</v>
      </c>
      <c r="G74" s="3">
        <v>86.034387999999993</v>
      </c>
      <c r="H74" s="4">
        <f t="shared" si="5"/>
        <v>0.69697200000000237</v>
      </c>
      <c r="I74" s="4">
        <f t="shared" si="3"/>
        <v>8.5234099999999984</v>
      </c>
      <c r="J74" s="3">
        <v>47.1</v>
      </c>
      <c r="K74" s="3">
        <v>17.5</v>
      </c>
    </row>
    <row r="75" spans="1:11" x14ac:dyDescent="0.35">
      <c r="A75" s="2">
        <v>38292</v>
      </c>
      <c r="B75" s="3">
        <v>84.269620000000003</v>
      </c>
      <c r="C75" s="4">
        <f t="shared" si="4"/>
        <v>0.33371200000000556</v>
      </c>
      <c r="D75" s="4">
        <f t="shared" si="2"/>
        <v>8.2733609999999942</v>
      </c>
      <c r="E75" s="3">
        <v>47.1</v>
      </c>
      <c r="F75" s="3">
        <v>17.5</v>
      </c>
      <c r="G75" s="3">
        <v>86.421527000000012</v>
      </c>
      <c r="H75" s="4">
        <f t="shared" si="5"/>
        <v>0.387139000000019</v>
      </c>
      <c r="I75" s="4">
        <f t="shared" si="3"/>
        <v>8.9015530000000069</v>
      </c>
      <c r="J75" s="3">
        <v>47.1</v>
      </c>
      <c r="K75" s="3">
        <v>17.5</v>
      </c>
    </row>
    <row r="76" spans="1:11" x14ac:dyDescent="0.35">
      <c r="A76" s="2">
        <v>38299</v>
      </c>
      <c r="B76" s="3">
        <v>84.343500000000006</v>
      </c>
      <c r="C76" s="4">
        <f t="shared" si="4"/>
        <v>7.388000000000261E-2</v>
      </c>
      <c r="D76" s="4">
        <f t="shared" si="2"/>
        <v>8.4006700000000052</v>
      </c>
      <c r="E76" s="3">
        <v>47.1</v>
      </c>
      <c r="F76" s="3">
        <v>17.5</v>
      </c>
      <c r="G76" s="3">
        <v>86.544431000000017</v>
      </c>
      <c r="H76" s="4">
        <f t="shared" si="5"/>
        <v>0.12290400000000545</v>
      </c>
      <c r="I76" s="4">
        <f t="shared" si="3"/>
        <v>9.0745630000000261</v>
      </c>
      <c r="J76" s="3">
        <v>47.1</v>
      </c>
      <c r="K76" s="3">
        <v>17.5</v>
      </c>
    </row>
    <row r="77" spans="1:11" x14ac:dyDescent="0.35">
      <c r="A77" s="2">
        <v>38306</v>
      </c>
      <c r="B77" s="3">
        <v>84.264193000000006</v>
      </c>
      <c r="C77" s="4">
        <f t="shared" si="4"/>
        <v>-7.9307000000000016E-2</v>
      </c>
      <c r="D77" s="4">
        <f t="shared" si="2"/>
        <v>8.3373500000000007</v>
      </c>
      <c r="E77" s="3">
        <v>47.1</v>
      </c>
      <c r="F77" s="3">
        <v>17.5</v>
      </c>
      <c r="G77" s="3">
        <v>86.420849000000004</v>
      </c>
      <c r="H77" s="4">
        <f t="shared" si="5"/>
        <v>-0.12358200000001318</v>
      </c>
      <c r="I77" s="4">
        <f t="shared" si="3"/>
        <v>8.9032250000000062</v>
      </c>
      <c r="J77" s="3">
        <v>47.1</v>
      </c>
      <c r="K77" s="3">
        <v>17.5</v>
      </c>
    </row>
    <row r="78" spans="1:11" x14ac:dyDescent="0.35">
      <c r="A78" s="2">
        <v>38313</v>
      </c>
      <c r="B78" s="3">
        <v>81.46464499999999</v>
      </c>
      <c r="C78" s="4">
        <f t="shared" si="4"/>
        <v>-2.7995480000000157</v>
      </c>
      <c r="D78" s="4">
        <f t="shared" si="2"/>
        <v>5.4495469999999955</v>
      </c>
      <c r="E78" s="3">
        <v>47.1</v>
      </c>
      <c r="F78" s="3">
        <v>17.5</v>
      </c>
      <c r="G78" s="3">
        <v>85.166606000000002</v>
      </c>
      <c r="H78" s="4">
        <f t="shared" si="5"/>
        <v>-1.2542430000000024</v>
      </c>
      <c r="I78" s="4">
        <f t="shared" si="3"/>
        <v>7.4959580000000017</v>
      </c>
      <c r="J78" s="3">
        <v>47.1</v>
      </c>
      <c r="K78" s="3">
        <v>17.5</v>
      </c>
    </row>
    <row r="79" spans="1:11" x14ac:dyDescent="0.35">
      <c r="A79" s="2">
        <v>38320</v>
      </c>
      <c r="B79" s="3">
        <v>84.165259000000006</v>
      </c>
      <c r="C79" s="4">
        <f t="shared" si="4"/>
        <v>2.7006140000000158</v>
      </c>
      <c r="D79" s="4">
        <f t="shared" si="2"/>
        <v>8.169983000000002</v>
      </c>
      <c r="E79" s="3">
        <v>47.1</v>
      </c>
      <c r="F79" s="3">
        <v>17.5</v>
      </c>
      <c r="G79" s="3">
        <v>86.361028000000005</v>
      </c>
      <c r="H79" s="4">
        <f t="shared" si="5"/>
        <v>1.194422000000003</v>
      </c>
      <c r="I79" s="4">
        <f t="shared" si="3"/>
        <v>8.7039560000000051</v>
      </c>
      <c r="J79" s="3">
        <v>47.1</v>
      </c>
      <c r="K79" s="3">
        <v>17.5</v>
      </c>
    </row>
    <row r="80" spans="1:11" x14ac:dyDescent="0.35">
      <c r="A80" s="2">
        <v>38327</v>
      </c>
      <c r="B80" s="3">
        <v>84.062279000000018</v>
      </c>
      <c r="C80" s="4">
        <f t="shared" si="4"/>
        <v>-0.10297999999998808</v>
      </c>
      <c r="D80" s="4">
        <f t="shared" si="2"/>
        <v>8.0917130000000128</v>
      </c>
      <c r="E80" s="3">
        <v>47.1</v>
      </c>
      <c r="F80" s="3">
        <v>17.5</v>
      </c>
      <c r="G80" s="3">
        <v>86.397681000000006</v>
      </c>
      <c r="H80" s="4">
        <f t="shared" si="5"/>
        <v>3.6653000000001157E-2</v>
      </c>
      <c r="I80" s="4">
        <f t="shared" si="3"/>
        <v>8.7688770000000176</v>
      </c>
      <c r="J80" s="3">
        <v>47.1</v>
      </c>
      <c r="K80" s="3">
        <v>17.5</v>
      </c>
    </row>
    <row r="81" spans="1:11" x14ac:dyDescent="0.35">
      <c r="A81" s="2">
        <v>38334</v>
      </c>
      <c r="B81" s="3">
        <v>82.732802000000007</v>
      </c>
      <c r="C81" s="4">
        <f t="shared" si="4"/>
        <v>-1.3294770000000113</v>
      </c>
      <c r="D81" s="4">
        <f t="shared" si="2"/>
        <v>6.7737390000000062</v>
      </c>
      <c r="E81" s="3">
        <v>47.1</v>
      </c>
      <c r="F81" s="3">
        <v>17.5</v>
      </c>
      <c r="G81" s="3">
        <v>85.978619000000009</v>
      </c>
      <c r="H81" s="4">
        <f t="shared" si="5"/>
        <v>-0.41906199999999671</v>
      </c>
      <c r="I81" s="4">
        <f t="shared" si="3"/>
        <v>8.35928100000001</v>
      </c>
      <c r="J81" s="3">
        <v>47.1</v>
      </c>
      <c r="K81" s="3">
        <v>17.5</v>
      </c>
    </row>
    <row r="82" spans="1:11" x14ac:dyDescent="0.35">
      <c r="A82" s="2">
        <v>38341</v>
      </c>
      <c r="B82" s="3">
        <v>81.46464499999999</v>
      </c>
      <c r="C82" s="4">
        <f t="shared" si="4"/>
        <v>-1.2681570000000164</v>
      </c>
      <c r="D82" s="4">
        <f t="shared" si="2"/>
        <v>5.5420089999999789</v>
      </c>
      <c r="E82" s="3">
        <v>47.1</v>
      </c>
      <c r="F82" s="3">
        <v>17.5</v>
      </c>
      <c r="G82" s="3">
        <v>85.166606000000002</v>
      </c>
      <c r="H82" s="4">
        <f t="shared" si="5"/>
        <v>-0.81201300000000742</v>
      </c>
      <c r="I82" s="4">
        <f t="shared" si="3"/>
        <v>7.5527880000000067</v>
      </c>
      <c r="J82" s="3">
        <v>47.1</v>
      </c>
      <c r="K82" s="3">
        <v>17.5</v>
      </c>
    </row>
    <row r="83" spans="1:11" x14ac:dyDescent="0.35">
      <c r="A83" s="2">
        <v>38348</v>
      </c>
      <c r="B83" s="3">
        <v>81.200710000000015</v>
      </c>
      <c r="C83" s="4">
        <f t="shared" si="4"/>
        <v>-0.26393499999997516</v>
      </c>
      <c r="D83" s="4">
        <f t="shared" si="2"/>
        <v>5.2610110000000105</v>
      </c>
      <c r="E83" s="3">
        <v>47.1</v>
      </c>
      <c r="F83" s="3">
        <v>17.5</v>
      </c>
      <c r="G83" s="3">
        <v>85.14009200000001</v>
      </c>
      <c r="H83" s="4">
        <f t="shared" si="5"/>
        <v>-2.6513999999991711E-2</v>
      </c>
      <c r="I83" s="4">
        <f t="shared" si="3"/>
        <v>7.5392100000000255</v>
      </c>
      <c r="J83" s="3">
        <v>47.1</v>
      </c>
      <c r="K83" s="3">
        <v>17.5</v>
      </c>
    </row>
    <row r="84" spans="1:11" x14ac:dyDescent="0.35">
      <c r="A84" s="2">
        <v>38355</v>
      </c>
      <c r="B84" s="3">
        <v>81.165354000000008</v>
      </c>
      <c r="C84" s="4">
        <f t="shared" si="4"/>
        <v>-3.5356000000007271E-2</v>
      </c>
      <c r="D84" s="4">
        <f t="shared" si="2"/>
        <v>5.2885789999999986</v>
      </c>
      <c r="E84" s="3">
        <v>47.1</v>
      </c>
      <c r="F84" s="3">
        <v>17.5</v>
      </c>
      <c r="G84" s="3">
        <v>85.123320000000007</v>
      </c>
      <c r="H84" s="4">
        <f t="shared" si="5"/>
        <v>-1.6772000000003118E-2</v>
      </c>
      <c r="I84" s="4">
        <f t="shared" si="3"/>
        <v>7.587672000000012</v>
      </c>
      <c r="J84" s="3">
        <v>47.1</v>
      </c>
      <c r="K84" s="3">
        <v>17.5</v>
      </c>
    </row>
    <row r="85" spans="1:11" x14ac:dyDescent="0.35">
      <c r="A85" s="2">
        <v>38362</v>
      </c>
      <c r="B85" s="3">
        <v>79.835996000000009</v>
      </c>
      <c r="C85" s="4">
        <f t="shared" si="4"/>
        <v>-1.3293579999999992</v>
      </c>
      <c r="D85" s="4">
        <f t="shared" si="2"/>
        <v>3.9377800000000178</v>
      </c>
      <c r="E85" s="3">
        <v>47.1</v>
      </c>
      <c r="F85" s="3">
        <v>17.5</v>
      </c>
      <c r="G85" s="3">
        <v>84.865123999999994</v>
      </c>
      <c r="H85" s="4">
        <f t="shared" si="5"/>
        <v>-0.2581960000000123</v>
      </c>
      <c r="I85" s="4">
        <f t="shared" si="3"/>
        <v>7.322581999999997</v>
      </c>
      <c r="J85" s="3">
        <v>47.1</v>
      </c>
      <c r="K85" s="3">
        <v>17.5</v>
      </c>
    </row>
    <row r="86" spans="1:11" x14ac:dyDescent="0.35">
      <c r="A86" s="2">
        <v>38369</v>
      </c>
      <c r="B86" s="3">
        <v>78.934239999999988</v>
      </c>
      <c r="C86" s="4">
        <f t="shared" si="4"/>
        <v>-0.90175600000002021</v>
      </c>
      <c r="D86" s="4">
        <f t="shared" si="2"/>
        <v>2.5733089999999805</v>
      </c>
      <c r="E86" s="3">
        <v>47.1</v>
      </c>
      <c r="F86" s="3">
        <v>17.5</v>
      </c>
      <c r="G86" s="3">
        <v>83.939431000000013</v>
      </c>
      <c r="H86" s="4">
        <f t="shared" si="5"/>
        <v>-0.92569299999998123</v>
      </c>
      <c r="I86" s="4">
        <f t="shared" si="3"/>
        <v>5.883513000000022</v>
      </c>
      <c r="J86" s="3">
        <v>47.1</v>
      </c>
      <c r="K86" s="3">
        <v>17.5</v>
      </c>
    </row>
    <row r="87" spans="1:11" x14ac:dyDescent="0.35">
      <c r="A87" s="2">
        <v>38376</v>
      </c>
      <c r="B87" s="3">
        <v>78.929773000000012</v>
      </c>
      <c r="C87" s="4">
        <f t="shared" si="4"/>
        <v>-4.4669999999769061E-3</v>
      </c>
      <c r="D87" s="4">
        <f t="shared" si="2"/>
        <v>2.4892940000000152</v>
      </c>
      <c r="E87" s="3">
        <v>47.1</v>
      </c>
      <c r="F87" s="3">
        <v>17.5</v>
      </c>
      <c r="G87" s="3">
        <v>83.865077000000014</v>
      </c>
      <c r="H87" s="4">
        <f t="shared" si="5"/>
        <v>-7.4353999999999587E-2</v>
      </c>
      <c r="I87" s="4">
        <f t="shared" si="3"/>
        <v>5.785207000000014</v>
      </c>
      <c r="J87" s="3">
        <v>47.1</v>
      </c>
      <c r="K87" s="3">
        <v>17.5</v>
      </c>
    </row>
    <row r="88" spans="1:11" x14ac:dyDescent="0.35">
      <c r="A88" s="2">
        <v>38383</v>
      </c>
      <c r="B88" s="3">
        <v>79.540199000000001</v>
      </c>
      <c r="C88" s="4">
        <f t="shared" si="4"/>
        <v>0.6104259999999897</v>
      </c>
      <c r="D88" s="4">
        <f t="shared" si="2"/>
        <v>3.0556959999999975</v>
      </c>
      <c r="E88" s="3">
        <v>47.1</v>
      </c>
      <c r="F88" s="3">
        <v>17.5</v>
      </c>
      <c r="G88" s="3">
        <v>84.225148000000019</v>
      </c>
      <c r="H88" s="4">
        <f t="shared" si="5"/>
        <v>0.36007100000000491</v>
      </c>
      <c r="I88" s="4">
        <f t="shared" si="3"/>
        <v>6.0995740000000325</v>
      </c>
      <c r="J88" s="3">
        <v>47.1</v>
      </c>
      <c r="K88" s="3">
        <v>17.5</v>
      </c>
    </row>
    <row r="89" spans="1:11" x14ac:dyDescent="0.35">
      <c r="A89" s="2">
        <v>38390</v>
      </c>
      <c r="B89" s="3">
        <v>79.843308000000007</v>
      </c>
      <c r="C89" s="4">
        <f t="shared" si="4"/>
        <v>0.30310900000000629</v>
      </c>
      <c r="D89" s="4">
        <f t="shared" si="2"/>
        <v>3.3417890000000199</v>
      </c>
      <c r="E89" s="3">
        <v>47.1</v>
      </c>
      <c r="F89" s="3">
        <v>17.5</v>
      </c>
      <c r="G89" s="3">
        <v>84.274849000000003</v>
      </c>
      <c r="H89" s="4">
        <f t="shared" si="5"/>
        <v>4.9700999999984674E-2</v>
      </c>
      <c r="I89" s="4">
        <f t="shared" si="3"/>
        <v>6.2930670000000219</v>
      </c>
      <c r="J89" s="3">
        <v>47.1</v>
      </c>
      <c r="K89" s="3">
        <v>17.5</v>
      </c>
    </row>
    <row r="90" spans="1:11" x14ac:dyDescent="0.35">
      <c r="A90" s="2">
        <v>38397</v>
      </c>
      <c r="B90" s="3">
        <v>80.033432999999988</v>
      </c>
      <c r="C90" s="4">
        <f t="shared" si="4"/>
        <v>0.19012499999998056</v>
      </c>
      <c r="D90" s="4">
        <f t="shared" si="2"/>
        <v>3.5929239999999965</v>
      </c>
      <c r="E90" s="3">
        <v>47.1</v>
      </c>
      <c r="F90" s="3">
        <v>17.5</v>
      </c>
      <c r="G90" s="3">
        <v>84.316680000000019</v>
      </c>
      <c r="H90" s="4">
        <f t="shared" si="5"/>
        <v>4.1831000000016161E-2</v>
      </c>
      <c r="I90" s="4">
        <f t="shared" si="3"/>
        <v>6.3197280000000262</v>
      </c>
      <c r="J90" s="3">
        <v>47.1</v>
      </c>
      <c r="K90" s="3">
        <v>17.5</v>
      </c>
    </row>
    <row r="91" spans="1:11" x14ac:dyDescent="0.35">
      <c r="A91" s="2">
        <v>38404</v>
      </c>
      <c r="B91" s="3">
        <v>80.150513000000004</v>
      </c>
      <c r="C91" s="4">
        <f t="shared" si="4"/>
        <v>0.11708000000001562</v>
      </c>
      <c r="D91" s="4">
        <f t="shared" si="2"/>
        <v>3.7694649999999967</v>
      </c>
      <c r="E91" s="3">
        <v>47.1</v>
      </c>
      <c r="F91" s="3">
        <v>17.5</v>
      </c>
      <c r="G91" s="3">
        <v>84.358613999999989</v>
      </c>
      <c r="H91" s="4">
        <f t="shared" si="5"/>
        <v>4.1933999999969274E-2</v>
      </c>
      <c r="I91" s="4">
        <f t="shared" si="3"/>
        <v>6.4296539999999993</v>
      </c>
      <c r="J91" s="3">
        <v>47.1</v>
      </c>
      <c r="K91" s="3">
        <v>17.5</v>
      </c>
    </row>
    <row r="92" spans="1:11" x14ac:dyDescent="0.35">
      <c r="A92" s="2">
        <v>38411</v>
      </c>
      <c r="B92" s="3">
        <v>80.445567999999994</v>
      </c>
      <c r="C92" s="4">
        <f t="shared" si="4"/>
        <v>0.29505499999999074</v>
      </c>
      <c r="D92" s="4">
        <f t="shared" si="2"/>
        <v>4.1213759999999837</v>
      </c>
      <c r="E92" s="3">
        <v>47.1</v>
      </c>
      <c r="F92" s="3">
        <v>17.5</v>
      </c>
      <c r="G92" s="3">
        <v>84.651199999999989</v>
      </c>
      <c r="H92" s="4">
        <f t="shared" si="5"/>
        <v>0.29258600000000001</v>
      </c>
      <c r="I92" s="4">
        <f t="shared" si="3"/>
        <v>6.7818439999999924</v>
      </c>
      <c r="J92" s="3">
        <v>47.1</v>
      </c>
      <c r="K92" s="3">
        <v>17.5</v>
      </c>
    </row>
    <row r="93" spans="1:11" x14ac:dyDescent="0.35">
      <c r="A93" s="2">
        <v>38418</v>
      </c>
      <c r="B93" s="3">
        <v>81.164686000000003</v>
      </c>
      <c r="C93" s="4">
        <f t="shared" si="4"/>
        <v>0.71911800000000881</v>
      </c>
      <c r="D93" s="4">
        <f t="shared" si="2"/>
        <v>4.4316170000000028</v>
      </c>
      <c r="E93" s="3">
        <v>47.1</v>
      </c>
      <c r="F93" s="3">
        <v>17.5</v>
      </c>
      <c r="G93" s="3">
        <v>85.636466000000013</v>
      </c>
      <c r="H93" s="4">
        <f t="shared" si="5"/>
        <v>0.98526600000002418</v>
      </c>
      <c r="I93" s="4">
        <f t="shared" si="3"/>
        <v>7.3821080000000165</v>
      </c>
      <c r="J93" s="3">
        <v>47.1</v>
      </c>
      <c r="K93" s="3">
        <v>17.5</v>
      </c>
    </row>
    <row r="94" spans="1:11" x14ac:dyDescent="0.35">
      <c r="A94" s="2">
        <v>38425</v>
      </c>
      <c r="B94" s="3">
        <v>81.635306999999997</v>
      </c>
      <c r="C94" s="4">
        <f t="shared" si="4"/>
        <v>0.47062099999999418</v>
      </c>
      <c r="D94" s="4">
        <f t="shared" si="2"/>
        <v>4.2468350000000044</v>
      </c>
      <c r="E94" s="3">
        <v>47.1</v>
      </c>
      <c r="F94" s="3">
        <v>17.5</v>
      </c>
      <c r="G94" s="3">
        <v>86.10979900000001</v>
      </c>
      <c r="H94" s="4">
        <f t="shared" si="5"/>
        <v>0.47333299999999667</v>
      </c>
      <c r="I94" s="4">
        <f t="shared" si="3"/>
        <v>7.3126830000000069</v>
      </c>
      <c r="J94" s="3">
        <v>47.1</v>
      </c>
      <c r="K94" s="3">
        <v>17.5</v>
      </c>
    </row>
    <row r="95" spans="1:11" x14ac:dyDescent="0.35">
      <c r="A95" s="2">
        <v>38432</v>
      </c>
      <c r="B95" s="3">
        <v>82.696926000000005</v>
      </c>
      <c r="C95" s="4">
        <f t="shared" si="4"/>
        <v>1.0616190000000074</v>
      </c>
      <c r="D95" s="4">
        <f t="shared" si="2"/>
        <v>5.2568780000000004</v>
      </c>
      <c r="E95" s="3">
        <v>47.1</v>
      </c>
      <c r="F95" s="3">
        <v>17.5</v>
      </c>
      <c r="G95" s="3">
        <v>87.055381000000011</v>
      </c>
      <c r="H95" s="4">
        <f t="shared" si="5"/>
        <v>0.9455820000000017</v>
      </c>
      <c r="I95" s="4">
        <f t="shared" si="3"/>
        <v>8.1304950000000105</v>
      </c>
      <c r="J95" s="3">
        <v>47.1</v>
      </c>
      <c r="K95" s="3">
        <v>17.5</v>
      </c>
    </row>
    <row r="96" spans="1:11" x14ac:dyDescent="0.35">
      <c r="A96" s="2">
        <v>38439</v>
      </c>
      <c r="B96" s="3">
        <v>83.404918999999992</v>
      </c>
      <c r="C96" s="4">
        <f t="shared" si="4"/>
        <v>0.70799299999998766</v>
      </c>
      <c r="D96" s="4">
        <f t="shared" si="2"/>
        <v>5.8143029999999811</v>
      </c>
      <c r="E96" s="3">
        <v>47.1</v>
      </c>
      <c r="F96" s="3">
        <v>17.5</v>
      </c>
      <c r="G96" s="3">
        <v>87.684281999999996</v>
      </c>
      <c r="H96" s="4">
        <f t="shared" si="5"/>
        <v>0.62890099999998483</v>
      </c>
      <c r="I96" s="4">
        <f t="shared" si="3"/>
        <v>8.6707999999999998</v>
      </c>
      <c r="J96" s="3">
        <v>47.1</v>
      </c>
      <c r="K96" s="3">
        <v>17.5</v>
      </c>
    </row>
    <row r="97" spans="1:11" x14ac:dyDescent="0.35">
      <c r="A97" s="2">
        <v>38446</v>
      </c>
      <c r="B97" s="3">
        <v>83.914503000000011</v>
      </c>
      <c r="C97" s="4">
        <f t="shared" si="4"/>
        <v>0.50958400000001802</v>
      </c>
      <c r="D97" s="4">
        <f t="shared" si="2"/>
        <v>6.0589810000000028</v>
      </c>
      <c r="E97" s="3">
        <v>47.1</v>
      </c>
      <c r="F97" s="3">
        <v>17.5</v>
      </c>
      <c r="G97" s="3">
        <v>88.302899999999994</v>
      </c>
      <c r="H97" s="4">
        <f t="shared" si="5"/>
        <v>0.61861799999999789</v>
      </c>
      <c r="I97" s="4">
        <f t="shared" si="3"/>
        <v>9.0708670000000069</v>
      </c>
      <c r="J97" s="3">
        <v>47.1</v>
      </c>
      <c r="K97" s="3">
        <v>17.5</v>
      </c>
    </row>
    <row r="98" spans="1:11" x14ac:dyDescent="0.35">
      <c r="A98" s="2">
        <v>38453</v>
      </c>
      <c r="B98" s="3">
        <v>85.608850000000004</v>
      </c>
      <c r="C98" s="4">
        <f t="shared" si="4"/>
        <v>1.6943469999999934</v>
      </c>
      <c r="D98" s="4">
        <f t="shared" si="2"/>
        <v>7.724726000000004</v>
      </c>
      <c r="E98" s="3">
        <v>47.1</v>
      </c>
      <c r="F98" s="3">
        <v>17.5</v>
      </c>
      <c r="G98" s="3">
        <v>89.816452999999996</v>
      </c>
      <c r="H98" s="4">
        <f t="shared" si="5"/>
        <v>1.5135530000000017</v>
      </c>
      <c r="I98" s="4">
        <f t="shared" si="3"/>
        <v>10.546171999999999</v>
      </c>
      <c r="J98" s="3">
        <v>47.1</v>
      </c>
      <c r="K98" s="3">
        <v>17.5</v>
      </c>
    </row>
    <row r="99" spans="1:11" x14ac:dyDescent="0.35">
      <c r="A99" s="2">
        <v>38460</v>
      </c>
      <c r="B99" s="3">
        <v>85.628297999999987</v>
      </c>
      <c r="C99" s="4">
        <f t="shared" si="4"/>
        <v>1.9447999999982812E-2</v>
      </c>
      <c r="D99" s="4">
        <f t="shared" si="2"/>
        <v>7.5844649999999803</v>
      </c>
      <c r="E99" s="3">
        <v>47.1</v>
      </c>
      <c r="F99" s="3">
        <v>17.5</v>
      </c>
      <c r="G99" s="3">
        <v>89.799409000000011</v>
      </c>
      <c r="H99" s="4">
        <f t="shared" si="5"/>
        <v>-1.7043999999984294E-2</v>
      </c>
      <c r="I99" s="4">
        <f t="shared" si="3"/>
        <v>10.366040000000012</v>
      </c>
      <c r="J99" s="3">
        <v>47.1</v>
      </c>
      <c r="K99" s="3">
        <v>17.5</v>
      </c>
    </row>
    <row r="100" spans="1:11" x14ac:dyDescent="0.35">
      <c r="A100" s="2">
        <v>38467</v>
      </c>
      <c r="B100" s="3">
        <v>85.505451999999991</v>
      </c>
      <c r="C100" s="4">
        <f t="shared" si="4"/>
        <v>-0.12284599999999557</v>
      </c>
      <c r="D100" s="4">
        <f t="shared" si="2"/>
        <v>7.1103589999999883</v>
      </c>
      <c r="E100" s="3">
        <v>47.1</v>
      </c>
      <c r="F100" s="3">
        <v>17.5</v>
      </c>
      <c r="G100" s="3">
        <v>89.622190000000003</v>
      </c>
      <c r="H100" s="4">
        <f t="shared" si="5"/>
        <v>-0.17721900000000801</v>
      </c>
      <c r="I100" s="4">
        <f t="shared" si="3"/>
        <v>9.8698050000000137</v>
      </c>
      <c r="J100" s="3">
        <v>47.1</v>
      </c>
      <c r="K100" s="3">
        <v>17.5</v>
      </c>
    </row>
    <row r="101" spans="1:11" x14ac:dyDescent="0.35">
      <c r="A101" s="2">
        <v>38474</v>
      </c>
      <c r="B101" s="3">
        <v>85.43958600000002</v>
      </c>
      <c r="C101" s="4">
        <f t="shared" si="4"/>
        <v>-6.5865999999971336E-2</v>
      </c>
      <c r="D101" s="4">
        <f t="shared" si="2"/>
        <v>6.1641770000000236</v>
      </c>
      <c r="E101" s="3">
        <v>47.1</v>
      </c>
      <c r="F101" s="3">
        <v>17.5</v>
      </c>
      <c r="G101" s="3">
        <v>89.3</v>
      </c>
      <c r="H101" s="4">
        <f t="shared" si="5"/>
        <v>-0.32219000000000619</v>
      </c>
      <c r="I101" s="4">
        <f t="shared" si="3"/>
        <v>8.6568400000000025</v>
      </c>
      <c r="J101" s="3">
        <v>47.1</v>
      </c>
      <c r="K101" s="3">
        <v>17.5</v>
      </c>
    </row>
    <row r="102" spans="1:11" x14ac:dyDescent="0.35">
      <c r="A102" s="2">
        <v>38481</v>
      </c>
      <c r="B102" s="3">
        <v>85.359560000000002</v>
      </c>
      <c r="C102" s="4">
        <f t="shared" si="4"/>
        <v>-8.0026000000017916E-2</v>
      </c>
      <c r="D102" s="4">
        <f t="shared" si="2"/>
        <v>5.0637880000000024</v>
      </c>
      <c r="E102" s="3">
        <v>47.1</v>
      </c>
      <c r="F102" s="3">
        <v>17.5</v>
      </c>
      <c r="G102" s="3">
        <v>89.456670999999986</v>
      </c>
      <c r="H102" s="4">
        <f t="shared" si="5"/>
        <v>0.15667099999998868</v>
      </c>
      <c r="I102" s="4">
        <f t="shared" si="3"/>
        <v>7.781368999999998</v>
      </c>
      <c r="J102" s="3">
        <v>47.1</v>
      </c>
      <c r="K102" s="3">
        <v>17.5</v>
      </c>
    </row>
    <row r="103" spans="1:11" x14ac:dyDescent="0.35">
      <c r="A103" s="2">
        <v>38488</v>
      </c>
      <c r="B103" s="3">
        <v>85.267619999999994</v>
      </c>
      <c r="C103" s="4">
        <f t="shared" si="4"/>
        <v>-9.1940000000008126E-2</v>
      </c>
      <c r="D103" s="4">
        <f t="shared" si="2"/>
        <v>3.7742009999999908</v>
      </c>
      <c r="E103" s="3">
        <v>47.1</v>
      </c>
      <c r="F103" s="3">
        <v>17.5</v>
      </c>
      <c r="G103" s="3">
        <v>89.400206999999995</v>
      </c>
      <c r="H103" s="4">
        <f t="shared" si="5"/>
        <v>-5.6463999999991188E-2</v>
      </c>
      <c r="I103" s="4">
        <f t="shared" si="3"/>
        <v>6.5693549999999732</v>
      </c>
      <c r="J103" s="3">
        <v>47.1</v>
      </c>
      <c r="K103" s="3">
        <v>17.5</v>
      </c>
    </row>
    <row r="104" spans="1:11" x14ac:dyDescent="0.35">
      <c r="A104" s="2">
        <v>38495</v>
      </c>
      <c r="B104" s="3">
        <v>84.768938000000006</v>
      </c>
      <c r="C104" s="4">
        <f t="shared" si="4"/>
        <v>-0.49868199999998808</v>
      </c>
      <c r="D104" s="4">
        <f t="shared" si="2"/>
        <v>2.643572000000006</v>
      </c>
      <c r="E104" s="3">
        <v>47.1</v>
      </c>
      <c r="F104" s="3">
        <v>17.5</v>
      </c>
      <c r="G104" s="3">
        <v>89.004167999999993</v>
      </c>
      <c r="H104" s="4">
        <f t="shared" si="5"/>
        <v>-0.39603900000000181</v>
      </c>
      <c r="I104" s="4">
        <f t="shared" si="3"/>
        <v>5.5248609999999871</v>
      </c>
      <c r="J104" s="3">
        <v>47.1</v>
      </c>
      <c r="K104" s="3">
        <v>17.5</v>
      </c>
    </row>
    <row r="105" spans="1:11" x14ac:dyDescent="0.35">
      <c r="A105" s="2">
        <v>38502</v>
      </c>
      <c r="B105" s="3">
        <v>84.177807000000001</v>
      </c>
      <c r="C105" s="4">
        <f t="shared" si="4"/>
        <v>-0.59113100000000429</v>
      </c>
      <c r="D105" s="4">
        <f t="shared" si="2"/>
        <v>1.8231240000000071</v>
      </c>
      <c r="E105" s="3">
        <v>47.1</v>
      </c>
      <c r="F105" s="3">
        <v>17.5</v>
      </c>
      <c r="G105" s="3">
        <v>88.386880000000005</v>
      </c>
      <c r="H105" s="4">
        <f t="shared" si="5"/>
        <v>-0.61728799999998785</v>
      </c>
      <c r="I105" s="4">
        <f t="shared" si="3"/>
        <v>4.7747640000000189</v>
      </c>
      <c r="J105" s="3">
        <v>47.1</v>
      </c>
      <c r="K105" s="3">
        <v>17.5</v>
      </c>
    </row>
    <row r="106" spans="1:11" x14ac:dyDescent="0.35">
      <c r="A106" s="2">
        <v>38509</v>
      </c>
      <c r="B106" s="3">
        <v>84.012956000000003</v>
      </c>
      <c r="C106" s="4">
        <f t="shared" si="4"/>
        <v>-0.16485099999999875</v>
      </c>
      <c r="D106" s="4">
        <f t="shared" si="2"/>
        <v>1.5719059999999985</v>
      </c>
      <c r="E106" s="3">
        <v>47.1</v>
      </c>
      <c r="F106" s="3">
        <v>17.5</v>
      </c>
      <c r="G106" s="3">
        <v>88.233068000000003</v>
      </c>
      <c r="H106" s="4">
        <f t="shared" si="5"/>
        <v>-0.15381200000000206</v>
      </c>
      <c r="I106" s="4">
        <f t="shared" si="3"/>
        <v>4.5813610000000011</v>
      </c>
      <c r="J106" s="3">
        <v>47.1</v>
      </c>
      <c r="K106" s="3">
        <v>17.5</v>
      </c>
    </row>
    <row r="107" spans="1:11" x14ac:dyDescent="0.35">
      <c r="A107" s="2">
        <v>38516</v>
      </c>
      <c r="B107" s="3">
        <v>84.989146000000005</v>
      </c>
      <c r="C107" s="4">
        <f t="shared" si="4"/>
        <v>0.97619000000000256</v>
      </c>
      <c r="D107" s="4">
        <f t="shared" si="2"/>
        <v>3.447016000000005</v>
      </c>
      <c r="E107" s="3">
        <v>47.1</v>
      </c>
      <c r="F107" s="3">
        <v>17.5</v>
      </c>
      <c r="G107" s="3">
        <v>88.964725000000016</v>
      </c>
      <c r="H107" s="4">
        <f t="shared" si="5"/>
        <v>0.73165700000001266</v>
      </c>
      <c r="I107" s="4">
        <f t="shared" si="3"/>
        <v>6.3597680000000025</v>
      </c>
      <c r="J107" s="3">
        <v>47.1</v>
      </c>
      <c r="K107" s="3">
        <v>17.5</v>
      </c>
    </row>
    <row r="108" spans="1:11" x14ac:dyDescent="0.35">
      <c r="A108" s="2">
        <v>38523</v>
      </c>
      <c r="B108" s="3">
        <v>85.524471000000005</v>
      </c>
      <c r="C108" s="4">
        <f t="shared" si="4"/>
        <v>0.53532500000000027</v>
      </c>
      <c r="D108" s="4">
        <f t="shared" si="2"/>
        <v>4.4819570000000084</v>
      </c>
      <c r="E108" s="3">
        <v>47.1</v>
      </c>
      <c r="F108" s="3">
        <v>17.5</v>
      </c>
      <c r="G108" s="3">
        <v>89.541020000000017</v>
      </c>
      <c r="H108" s="4">
        <f t="shared" si="5"/>
        <v>0.57629500000000178</v>
      </c>
      <c r="I108" s="4">
        <f t="shared" si="3"/>
        <v>7.4467570000000052</v>
      </c>
      <c r="J108" s="3">
        <v>47.1</v>
      </c>
      <c r="K108" s="3">
        <v>17.5</v>
      </c>
    </row>
    <row r="109" spans="1:11" x14ac:dyDescent="0.35">
      <c r="A109" s="2">
        <v>38530</v>
      </c>
      <c r="B109" s="3">
        <v>86.730518999999987</v>
      </c>
      <c r="C109" s="4">
        <f t="shared" si="4"/>
        <v>1.2060479999999814</v>
      </c>
      <c r="D109" s="4">
        <f t="shared" si="2"/>
        <v>6.322023999999999</v>
      </c>
      <c r="E109" s="3">
        <v>47.1</v>
      </c>
      <c r="F109" s="3">
        <v>17.5</v>
      </c>
      <c r="G109" s="3">
        <v>90.273144000000002</v>
      </c>
      <c r="H109" s="4">
        <f t="shared" si="5"/>
        <v>0.73212399999998468</v>
      </c>
      <c r="I109" s="4">
        <f t="shared" si="3"/>
        <v>9.2283269999999931</v>
      </c>
      <c r="J109" s="3">
        <v>47.1</v>
      </c>
      <c r="K109" s="3">
        <v>17.5</v>
      </c>
    </row>
    <row r="110" spans="1:11" x14ac:dyDescent="0.35">
      <c r="A110" s="2">
        <v>38537</v>
      </c>
      <c r="B110" s="3">
        <v>87.485988000000006</v>
      </c>
      <c r="C110" s="4">
        <f t="shared" si="4"/>
        <v>0.75546900000001926</v>
      </c>
      <c r="D110" s="4">
        <f t="shared" si="2"/>
        <v>7.6122790000000151</v>
      </c>
      <c r="E110" s="3">
        <v>47.1</v>
      </c>
      <c r="F110" s="3">
        <v>17.5</v>
      </c>
      <c r="G110" s="3">
        <v>90.999684999999999</v>
      </c>
      <c r="H110" s="4">
        <f t="shared" si="5"/>
        <v>0.72654099999999744</v>
      </c>
      <c r="I110" s="4">
        <f t="shared" si="3"/>
        <v>10.488217000000006</v>
      </c>
      <c r="J110" s="3">
        <v>47.1</v>
      </c>
      <c r="K110" s="3">
        <v>17.5</v>
      </c>
    </row>
    <row r="111" spans="1:11" x14ac:dyDescent="0.35">
      <c r="A111" s="2">
        <v>38544</v>
      </c>
      <c r="B111" s="3">
        <v>87.732742999999999</v>
      </c>
      <c r="C111" s="4">
        <f t="shared" si="4"/>
        <v>0.24675499999999317</v>
      </c>
      <c r="D111" s="4">
        <f t="shared" si="2"/>
        <v>7.3964440000000025</v>
      </c>
      <c r="E111" s="3">
        <v>47.1</v>
      </c>
      <c r="F111" s="3">
        <v>17.5</v>
      </c>
      <c r="G111" s="3">
        <v>91.888536999999999</v>
      </c>
      <c r="H111" s="4">
        <f t="shared" si="5"/>
        <v>0.88885199999999998</v>
      </c>
      <c r="I111" s="4">
        <f t="shared" si="3"/>
        <v>10.833684999999988</v>
      </c>
      <c r="J111" s="3">
        <v>47.1</v>
      </c>
      <c r="K111" s="3">
        <v>17.5</v>
      </c>
    </row>
    <row r="112" spans="1:11" x14ac:dyDescent="0.35">
      <c r="A112" s="2">
        <v>38551</v>
      </c>
      <c r="B112" s="3">
        <v>88.549941999999987</v>
      </c>
      <c r="C112" s="4">
        <f t="shared" si="4"/>
        <v>0.81719899999998802</v>
      </c>
      <c r="D112" s="4">
        <f t="shared" si="2"/>
        <v>7.7133989999999955</v>
      </c>
      <c r="E112" s="3">
        <v>47.1</v>
      </c>
      <c r="F112" s="3">
        <v>17.5</v>
      </c>
      <c r="G112" s="3">
        <v>92.670518000000001</v>
      </c>
      <c r="H112" s="4">
        <f t="shared" si="5"/>
        <v>0.78198100000000181</v>
      </c>
      <c r="I112" s="4">
        <f t="shared" si="3"/>
        <v>10.993268999999984</v>
      </c>
      <c r="J112" s="3">
        <v>47.1</v>
      </c>
      <c r="K112" s="3">
        <v>17.5</v>
      </c>
    </row>
    <row r="113" spans="1:11" x14ac:dyDescent="0.35">
      <c r="A113" s="2">
        <v>38558</v>
      </c>
      <c r="B113" s="3">
        <v>88.999424999999988</v>
      </c>
      <c r="C113" s="4">
        <f t="shared" si="4"/>
        <v>0.44948300000000074</v>
      </c>
      <c r="D113" s="4">
        <f t="shared" si="2"/>
        <v>8.1313949999999835</v>
      </c>
      <c r="E113" s="3">
        <v>47.1</v>
      </c>
      <c r="F113" s="3">
        <v>17.5</v>
      </c>
      <c r="G113" s="3">
        <v>93.032986999999991</v>
      </c>
      <c r="H113" s="4">
        <f t="shared" si="5"/>
        <v>0.36246899999999016</v>
      </c>
      <c r="I113" s="4">
        <f t="shared" si="3"/>
        <v>11.335127999999983</v>
      </c>
      <c r="J113" s="3">
        <v>47.1</v>
      </c>
      <c r="K113" s="3">
        <v>17.5</v>
      </c>
    </row>
    <row r="114" spans="1:11" x14ac:dyDescent="0.35">
      <c r="A114" s="2">
        <v>38565</v>
      </c>
      <c r="B114" s="3">
        <v>89.245449999999991</v>
      </c>
      <c r="C114" s="4">
        <f t="shared" si="4"/>
        <v>0.24602500000000305</v>
      </c>
      <c r="D114" s="4">
        <f t="shared" si="2"/>
        <v>8.389741999999984</v>
      </c>
      <c r="E114" s="3">
        <v>47.1</v>
      </c>
      <c r="F114" s="3">
        <v>17.5</v>
      </c>
      <c r="G114" s="3">
        <v>93.262693000000013</v>
      </c>
      <c r="H114" s="4">
        <f t="shared" si="5"/>
        <v>0.2297060000000215</v>
      </c>
      <c r="I114" s="4">
        <f t="shared" si="3"/>
        <v>11.469426999999996</v>
      </c>
      <c r="J114" s="3">
        <v>47.1</v>
      </c>
      <c r="K114" s="3">
        <v>17.5</v>
      </c>
    </row>
    <row r="115" spans="1:11" x14ac:dyDescent="0.35">
      <c r="A115" s="2">
        <v>38572</v>
      </c>
      <c r="B115" s="3">
        <v>89.667239000000009</v>
      </c>
      <c r="C115" s="4">
        <f t="shared" si="4"/>
        <v>0.42178900000001818</v>
      </c>
      <c r="D115" s="4">
        <f t="shared" si="2"/>
        <v>8.4841970000000089</v>
      </c>
      <c r="E115" s="3">
        <v>47.1</v>
      </c>
      <c r="F115" s="3">
        <v>17.5</v>
      </c>
      <c r="G115" s="3">
        <v>93.627549000000016</v>
      </c>
      <c r="H115" s="4">
        <f t="shared" si="5"/>
        <v>0.36485600000000318</v>
      </c>
      <c r="I115" s="4">
        <f t="shared" si="3"/>
        <v>11.48321399999999</v>
      </c>
      <c r="J115" s="3">
        <v>47.1</v>
      </c>
      <c r="K115" s="3">
        <v>17.5</v>
      </c>
    </row>
    <row r="116" spans="1:11" x14ac:dyDescent="0.35">
      <c r="A116" s="2">
        <v>38579</v>
      </c>
      <c r="B116" s="3">
        <v>90.557814000000008</v>
      </c>
      <c r="C116" s="4">
        <f t="shared" si="4"/>
        <v>0.89057499999999834</v>
      </c>
      <c r="D116" s="4">
        <f t="shared" si="2"/>
        <v>9.3064640000000054</v>
      </c>
      <c r="E116" s="3">
        <v>47.1</v>
      </c>
      <c r="F116" s="3">
        <v>17.5</v>
      </c>
      <c r="G116" s="3">
        <v>94.497185000000002</v>
      </c>
      <c r="H116" s="4">
        <f t="shared" si="5"/>
        <v>0.86963599999998564</v>
      </c>
      <c r="I116" s="4">
        <f t="shared" si="3"/>
        <v>12.169910999999999</v>
      </c>
      <c r="J116" s="3">
        <v>47.1</v>
      </c>
      <c r="K116" s="3">
        <v>17.5</v>
      </c>
    </row>
    <row r="117" spans="1:11" x14ac:dyDescent="0.35">
      <c r="A117" s="2">
        <v>38586</v>
      </c>
      <c r="B117" s="3">
        <v>90.773095999999995</v>
      </c>
      <c r="C117" s="4">
        <f t="shared" si="4"/>
        <v>0.21528199999998776</v>
      </c>
      <c r="D117" s="4">
        <f t="shared" si="2"/>
        <v>9.2652299999999883</v>
      </c>
      <c r="E117" s="3">
        <v>47.1</v>
      </c>
      <c r="F117" s="3">
        <v>17.5</v>
      </c>
      <c r="G117" s="3">
        <v>94.676641999999987</v>
      </c>
      <c r="H117" s="4">
        <f t="shared" si="5"/>
        <v>0.1794569999999851</v>
      </c>
      <c r="I117" s="4">
        <f t="shared" si="3"/>
        <v>11.857204999999979</v>
      </c>
      <c r="J117" s="3">
        <v>47.1</v>
      </c>
      <c r="K117" s="3">
        <v>17.5</v>
      </c>
    </row>
    <row r="118" spans="1:11" x14ac:dyDescent="0.35">
      <c r="A118" s="2">
        <v>38593</v>
      </c>
      <c r="B118" s="3">
        <v>91.415612999999993</v>
      </c>
      <c r="C118" s="4">
        <f t="shared" si="4"/>
        <v>0.64251699999999801</v>
      </c>
      <c r="D118" s="4">
        <f t="shared" si="2"/>
        <v>9.8875929999999954</v>
      </c>
      <c r="E118" s="3">
        <v>47.1</v>
      </c>
      <c r="F118" s="3">
        <v>17.5</v>
      </c>
      <c r="G118" s="3">
        <v>95.326917000000009</v>
      </c>
      <c r="H118" s="4">
        <f t="shared" si="5"/>
        <v>0.65027500000002192</v>
      </c>
      <c r="I118" s="4">
        <f t="shared" si="3"/>
        <v>12.439236000000008</v>
      </c>
      <c r="J118" s="3">
        <v>47.1</v>
      </c>
      <c r="K118" s="3">
        <v>17.5</v>
      </c>
    </row>
    <row r="119" spans="1:11" x14ac:dyDescent="0.35">
      <c r="A119" s="2">
        <v>38600</v>
      </c>
      <c r="B119" s="3">
        <v>94.374197000000009</v>
      </c>
      <c r="C119" s="4">
        <f t="shared" si="4"/>
        <v>2.9585840000000161</v>
      </c>
      <c r="D119" s="4">
        <f t="shared" ref="D119:D182" si="6">B119-B67</f>
        <v>13.004782000000006</v>
      </c>
      <c r="E119" s="3">
        <v>47.1</v>
      </c>
      <c r="F119" s="3">
        <v>17.5</v>
      </c>
      <c r="G119" s="3">
        <v>97.187450000000013</v>
      </c>
      <c r="H119" s="4">
        <f t="shared" si="5"/>
        <v>1.8605330000000038</v>
      </c>
      <c r="I119" s="4">
        <f t="shared" ref="I119:I182" si="7">G119-G67</f>
        <v>14.266650000000013</v>
      </c>
      <c r="J119" s="3">
        <v>47.1</v>
      </c>
      <c r="K119" s="3">
        <v>17.5</v>
      </c>
    </row>
    <row r="120" spans="1:11" x14ac:dyDescent="0.35">
      <c r="A120" s="2">
        <v>38607</v>
      </c>
      <c r="B120" s="3">
        <v>95.073554999999999</v>
      </c>
      <c r="C120" s="4">
        <f t="shared" si="4"/>
        <v>0.69935799999998949</v>
      </c>
      <c r="D120" s="4">
        <f t="shared" si="6"/>
        <v>13.762371999999999</v>
      </c>
      <c r="E120" s="3">
        <v>47.1</v>
      </c>
      <c r="F120" s="3">
        <v>17.5</v>
      </c>
      <c r="G120" s="3">
        <v>97.886866000000012</v>
      </c>
      <c r="H120" s="4">
        <f t="shared" si="5"/>
        <v>0.69941599999999937</v>
      </c>
      <c r="I120" s="4">
        <f t="shared" si="7"/>
        <v>14.980079000000018</v>
      </c>
      <c r="J120" s="3">
        <v>47.1</v>
      </c>
      <c r="K120" s="3">
        <v>17.5</v>
      </c>
    </row>
    <row r="121" spans="1:11" x14ac:dyDescent="0.35">
      <c r="A121" s="2">
        <v>38614</v>
      </c>
      <c r="B121" s="3">
        <v>94.414203000000001</v>
      </c>
      <c r="C121" s="4">
        <f t="shared" si="4"/>
        <v>-0.65935199999999838</v>
      </c>
      <c r="D121" s="4">
        <f t="shared" si="6"/>
        <v>13.135487999999995</v>
      </c>
      <c r="E121" s="3">
        <v>47.1</v>
      </c>
      <c r="F121" s="3">
        <v>17.5</v>
      </c>
      <c r="G121" s="3">
        <v>97.318894999999998</v>
      </c>
      <c r="H121" s="4">
        <f t="shared" si="5"/>
        <v>-0.56797100000001421</v>
      </c>
      <c r="I121" s="4">
        <f t="shared" si="7"/>
        <v>14.287199999999984</v>
      </c>
      <c r="J121" s="3">
        <v>47.1</v>
      </c>
      <c r="K121" s="3">
        <v>17.5</v>
      </c>
    </row>
    <row r="122" spans="1:11" x14ac:dyDescent="0.35">
      <c r="A122" s="2">
        <v>38621</v>
      </c>
      <c r="B122" s="3">
        <v>93.332003999999984</v>
      </c>
      <c r="C122" s="4">
        <f t="shared" si="4"/>
        <v>-1.082199000000017</v>
      </c>
      <c r="D122" s="4">
        <f t="shared" si="6"/>
        <v>11.706610999999981</v>
      </c>
      <c r="E122" s="3">
        <v>47.1</v>
      </c>
      <c r="F122" s="3">
        <v>17.5</v>
      </c>
      <c r="G122" s="3">
        <v>96.269036</v>
      </c>
      <c r="H122" s="4">
        <f t="shared" si="5"/>
        <v>-1.0498589999999979</v>
      </c>
      <c r="I122" s="4">
        <f t="shared" si="7"/>
        <v>12.807507999999999</v>
      </c>
      <c r="J122" s="3">
        <v>47.1</v>
      </c>
      <c r="K122" s="3">
        <v>17.5</v>
      </c>
    </row>
    <row r="123" spans="1:11" x14ac:dyDescent="0.35">
      <c r="A123" s="2">
        <v>38628</v>
      </c>
      <c r="B123" s="3">
        <v>93.512814000000006</v>
      </c>
      <c r="C123" s="4">
        <f t="shared" si="4"/>
        <v>0.18081000000002234</v>
      </c>
      <c r="D123" s="4">
        <f t="shared" si="6"/>
        <v>11.463728000000003</v>
      </c>
      <c r="E123" s="3">
        <v>47.1</v>
      </c>
      <c r="F123" s="3">
        <v>17.5</v>
      </c>
      <c r="G123" s="3">
        <v>96.613071000000005</v>
      </c>
      <c r="H123" s="4">
        <f t="shared" si="5"/>
        <v>0.3440350000000052</v>
      </c>
      <c r="I123" s="4">
        <f t="shared" si="7"/>
        <v>12.772307999999995</v>
      </c>
      <c r="J123" s="3">
        <v>47.1</v>
      </c>
      <c r="K123" s="3">
        <v>17.5</v>
      </c>
    </row>
    <row r="124" spans="1:11" x14ac:dyDescent="0.35">
      <c r="A124" s="2">
        <v>38635</v>
      </c>
      <c r="B124" s="3">
        <v>94.247914999999992</v>
      </c>
      <c r="C124" s="4">
        <f t="shared" si="4"/>
        <v>0.73510099999998602</v>
      </c>
      <c r="D124" s="4">
        <f t="shared" si="6"/>
        <v>11.137205999999978</v>
      </c>
      <c r="E124" s="3">
        <v>47.1</v>
      </c>
      <c r="F124" s="3">
        <v>17.5</v>
      </c>
      <c r="G124" s="3">
        <v>97.048919999999995</v>
      </c>
      <c r="H124" s="4">
        <f t="shared" si="5"/>
        <v>0.43584899999999038</v>
      </c>
      <c r="I124" s="4">
        <f t="shared" si="7"/>
        <v>12.035989999999998</v>
      </c>
      <c r="J124" s="3">
        <v>47.1</v>
      </c>
      <c r="K124" s="3">
        <v>17.5</v>
      </c>
    </row>
    <row r="125" spans="1:11" x14ac:dyDescent="0.35">
      <c r="A125" s="2">
        <v>38642</v>
      </c>
      <c r="B125" s="3">
        <v>94.142240000000015</v>
      </c>
      <c r="C125" s="4">
        <f t="shared" si="4"/>
        <v>-0.10567499999997665</v>
      </c>
      <c r="D125" s="4">
        <f t="shared" si="6"/>
        <v>10.792285000000021</v>
      </c>
      <c r="E125" s="3">
        <v>47.1</v>
      </c>
      <c r="F125" s="3">
        <v>17.5</v>
      </c>
      <c r="G125" s="3">
        <v>96.999956000000012</v>
      </c>
      <c r="H125" s="4">
        <f t="shared" si="5"/>
        <v>-4.8963999999983798E-2</v>
      </c>
      <c r="I125" s="4">
        <f t="shared" si="7"/>
        <v>11.662540000000021</v>
      </c>
      <c r="J125" s="3">
        <v>47.1</v>
      </c>
      <c r="K125" s="3">
        <v>17.5</v>
      </c>
    </row>
    <row r="126" spans="1:11" x14ac:dyDescent="0.35">
      <c r="A126" s="2">
        <v>38649</v>
      </c>
      <c r="B126" s="3">
        <v>93.471981999999997</v>
      </c>
      <c r="C126" s="4">
        <f t="shared" si="4"/>
        <v>-0.67025800000001823</v>
      </c>
      <c r="D126" s="4">
        <f t="shared" si="6"/>
        <v>9.5360739999999993</v>
      </c>
      <c r="E126" s="3">
        <v>47.1</v>
      </c>
      <c r="F126" s="3">
        <v>17.5</v>
      </c>
      <c r="G126" s="3">
        <v>96.796566000000013</v>
      </c>
      <c r="H126" s="4">
        <f t="shared" si="5"/>
        <v>-0.20338999999999885</v>
      </c>
      <c r="I126" s="4">
        <f t="shared" si="7"/>
        <v>10.76217800000002</v>
      </c>
      <c r="J126" s="3">
        <v>47.1</v>
      </c>
      <c r="K126" s="3">
        <v>17.5</v>
      </c>
    </row>
    <row r="127" spans="1:11" x14ac:dyDescent="0.35">
      <c r="A127" s="2">
        <v>38656</v>
      </c>
      <c r="B127" s="3">
        <v>92.788460999999998</v>
      </c>
      <c r="C127" s="4">
        <f t="shared" si="4"/>
        <v>-0.68352099999999893</v>
      </c>
      <c r="D127" s="4">
        <f t="shared" si="6"/>
        <v>8.5188409999999948</v>
      </c>
      <c r="E127" s="3">
        <v>47.1</v>
      </c>
      <c r="F127" s="3">
        <v>17.5</v>
      </c>
      <c r="G127" s="3">
        <v>96.573724999999996</v>
      </c>
      <c r="H127" s="4">
        <f t="shared" si="5"/>
        <v>-0.22284100000001672</v>
      </c>
      <c r="I127" s="4">
        <f t="shared" si="7"/>
        <v>10.152197999999984</v>
      </c>
      <c r="J127" s="3">
        <v>47.1</v>
      </c>
      <c r="K127" s="3">
        <v>17.5</v>
      </c>
    </row>
    <row r="128" spans="1:11" x14ac:dyDescent="0.35">
      <c r="A128" s="2">
        <v>38663</v>
      </c>
      <c r="B128" s="3">
        <v>92.465075999999982</v>
      </c>
      <c r="C128" s="4">
        <f t="shared" si="4"/>
        <v>-0.32338500000001602</v>
      </c>
      <c r="D128" s="4">
        <f t="shared" si="6"/>
        <v>8.1215759999999761</v>
      </c>
      <c r="E128" s="3">
        <v>47.1</v>
      </c>
      <c r="F128" s="3">
        <v>17.5</v>
      </c>
      <c r="G128" s="3">
        <v>96.592336000000003</v>
      </c>
      <c r="H128" s="4">
        <f t="shared" si="5"/>
        <v>1.8611000000007039E-2</v>
      </c>
      <c r="I128" s="4">
        <f t="shared" si="7"/>
        <v>10.047904999999986</v>
      </c>
      <c r="J128" s="3">
        <v>47.1</v>
      </c>
      <c r="K128" s="3">
        <v>17.5</v>
      </c>
    </row>
    <row r="129" spans="1:11" x14ac:dyDescent="0.35">
      <c r="A129" s="2">
        <v>38670</v>
      </c>
      <c r="B129" s="3">
        <v>90.532036000000005</v>
      </c>
      <c r="C129" s="4">
        <f t="shared" si="4"/>
        <v>-1.933039999999977</v>
      </c>
      <c r="D129" s="4">
        <f t="shared" si="6"/>
        <v>6.2678429999999992</v>
      </c>
      <c r="E129" s="3">
        <v>47.1</v>
      </c>
      <c r="F129" s="3">
        <v>17.5</v>
      </c>
      <c r="G129" s="3">
        <v>94.918820999999994</v>
      </c>
      <c r="H129" s="4">
        <f t="shared" si="5"/>
        <v>-1.673515000000009</v>
      </c>
      <c r="I129" s="4">
        <f t="shared" si="7"/>
        <v>8.4979719999999901</v>
      </c>
      <c r="J129" s="3">
        <v>47.1</v>
      </c>
      <c r="K129" s="3">
        <v>17.5</v>
      </c>
    </row>
    <row r="130" spans="1:11" x14ac:dyDescent="0.35">
      <c r="A130" s="2">
        <v>38677</v>
      </c>
      <c r="B130" s="3">
        <v>88.608238</v>
      </c>
      <c r="C130" s="4">
        <f t="shared" si="4"/>
        <v>-1.923798000000005</v>
      </c>
      <c r="D130" s="4">
        <f t="shared" si="6"/>
        <v>7.1435930000000099</v>
      </c>
      <c r="E130" s="3">
        <v>47.1</v>
      </c>
      <c r="F130" s="3">
        <v>17.5</v>
      </c>
      <c r="G130" s="3">
        <v>93.224740999999995</v>
      </c>
      <c r="H130" s="4">
        <f t="shared" si="5"/>
        <v>-1.6940799999999996</v>
      </c>
      <c r="I130" s="4">
        <f t="shared" si="7"/>
        <v>8.0581349999999929</v>
      </c>
      <c r="J130" s="3">
        <v>47.1</v>
      </c>
      <c r="K130" s="3">
        <v>17.5</v>
      </c>
    </row>
    <row r="131" spans="1:11" x14ac:dyDescent="0.35">
      <c r="A131" s="2">
        <v>38684</v>
      </c>
      <c r="B131" s="3">
        <v>87.347022999999993</v>
      </c>
      <c r="C131" s="4">
        <f t="shared" ref="C131:C194" si="8">B131-B130</f>
        <v>-1.2612150000000071</v>
      </c>
      <c r="D131" s="4">
        <f t="shared" si="6"/>
        <v>3.1817639999999869</v>
      </c>
      <c r="E131" s="3">
        <v>47.1</v>
      </c>
      <c r="F131" s="3">
        <v>17.5</v>
      </c>
      <c r="G131" s="3">
        <v>91.804357999999993</v>
      </c>
      <c r="H131" s="4">
        <f t="shared" ref="H131:H194" si="9">G131-G130</f>
        <v>-1.4203830000000011</v>
      </c>
      <c r="I131" s="4">
        <f t="shared" si="7"/>
        <v>5.4433299999999889</v>
      </c>
      <c r="J131" s="3">
        <v>47.1</v>
      </c>
      <c r="K131" s="3">
        <v>17.5</v>
      </c>
    </row>
    <row r="132" spans="1:11" x14ac:dyDescent="0.35">
      <c r="A132" s="2">
        <v>38691</v>
      </c>
      <c r="B132" s="3">
        <v>87.347022999999993</v>
      </c>
      <c r="C132" s="4">
        <f t="shared" si="8"/>
        <v>0</v>
      </c>
      <c r="D132" s="4">
        <f t="shared" si="6"/>
        <v>3.284743999999975</v>
      </c>
      <c r="E132" s="3">
        <v>47.1</v>
      </c>
      <c r="F132" s="3">
        <v>17.5</v>
      </c>
      <c r="G132" s="3">
        <v>91.804357999999993</v>
      </c>
      <c r="H132" s="4">
        <f t="shared" si="9"/>
        <v>0</v>
      </c>
      <c r="I132" s="4">
        <f t="shared" si="7"/>
        <v>5.4066769999999877</v>
      </c>
      <c r="J132" s="3">
        <v>47.1</v>
      </c>
      <c r="K132" s="3">
        <v>17.5</v>
      </c>
    </row>
    <row r="133" spans="1:11" x14ac:dyDescent="0.35">
      <c r="A133" s="2">
        <v>38698</v>
      </c>
      <c r="B133" s="3">
        <v>87.202474999999993</v>
      </c>
      <c r="C133" s="4">
        <f t="shared" si="8"/>
        <v>-0.14454800000000034</v>
      </c>
      <c r="D133" s="4">
        <f t="shared" si="6"/>
        <v>4.469672999999986</v>
      </c>
      <c r="E133" s="3">
        <v>47.1</v>
      </c>
      <c r="F133" s="3">
        <v>17.5</v>
      </c>
      <c r="G133" s="3">
        <v>91.475917999999993</v>
      </c>
      <c r="H133" s="4">
        <f t="shared" si="9"/>
        <v>-0.32844000000000051</v>
      </c>
      <c r="I133" s="4">
        <f t="shared" si="7"/>
        <v>5.4972989999999839</v>
      </c>
      <c r="J133" s="3">
        <v>47.1</v>
      </c>
      <c r="K133" s="3">
        <v>17.5</v>
      </c>
    </row>
    <row r="134" spans="1:11" x14ac:dyDescent="0.35">
      <c r="A134" s="2">
        <v>38705</v>
      </c>
      <c r="B134" s="3">
        <v>87.557270000000017</v>
      </c>
      <c r="C134" s="4">
        <f t="shared" si="8"/>
        <v>0.35479500000002417</v>
      </c>
      <c r="D134" s="4">
        <f t="shared" si="6"/>
        <v>6.0926250000000266</v>
      </c>
      <c r="E134" s="3">
        <v>47.1</v>
      </c>
      <c r="F134" s="3">
        <v>17.5</v>
      </c>
      <c r="G134" s="3">
        <v>91.828893999999991</v>
      </c>
      <c r="H134" s="4">
        <f t="shared" si="9"/>
        <v>0.35297599999999818</v>
      </c>
      <c r="I134" s="4">
        <f t="shared" si="7"/>
        <v>6.6622879999999896</v>
      </c>
      <c r="J134" s="3">
        <v>47.1</v>
      </c>
      <c r="K134" s="3">
        <v>17.5</v>
      </c>
    </row>
    <row r="135" spans="1:11" x14ac:dyDescent="0.35">
      <c r="A135" s="2">
        <v>38712</v>
      </c>
      <c r="B135" s="3">
        <v>87.884986000000012</v>
      </c>
      <c r="C135" s="4">
        <f t="shared" si="8"/>
        <v>0.32771599999999523</v>
      </c>
      <c r="D135" s="4">
        <f t="shared" si="6"/>
        <v>6.684275999999997</v>
      </c>
      <c r="E135" s="3">
        <v>47.1</v>
      </c>
      <c r="F135" s="3">
        <v>17.5</v>
      </c>
      <c r="G135" s="3">
        <v>92.120989999999992</v>
      </c>
      <c r="H135" s="4">
        <f t="shared" si="9"/>
        <v>0.2920960000000008</v>
      </c>
      <c r="I135" s="4">
        <f t="shared" si="7"/>
        <v>6.9808979999999821</v>
      </c>
      <c r="J135" s="3">
        <v>47.1</v>
      </c>
      <c r="K135" s="3">
        <v>17.5</v>
      </c>
    </row>
    <row r="136" spans="1:11" x14ac:dyDescent="0.35">
      <c r="A136" s="2">
        <v>38719</v>
      </c>
      <c r="B136" s="3">
        <v>88.033395999999982</v>
      </c>
      <c r="C136" s="4">
        <f t="shared" si="8"/>
        <v>0.14840999999996995</v>
      </c>
      <c r="D136" s="4">
        <f t="shared" si="6"/>
        <v>6.8680419999999742</v>
      </c>
      <c r="E136" s="3">
        <v>47.1</v>
      </c>
      <c r="F136" s="3">
        <v>17.5</v>
      </c>
      <c r="G136" s="3">
        <v>92.268669000000003</v>
      </c>
      <c r="H136" s="4">
        <f t="shared" si="9"/>
        <v>0.14767900000001077</v>
      </c>
      <c r="I136" s="4">
        <f t="shared" si="7"/>
        <v>7.145348999999996</v>
      </c>
      <c r="J136" s="3">
        <v>47.1</v>
      </c>
      <c r="K136" s="3">
        <v>17.5</v>
      </c>
    </row>
    <row r="137" spans="1:11" x14ac:dyDescent="0.35">
      <c r="A137" s="2">
        <v>38726</v>
      </c>
      <c r="B137" s="3">
        <v>88.560045000000002</v>
      </c>
      <c r="C137" s="4">
        <f t="shared" si="8"/>
        <v>0.52664900000002035</v>
      </c>
      <c r="D137" s="4">
        <f t="shared" si="6"/>
        <v>8.7240489999999937</v>
      </c>
      <c r="E137" s="3">
        <v>47.1</v>
      </c>
      <c r="F137" s="3">
        <v>17.5</v>
      </c>
      <c r="G137" s="3">
        <v>92.940070999999989</v>
      </c>
      <c r="H137" s="4">
        <f t="shared" si="9"/>
        <v>0.67140199999998629</v>
      </c>
      <c r="I137" s="4">
        <f t="shared" si="7"/>
        <v>8.0749469999999945</v>
      </c>
      <c r="J137" s="3">
        <v>47.1</v>
      </c>
      <c r="K137" s="3">
        <v>17.5</v>
      </c>
    </row>
    <row r="138" spans="1:11" x14ac:dyDescent="0.35">
      <c r="A138" s="2">
        <v>38733</v>
      </c>
      <c r="B138" s="3">
        <v>89.007180000000005</v>
      </c>
      <c r="C138" s="4">
        <f t="shared" si="8"/>
        <v>0.44713500000000295</v>
      </c>
      <c r="D138" s="4">
        <f t="shared" si="6"/>
        <v>10.072940000000017</v>
      </c>
      <c r="E138" s="3">
        <v>47.1</v>
      </c>
      <c r="F138" s="3">
        <v>17.5</v>
      </c>
      <c r="G138" s="3">
        <v>93.186062000000007</v>
      </c>
      <c r="H138" s="4">
        <f t="shared" si="9"/>
        <v>0.24599100000001783</v>
      </c>
      <c r="I138" s="4">
        <f t="shared" si="7"/>
        <v>9.2466309999999936</v>
      </c>
      <c r="J138" s="3">
        <v>47.1</v>
      </c>
      <c r="K138" s="3">
        <v>17.5</v>
      </c>
    </row>
    <row r="139" spans="1:11" x14ac:dyDescent="0.35">
      <c r="A139" s="2">
        <v>38740</v>
      </c>
      <c r="B139" s="3">
        <v>89.549011999999991</v>
      </c>
      <c r="C139" s="4">
        <f t="shared" si="8"/>
        <v>0.54183199999998521</v>
      </c>
      <c r="D139" s="4">
        <f t="shared" si="6"/>
        <v>10.619238999999979</v>
      </c>
      <c r="E139" s="3">
        <v>47.1</v>
      </c>
      <c r="F139" s="3">
        <v>17.5</v>
      </c>
      <c r="G139" s="3">
        <v>93.622726</v>
      </c>
      <c r="H139" s="4">
        <f t="shared" si="9"/>
        <v>0.43666399999999328</v>
      </c>
      <c r="I139" s="4">
        <f t="shared" si="7"/>
        <v>9.7576489999999865</v>
      </c>
      <c r="J139" s="3">
        <v>47.1</v>
      </c>
      <c r="K139" s="3">
        <v>17.5</v>
      </c>
    </row>
    <row r="140" spans="1:11" x14ac:dyDescent="0.35">
      <c r="A140" s="2">
        <v>38747</v>
      </c>
      <c r="B140" s="3">
        <v>89.880272000000005</v>
      </c>
      <c r="C140" s="4">
        <f t="shared" si="8"/>
        <v>0.33126000000001454</v>
      </c>
      <c r="D140" s="4">
        <f t="shared" si="6"/>
        <v>10.340073000000004</v>
      </c>
      <c r="E140" s="3">
        <v>47.1</v>
      </c>
      <c r="F140" s="3">
        <v>17.5</v>
      </c>
      <c r="G140" s="3">
        <v>93.934284999999988</v>
      </c>
      <c r="H140" s="4">
        <f t="shared" si="9"/>
        <v>0.31155899999998837</v>
      </c>
      <c r="I140" s="4">
        <f t="shared" si="7"/>
        <v>9.7091369999999699</v>
      </c>
      <c r="J140" s="3">
        <v>47.1</v>
      </c>
      <c r="K140" s="3">
        <v>17.5</v>
      </c>
    </row>
    <row r="141" spans="1:11" x14ac:dyDescent="0.35">
      <c r="A141" s="2">
        <v>38754</v>
      </c>
      <c r="B141" s="3">
        <v>89.734482999999997</v>
      </c>
      <c r="C141" s="4">
        <f t="shared" si="8"/>
        <v>-0.14578900000000772</v>
      </c>
      <c r="D141" s="4">
        <f t="shared" si="6"/>
        <v>9.8911749999999898</v>
      </c>
      <c r="E141" s="3">
        <v>47.1</v>
      </c>
      <c r="F141" s="3">
        <v>17.5</v>
      </c>
      <c r="G141" s="3">
        <v>93.852165000000014</v>
      </c>
      <c r="H141" s="4">
        <f t="shared" si="9"/>
        <v>-8.211999999997488E-2</v>
      </c>
      <c r="I141" s="4">
        <f t="shared" si="7"/>
        <v>9.5773160000000104</v>
      </c>
      <c r="J141" s="3">
        <v>47.1</v>
      </c>
      <c r="K141" s="3">
        <v>17.5</v>
      </c>
    </row>
    <row r="142" spans="1:11" x14ac:dyDescent="0.35">
      <c r="A142" s="2">
        <v>38761</v>
      </c>
      <c r="B142" s="3">
        <v>89.649450000000002</v>
      </c>
      <c r="C142" s="4">
        <f t="shared" si="8"/>
        <v>-8.5032999999995695E-2</v>
      </c>
      <c r="D142" s="4">
        <f t="shared" si="6"/>
        <v>9.6160170000000136</v>
      </c>
      <c r="E142" s="3">
        <v>47.1</v>
      </c>
      <c r="F142" s="3">
        <v>17.5</v>
      </c>
      <c r="G142" s="3">
        <v>93.774115999999992</v>
      </c>
      <c r="H142" s="4">
        <f t="shared" si="9"/>
        <v>-7.8049000000021351E-2</v>
      </c>
      <c r="I142" s="4">
        <f t="shared" si="7"/>
        <v>9.4574359999999729</v>
      </c>
      <c r="J142" s="3">
        <v>47.1</v>
      </c>
      <c r="K142" s="3">
        <v>17.5</v>
      </c>
    </row>
    <row r="143" spans="1:11" x14ac:dyDescent="0.35">
      <c r="A143" s="2">
        <v>38768</v>
      </c>
      <c r="B143" s="3">
        <v>89.596348999999989</v>
      </c>
      <c r="C143" s="4">
        <f t="shared" si="8"/>
        <v>-5.3101000000012277E-2</v>
      </c>
      <c r="D143" s="4">
        <f t="shared" si="6"/>
        <v>9.4458359999999857</v>
      </c>
      <c r="E143" s="3">
        <v>47.1</v>
      </c>
      <c r="F143" s="3">
        <v>17.5</v>
      </c>
      <c r="G143" s="3">
        <v>93.753344000000013</v>
      </c>
      <c r="H143" s="4">
        <f t="shared" si="9"/>
        <v>-2.0771999999979585E-2</v>
      </c>
      <c r="I143" s="4">
        <f t="shared" si="7"/>
        <v>9.394730000000024</v>
      </c>
      <c r="J143" s="3">
        <v>47.1</v>
      </c>
      <c r="K143" s="3">
        <v>17.5</v>
      </c>
    </row>
    <row r="144" spans="1:11" x14ac:dyDescent="0.35">
      <c r="A144" s="2">
        <v>38775</v>
      </c>
      <c r="B144" s="3">
        <v>89.507039000000006</v>
      </c>
      <c r="C144" s="4">
        <f t="shared" si="8"/>
        <v>-8.9309999999983347E-2</v>
      </c>
      <c r="D144" s="4">
        <f t="shared" si="6"/>
        <v>9.0614710000000116</v>
      </c>
      <c r="E144" s="3">
        <v>47.1</v>
      </c>
      <c r="F144" s="3">
        <v>17.5</v>
      </c>
      <c r="G144" s="3">
        <v>93.685020000000009</v>
      </c>
      <c r="H144" s="4">
        <f t="shared" si="9"/>
        <v>-6.8324000000004048E-2</v>
      </c>
      <c r="I144" s="4">
        <f t="shared" si="7"/>
        <v>9.0338200000000199</v>
      </c>
      <c r="J144" s="3">
        <v>47.1</v>
      </c>
      <c r="K144" s="3">
        <v>17.5</v>
      </c>
    </row>
    <row r="145" spans="1:11" x14ac:dyDescent="0.35">
      <c r="A145" s="2">
        <v>38782</v>
      </c>
      <c r="B145" s="3">
        <v>89.369137999999992</v>
      </c>
      <c r="C145" s="4">
        <f t="shared" si="8"/>
        <v>-0.1379010000000136</v>
      </c>
      <c r="D145" s="4">
        <f t="shared" si="6"/>
        <v>8.2044519999999892</v>
      </c>
      <c r="E145" s="3">
        <v>47.1</v>
      </c>
      <c r="F145" s="3">
        <v>17.5</v>
      </c>
      <c r="G145" s="3">
        <v>93.627079000000009</v>
      </c>
      <c r="H145" s="4">
        <f t="shared" si="9"/>
        <v>-5.7940999999999576E-2</v>
      </c>
      <c r="I145" s="4">
        <f t="shared" si="7"/>
        <v>7.9906129999999962</v>
      </c>
      <c r="J145" s="3">
        <v>47.1</v>
      </c>
      <c r="K145" s="3">
        <v>17.5</v>
      </c>
    </row>
    <row r="146" spans="1:11" x14ac:dyDescent="0.35">
      <c r="A146" s="2">
        <v>38789</v>
      </c>
      <c r="B146" s="3">
        <v>89.554547999999983</v>
      </c>
      <c r="C146" s="4">
        <f t="shared" si="8"/>
        <v>0.1854099999999903</v>
      </c>
      <c r="D146" s="4">
        <f t="shared" si="6"/>
        <v>7.9192409999999853</v>
      </c>
      <c r="E146" s="3">
        <v>47.1</v>
      </c>
      <c r="F146" s="3">
        <v>17.5</v>
      </c>
      <c r="G146" s="3">
        <v>93.852661000000012</v>
      </c>
      <c r="H146" s="4">
        <f t="shared" si="9"/>
        <v>0.22558200000000284</v>
      </c>
      <c r="I146" s="4">
        <f t="shared" si="7"/>
        <v>7.7428620000000024</v>
      </c>
      <c r="J146" s="3">
        <v>47.1</v>
      </c>
      <c r="K146" s="3">
        <v>17.5</v>
      </c>
    </row>
    <row r="147" spans="1:11" x14ac:dyDescent="0.35">
      <c r="A147" s="2">
        <v>38796</v>
      </c>
      <c r="B147" s="3">
        <v>90.191850000000002</v>
      </c>
      <c r="C147" s="4">
        <f t="shared" si="8"/>
        <v>0.63730200000001958</v>
      </c>
      <c r="D147" s="4">
        <f t="shared" si="6"/>
        <v>7.4949239999999975</v>
      </c>
      <c r="E147" s="3">
        <v>47.1</v>
      </c>
      <c r="F147" s="3">
        <v>17.5</v>
      </c>
      <c r="G147" s="3">
        <v>94.421533000000011</v>
      </c>
      <c r="H147" s="4">
        <f t="shared" si="9"/>
        <v>0.56887199999999893</v>
      </c>
      <c r="I147" s="4">
        <f t="shared" si="7"/>
        <v>7.3661519999999996</v>
      </c>
      <c r="J147" s="3">
        <v>47.1</v>
      </c>
      <c r="K147" s="3">
        <v>17.5</v>
      </c>
    </row>
    <row r="148" spans="1:11" x14ac:dyDescent="0.35">
      <c r="A148" s="2">
        <v>38803</v>
      </c>
      <c r="B148" s="3">
        <v>91.161428571428573</v>
      </c>
      <c r="C148" s="4">
        <f t="shared" si="8"/>
        <v>0.96957857142857051</v>
      </c>
      <c r="D148" s="4">
        <f t="shared" si="6"/>
        <v>7.7565095714285803</v>
      </c>
      <c r="E148" s="3">
        <v>47.1</v>
      </c>
      <c r="F148" s="3">
        <v>17.5</v>
      </c>
      <c r="G148" s="3">
        <v>94.950470000000024</v>
      </c>
      <c r="H148" s="4">
        <f t="shared" si="9"/>
        <v>0.52893700000001331</v>
      </c>
      <c r="I148" s="4">
        <f t="shared" si="7"/>
        <v>7.2661880000000281</v>
      </c>
      <c r="J148" s="3">
        <v>47.1</v>
      </c>
      <c r="K148" s="3">
        <v>17.5</v>
      </c>
    </row>
    <row r="149" spans="1:11" x14ac:dyDescent="0.35">
      <c r="A149" s="2">
        <v>38810</v>
      </c>
      <c r="B149" s="3">
        <v>91.78407</v>
      </c>
      <c r="C149" s="4">
        <f t="shared" si="8"/>
        <v>0.62264142857142701</v>
      </c>
      <c r="D149" s="4">
        <f t="shared" si="6"/>
        <v>7.8695669999999893</v>
      </c>
      <c r="E149" s="3">
        <v>47.1</v>
      </c>
      <c r="F149" s="3">
        <v>17.5</v>
      </c>
      <c r="G149" s="3">
        <v>95.640287999999984</v>
      </c>
      <c r="H149" s="4">
        <f t="shared" si="9"/>
        <v>0.68981799999995985</v>
      </c>
      <c r="I149" s="4">
        <f t="shared" si="7"/>
        <v>7.33738799999999</v>
      </c>
      <c r="J149" s="3">
        <v>47.1</v>
      </c>
      <c r="K149" s="3">
        <v>17.5</v>
      </c>
    </row>
    <row r="150" spans="1:11" x14ac:dyDescent="0.35">
      <c r="A150" s="2">
        <v>38817</v>
      </c>
      <c r="B150" s="3">
        <v>92.770263</v>
      </c>
      <c r="C150" s="4">
        <f t="shared" si="8"/>
        <v>0.9861930000000001</v>
      </c>
      <c r="D150" s="4">
        <f t="shared" si="6"/>
        <v>7.161412999999996</v>
      </c>
      <c r="E150" s="3">
        <v>47.1</v>
      </c>
      <c r="F150" s="3">
        <v>17.5</v>
      </c>
      <c r="G150" s="3">
        <v>96.400079000000005</v>
      </c>
      <c r="H150" s="4">
        <f t="shared" si="9"/>
        <v>0.7597910000000212</v>
      </c>
      <c r="I150" s="4">
        <f t="shared" si="7"/>
        <v>6.5836260000000095</v>
      </c>
      <c r="J150" s="3">
        <v>47.1</v>
      </c>
      <c r="K150" s="3">
        <v>17.5</v>
      </c>
    </row>
    <row r="151" spans="1:11" x14ac:dyDescent="0.35">
      <c r="A151" s="2">
        <v>38825</v>
      </c>
      <c r="B151" s="3">
        <v>94.229962</v>
      </c>
      <c r="C151" s="4">
        <f t="shared" si="8"/>
        <v>1.4596990000000005</v>
      </c>
      <c r="D151" s="4">
        <f t="shared" si="6"/>
        <v>8.6016640000000137</v>
      </c>
      <c r="E151" s="3">
        <v>47.1</v>
      </c>
      <c r="F151" s="3">
        <v>17.5</v>
      </c>
      <c r="G151" s="3">
        <v>97.642411999999993</v>
      </c>
      <c r="H151" s="4">
        <f t="shared" si="9"/>
        <v>1.2423329999999879</v>
      </c>
      <c r="I151" s="4">
        <f t="shared" si="7"/>
        <v>7.8430029999999817</v>
      </c>
      <c r="J151" s="3">
        <v>47.1</v>
      </c>
      <c r="K151" s="3">
        <v>17.5</v>
      </c>
    </row>
    <row r="152" spans="1:11" x14ac:dyDescent="0.35">
      <c r="A152" s="2">
        <v>38831</v>
      </c>
      <c r="B152" s="3">
        <v>95.351672000000008</v>
      </c>
      <c r="C152" s="4">
        <f t="shared" si="8"/>
        <v>1.1217100000000073</v>
      </c>
      <c r="D152" s="4">
        <f t="shared" si="6"/>
        <v>9.8462200000000166</v>
      </c>
      <c r="E152" s="3">
        <v>47.1</v>
      </c>
      <c r="F152" s="3">
        <v>17.5</v>
      </c>
      <c r="G152" s="3">
        <v>98.500204999999994</v>
      </c>
      <c r="H152" s="4">
        <f t="shared" si="9"/>
        <v>0.85779300000000092</v>
      </c>
      <c r="I152" s="4">
        <f t="shared" si="7"/>
        <v>8.8780149999999907</v>
      </c>
      <c r="J152" s="3">
        <v>47.1</v>
      </c>
      <c r="K152" s="3">
        <v>17.5</v>
      </c>
    </row>
    <row r="153" spans="1:11" x14ac:dyDescent="0.35">
      <c r="A153" s="2">
        <v>38838</v>
      </c>
      <c r="B153" s="3">
        <v>96.131447999999992</v>
      </c>
      <c r="C153" s="4">
        <f t="shared" si="8"/>
        <v>0.77977599999998404</v>
      </c>
      <c r="D153" s="4">
        <f t="shared" si="6"/>
        <v>10.691861999999972</v>
      </c>
      <c r="E153" s="3">
        <v>47.1</v>
      </c>
      <c r="F153" s="3">
        <v>17.5</v>
      </c>
      <c r="G153" s="3">
        <v>98.900272000000001</v>
      </c>
      <c r="H153" s="4">
        <f t="shared" si="9"/>
        <v>0.40006700000000706</v>
      </c>
      <c r="I153" s="4">
        <f t="shared" si="7"/>
        <v>9.6002720000000039</v>
      </c>
      <c r="J153" s="3">
        <v>47.1</v>
      </c>
      <c r="K153" s="3">
        <v>17.5</v>
      </c>
    </row>
    <row r="154" spans="1:11" x14ac:dyDescent="0.35">
      <c r="A154" s="2">
        <v>38845</v>
      </c>
      <c r="B154" s="3">
        <v>96.460941000000005</v>
      </c>
      <c r="C154" s="4">
        <f t="shared" si="8"/>
        <v>0.32949300000001358</v>
      </c>
      <c r="D154" s="4">
        <f t="shared" si="6"/>
        <v>11.101381000000003</v>
      </c>
      <c r="E154" s="3">
        <v>47.1</v>
      </c>
      <c r="F154" s="3">
        <v>17.5</v>
      </c>
      <c r="G154" s="3">
        <v>98.902568000000002</v>
      </c>
      <c r="H154" s="4">
        <f t="shared" si="9"/>
        <v>2.296000000001186E-3</v>
      </c>
      <c r="I154" s="4">
        <f t="shared" si="7"/>
        <v>9.4458970000000164</v>
      </c>
      <c r="J154" s="3">
        <v>47.1</v>
      </c>
      <c r="K154" s="3">
        <v>17.5</v>
      </c>
    </row>
    <row r="155" spans="1:11" x14ac:dyDescent="0.35">
      <c r="A155" s="2">
        <v>38852</v>
      </c>
      <c r="B155" s="3">
        <v>96.391477000000009</v>
      </c>
      <c r="C155" s="4">
        <f t="shared" si="8"/>
        <v>-6.9463999999996418E-2</v>
      </c>
      <c r="D155" s="4">
        <f t="shared" si="6"/>
        <v>11.123857000000015</v>
      </c>
      <c r="E155" s="3">
        <v>47.1</v>
      </c>
      <c r="F155" s="3">
        <v>17.5</v>
      </c>
      <c r="G155" s="3">
        <v>98.744455000000002</v>
      </c>
      <c r="H155" s="4">
        <f t="shared" si="9"/>
        <v>-0.15811300000000017</v>
      </c>
      <c r="I155" s="4">
        <f t="shared" si="7"/>
        <v>9.3442480000000074</v>
      </c>
      <c r="J155" s="3">
        <v>47.1</v>
      </c>
      <c r="K155" s="3">
        <v>17.5</v>
      </c>
    </row>
    <row r="156" spans="1:11" x14ac:dyDescent="0.35">
      <c r="A156" s="2">
        <v>38859</v>
      </c>
      <c r="B156" s="3">
        <v>96.099114999999998</v>
      </c>
      <c r="C156" s="4">
        <f t="shared" si="8"/>
        <v>-0.29236200000001134</v>
      </c>
      <c r="D156" s="4">
        <f t="shared" si="6"/>
        <v>11.330176999999992</v>
      </c>
      <c r="E156" s="3">
        <v>47.1</v>
      </c>
      <c r="F156" s="3">
        <v>17.5</v>
      </c>
      <c r="G156" s="3">
        <v>98.497185999999999</v>
      </c>
      <c r="H156" s="4">
        <f t="shared" si="9"/>
        <v>-0.24726900000000285</v>
      </c>
      <c r="I156" s="4">
        <f t="shared" si="7"/>
        <v>9.4930180000000064</v>
      </c>
      <c r="J156" s="3">
        <v>47.1</v>
      </c>
      <c r="K156" s="3">
        <v>17.5</v>
      </c>
    </row>
    <row r="157" spans="1:11" x14ac:dyDescent="0.35">
      <c r="A157" s="2">
        <v>38866</v>
      </c>
      <c r="B157" s="3">
        <v>95.364540999999988</v>
      </c>
      <c r="C157" s="4">
        <f t="shared" si="8"/>
        <v>-0.73457400000000916</v>
      </c>
      <c r="D157" s="4">
        <f t="shared" si="6"/>
        <v>11.186733999999987</v>
      </c>
      <c r="E157" s="3">
        <v>47.1</v>
      </c>
      <c r="F157" s="3">
        <v>17.5</v>
      </c>
      <c r="G157" s="3">
        <v>97.692968000000008</v>
      </c>
      <c r="H157" s="4">
        <f t="shared" si="9"/>
        <v>-0.80421799999999166</v>
      </c>
      <c r="I157" s="4">
        <f t="shared" si="7"/>
        <v>9.3060880000000026</v>
      </c>
      <c r="J157" s="3">
        <v>47.1</v>
      </c>
      <c r="K157" s="3">
        <v>17.5</v>
      </c>
    </row>
    <row r="158" spans="1:11" x14ac:dyDescent="0.35">
      <c r="A158" s="2">
        <v>38873</v>
      </c>
      <c r="B158" s="3">
        <v>95.237023999999991</v>
      </c>
      <c r="C158" s="4">
        <f t="shared" si="8"/>
        <v>-0.12751699999999744</v>
      </c>
      <c r="D158" s="4">
        <f t="shared" si="6"/>
        <v>11.224067999999988</v>
      </c>
      <c r="E158" s="3">
        <v>47.1</v>
      </c>
      <c r="F158" s="3">
        <v>17.5</v>
      </c>
      <c r="G158" s="3">
        <v>97.554976999999994</v>
      </c>
      <c r="H158" s="4">
        <f t="shared" si="9"/>
        <v>-0.13799100000001374</v>
      </c>
      <c r="I158" s="4">
        <f t="shared" si="7"/>
        <v>9.3219089999999909</v>
      </c>
      <c r="J158" s="3">
        <v>47.1</v>
      </c>
      <c r="K158" s="3">
        <v>17.5</v>
      </c>
    </row>
    <row r="159" spans="1:11" x14ac:dyDescent="0.35">
      <c r="A159" s="2">
        <v>38880</v>
      </c>
      <c r="B159" s="3">
        <v>95.494850999999997</v>
      </c>
      <c r="C159" s="4">
        <f t="shared" si="8"/>
        <v>0.25782700000000602</v>
      </c>
      <c r="D159" s="4">
        <f t="shared" si="6"/>
        <v>10.505704999999992</v>
      </c>
      <c r="E159" s="3">
        <v>47.1</v>
      </c>
      <c r="F159" s="3">
        <v>17.5</v>
      </c>
      <c r="G159" s="3">
        <v>97.752037000000001</v>
      </c>
      <c r="H159" s="4">
        <f t="shared" si="9"/>
        <v>0.19706000000000756</v>
      </c>
      <c r="I159" s="4">
        <f t="shared" si="7"/>
        <v>8.7873119999999858</v>
      </c>
      <c r="J159" s="3">
        <v>47.1</v>
      </c>
      <c r="K159" s="3">
        <v>17.5</v>
      </c>
    </row>
    <row r="160" spans="1:11" x14ac:dyDescent="0.35">
      <c r="A160" s="2">
        <v>38887</v>
      </c>
      <c r="B160" s="3">
        <v>95.442477000000011</v>
      </c>
      <c r="C160" s="4">
        <f t="shared" si="8"/>
        <v>-5.2373999999986154E-2</v>
      </c>
      <c r="D160" s="4">
        <f t="shared" si="6"/>
        <v>9.9180060000000054</v>
      </c>
      <c r="E160" s="3">
        <v>47.1</v>
      </c>
      <c r="F160" s="3">
        <v>17.5</v>
      </c>
      <c r="G160" s="3">
        <v>97.765829999999994</v>
      </c>
      <c r="H160" s="4">
        <f t="shared" si="9"/>
        <v>1.3792999999992617E-2</v>
      </c>
      <c r="I160" s="4">
        <f t="shared" si="7"/>
        <v>8.2248099999999766</v>
      </c>
      <c r="J160" s="3">
        <v>47.1</v>
      </c>
      <c r="K160" s="3">
        <v>17.5</v>
      </c>
    </row>
    <row r="161" spans="1:11" x14ac:dyDescent="0.35">
      <c r="A161" s="2">
        <v>38894</v>
      </c>
      <c r="B161" s="3">
        <v>94.971827999999988</v>
      </c>
      <c r="C161" s="4">
        <f t="shared" si="8"/>
        <v>-0.47064900000002297</v>
      </c>
      <c r="D161" s="4">
        <f t="shared" si="6"/>
        <v>8.2413090000000011</v>
      </c>
      <c r="E161" s="3">
        <v>47.1</v>
      </c>
      <c r="F161" s="3">
        <v>17.5</v>
      </c>
      <c r="G161" s="3">
        <v>97.363848000000004</v>
      </c>
      <c r="H161" s="4">
        <f t="shared" si="9"/>
        <v>-0.40198199999998963</v>
      </c>
      <c r="I161" s="4">
        <f t="shared" si="7"/>
        <v>7.0907040000000023</v>
      </c>
      <c r="J161" s="3">
        <v>47.1</v>
      </c>
      <c r="K161" s="3">
        <v>17.5</v>
      </c>
    </row>
    <row r="162" spans="1:11" x14ac:dyDescent="0.35">
      <c r="A162" s="2">
        <v>38901</v>
      </c>
      <c r="B162" s="3">
        <v>95.267583999999999</v>
      </c>
      <c r="C162" s="4">
        <f t="shared" si="8"/>
        <v>0.29575600000001145</v>
      </c>
      <c r="D162" s="4">
        <f t="shared" si="6"/>
        <v>7.7815959999999933</v>
      </c>
      <c r="E162" s="3">
        <v>47.1</v>
      </c>
      <c r="F162" s="3">
        <v>17.5</v>
      </c>
      <c r="G162" s="3">
        <v>97.600107000000008</v>
      </c>
      <c r="H162" s="4">
        <f t="shared" si="9"/>
        <v>0.23625900000000399</v>
      </c>
      <c r="I162" s="4">
        <f t="shared" si="7"/>
        <v>6.6004220000000089</v>
      </c>
      <c r="J162" s="3">
        <v>47.1</v>
      </c>
      <c r="K162" s="3">
        <v>17.5</v>
      </c>
    </row>
    <row r="163" spans="1:11" x14ac:dyDescent="0.35">
      <c r="A163" s="2">
        <v>38908</v>
      </c>
      <c r="B163" s="3">
        <v>95.694568000000004</v>
      </c>
      <c r="C163" s="4">
        <f t="shared" si="8"/>
        <v>0.42698400000000447</v>
      </c>
      <c r="D163" s="4">
        <f t="shared" si="6"/>
        <v>7.9618250000000046</v>
      </c>
      <c r="E163" s="3">
        <v>47.1</v>
      </c>
      <c r="F163" s="3">
        <v>17.5</v>
      </c>
      <c r="G163" s="3">
        <v>97.994595000000004</v>
      </c>
      <c r="H163" s="4">
        <f t="shared" si="9"/>
        <v>0.39448799999999551</v>
      </c>
      <c r="I163" s="4">
        <f t="shared" si="7"/>
        <v>6.1060580000000044</v>
      </c>
      <c r="J163" s="3">
        <v>47.1</v>
      </c>
      <c r="K163" s="3">
        <v>17.5</v>
      </c>
    </row>
    <row r="164" spans="1:11" x14ac:dyDescent="0.35">
      <c r="A164" s="2">
        <v>38915</v>
      </c>
      <c r="B164" s="3">
        <v>96.881884000000014</v>
      </c>
      <c r="C164" s="4">
        <f t="shared" si="8"/>
        <v>1.1873160000000098</v>
      </c>
      <c r="D164" s="4">
        <f t="shared" si="6"/>
        <v>8.3319420000000264</v>
      </c>
      <c r="E164" s="3">
        <v>47.1</v>
      </c>
      <c r="F164" s="3">
        <v>17.5</v>
      </c>
      <c r="G164" s="3">
        <v>98.743158999999991</v>
      </c>
      <c r="H164" s="4">
        <f t="shared" si="9"/>
        <v>0.74856399999998757</v>
      </c>
      <c r="I164" s="4">
        <f t="shared" si="7"/>
        <v>6.0726409999999902</v>
      </c>
      <c r="J164" s="3">
        <v>47.1</v>
      </c>
      <c r="K164" s="3">
        <v>17.5</v>
      </c>
    </row>
    <row r="165" spans="1:11" x14ac:dyDescent="0.35">
      <c r="A165" s="2">
        <v>38922</v>
      </c>
      <c r="B165" s="3">
        <v>97.784588999999997</v>
      </c>
      <c r="C165" s="4">
        <f t="shared" si="8"/>
        <v>0.90270499999998322</v>
      </c>
      <c r="D165" s="4">
        <f t="shared" si="6"/>
        <v>8.7851640000000089</v>
      </c>
      <c r="E165" s="3">
        <v>47.1</v>
      </c>
      <c r="F165" s="3">
        <v>17.5</v>
      </c>
      <c r="G165" s="3">
        <v>99.405504000000008</v>
      </c>
      <c r="H165" s="4">
        <f t="shared" si="9"/>
        <v>0.66234500000001617</v>
      </c>
      <c r="I165" s="4">
        <f t="shared" si="7"/>
        <v>6.3725170000000162</v>
      </c>
      <c r="J165" s="3">
        <v>47.1</v>
      </c>
      <c r="K165" s="3">
        <v>17.5</v>
      </c>
    </row>
    <row r="166" spans="1:11" x14ac:dyDescent="0.35">
      <c r="A166" s="2">
        <v>38929</v>
      </c>
      <c r="B166" s="3">
        <v>97.829799999999992</v>
      </c>
      <c r="C166" s="4">
        <f t="shared" si="8"/>
        <v>4.5210999999994783E-2</v>
      </c>
      <c r="D166" s="4">
        <f t="shared" si="6"/>
        <v>8.5843500000000006</v>
      </c>
      <c r="E166" s="3">
        <v>47.1</v>
      </c>
      <c r="F166" s="3">
        <v>17.5</v>
      </c>
      <c r="G166" s="3">
        <v>99.414105000000006</v>
      </c>
      <c r="H166" s="4">
        <f t="shared" si="9"/>
        <v>8.6009999999987485E-3</v>
      </c>
      <c r="I166" s="4">
        <f t="shared" si="7"/>
        <v>6.1514119999999934</v>
      </c>
      <c r="J166" s="3">
        <v>47.1</v>
      </c>
      <c r="K166" s="3">
        <v>17.5</v>
      </c>
    </row>
    <row r="167" spans="1:11" x14ac:dyDescent="0.35">
      <c r="A167" s="2">
        <v>38936</v>
      </c>
      <c r="B167" s="3">
        <v>98.051664999999986</v>
      </c>
      <c r="C167" s="4">
        <f t="shared" si="8"/>
        <v>0.22186499999999398</v>
      </c>
      <c r="D167" s="4">
        <f t="shared" si="6"/>
        <v>8.3844259999999764</v>
      </c>
      <c r="E167" s="3">
        <v>47.1</v>
      </c>
      <c r="F167" s="3">
        <v>17.5</v>
      </c>
      <c r="G167" s="3">
        <v>99.572749999999999</v>
      </c>
      <c r="H167" s="4">
        <f t="shared" si="9"/>
        <v>0.15864499999999282</v>
      </c>
      <c r="I167" s="4">
        <f t="shared" si="7"/>
        <v>5.9452009999999831</v>
      </c>
      <c r="J167" s="3">
        <v>47.1</v>
      </c>
      <c r="K167" s="3">
        <v>17.5</v>
      </c>
    </row>
    <row r="168" spans="1:11" x14ac:dyDescent="0.35">
      <c r="A168" s="2">
        <v>38943</v>
      </c>
      <c r="B168" s="3">
        <v>97.816900000000004</v>
      </c>
      <c r="C168" s="4">
        <f t="shared" si="8"/>
        <v>-0.23476499999998168</v>
      </c>
      <c r="D168" s="4">
        <f t="shared" si="6"/>
        <v>7.2590859999999964</v>
      </c>
      <c r="E168" s="3">
        <v>47.1</v>
      </c>
      <c r="F168" s="3">
        <v>17.5</v>
      </c>
      <c r="G168" s="3">
        <v>99.446228000000005</v>
      </c>
      <c r="H168" s="4">
        <f t="shared" si="9"/>
        <v>-0.12652199999999425</v>
      </c>
      <c r="I168" s="4">
        <f t="shared" si="7"/>
        <v>4.9490430000000032</v>
      </c>
      <c r="J168" s="3">
        <v>47.1</v>
      </c>
      <c r="K168" s="3">
        <v>17.5</v>
      </c>
    </row>
    <row r="169" spans="1:11" x14ac:dyDescent="0.35">
      <c r="A169" s="2">
        <v>38950</v>
      </c>
      <c r="B169" s="3">
        <v>95.743277000000006</v>
      </c>
      <c r="C169" s="4">
        <f t="shared" si="8"/>
        <v>-2.0736229999999978</v>
      </c>
      <c r="D169" s="4">
        <f t="shared" si="6"/>
        <v>4.9701810000000108</v>
      </c>
      <c r="E169" s="3">
        <v>47.1</v>
      </c>
      <c r="F169" s="3">
        <v>17.5</v>
      </c>
      <c r="G169" s="3">
        <v>97.927852000000001</v>
      </c>
      <c r="H169" s="4">
        <f t="shared" si="9"/>
        <v>-1.5183760000000035</v>
      </c>
      <c r="I169" s="4">
        <f t="shared" si="7"/>
        <v>3.2512100000000146</v>
      </c>
      <c r="J169" s="3">
        <v>47.1</v>
      </c>
      <c r="K169" s="3">
        <v>17.5</v>
      </c>
    </row>
    <row r="170" spans="1:11" x14ac:dyDescent="0.35">
      <c r="A170" s="2">
        <v>38957</v>
      </c>
      <c r="B170" s="3">
        <v>94.401263</v>
      </c>
      <c r="C170" s="4">
        <f t="shared" si="8"/>
        <v>-1.342014000000006</v>
      </c>
      <c r="D170" s="4">
        <f t="shared" si="6"/>
        <v>2.9856500000000068</v>
      </c>
      <c r="E170" s="3">
        <v>47.1</v>
      </c>
      <c r="F170" s="3">
        <v>17.5</v>
      </c>
      <c r="G170" s="3">
        <v>96.671294999999986</v>
      </c>
      <c r="H170" s="4">
        <f t="shared" si="9"/>
        <v>-1.256557000000015</v>
      </c>
      <c r="I170" s="4">
        <f t="shared" si="7"/>
        <v>1.3443779999999776</v>
      </c>
      <c r="J170" s="3">
        <v>47.1</v>
      </c>
      <c r="K170" s="3">
        <v>17.5</v>
      </c>
    </row>
    <row r="171" spans="1:11" x14ac:dyDescent="0.35">
      <c r="A171" s="2">
        <v>38964</v>
      </c>
      <c r="B171" s="3">
        <v>92.880980000000008</v>
      </c>
      <c r="C171" s="4">
        <f t="shared" si="8"/>
        <v>-1.5202829999999921</v>
      </c>
      <c r="D171" s="4">
        <f t="shared" si="6"/>
        <v>-1.4932170000000013</v>
      </c>
      <c r="E171" s="3">
        <v>47.1</v>
      </c>
      <c r="F171" s="3">
        <v>17.5</v>
      </c>
      <c r="G171" s="3">
        <v>95.923818000000011</v>
      </c>
      <c r="H171" s="4">
        <f t="shared" si="9"/>
        <v>-0.74747699999997508</v>
      </c>
      <c r="I171" s="4">
        <f t="shared" si="7"/>
        <v>-1.2636320000000012</v>
      </c>
      <c r="J171" s="3">
        <v>47.1</v>
      </c>
      <c r="K171" s="3">
        <v>17.5</v>
      </c>
    </row>
    <row r="172" spans="1:11" x14ac:dyDescent="0.35">
      <c r="A172" s="2">
        <v>38971</v>
      </c>
      <c r="B172" s="3">
        <v>91.48115</v>
      </c>
      <c r="C172" s="4">
        <f t="shared" si="8"/>
        <v>-1.3998300000000086</v>
      </c>
      <c r="D172" s="4">
        <f t="shared" si="6"/>
        <v>-3.5924049999999994</v>
      </c>
      <c r="E172" s="3">
        <v>47.1</v>
      </c>
      <c r="F172" s="3">
        <v>17.5</v>
      </c>
      <c r="G172" s="3">
        <v>95.338222000000002</v>
      </c>
      <c r="H172" s="4">
        <f t="shared" si="9"/>
        <v>-0.58559600000000955</v>
      </c>
      <c r="I172" s="4">
        <f t="shared" si="7"/>
        <v>-2.5486440000000101</v>
      </c>
      <c r="J172" s="3">
        <v>47.1</v>
      </c>
      <c r="K172" s="3">
        <v>17.5</v>
      </c>
    </row>
    <row r="173" spans="1:11" x14ac:dyDescent="0.35">
      <c r="A173" s="2">
        <v>38978</v>
      </c>
      <c r="B173" s="3">
        <v>89.776635999999996</v>
      </c>
      <c r="C173" s="4">
        <f t="shared" si="8"/>
        <v>-1.7045140000000032</v>
      </c>
      <c r="D173" s="4">
        <f t="shared" si="6"/>
        <v>-4.6375670000000042</v>
      </c>
      <c r="E173" s="3">
        <v>47.1</v>
      </c>
      <c r="F173" s="3">
        <v>17.5</v>
      </c>
      <c r="G173" s="3">
        <v>94.948910999999995</v>
      </c>
      <c r="H173" s="4">
        <f t="shared" si="9"/>
        <v>-0.3893110000000064</v>
      </c>
      <c r="I173" s="4">
        <f t="shared" si="7"/>
        <v>-2.3699840000000023</v>
      </c>
      <c r="J173" s="3">
        <v>47.1</v>
      </c>
      <c r="K173" s="3">
        <v>17.5</v>
      </c>
    </row>
    <row r="174" spans="1:11" x14ac:dyDescent="0.35">
      <c r="A174" s="2">
        <v>38985</v>
      </c>
      <c r="B174" s="3">
        <v>88.201453999999998</v>
      </c>
      <c r="C174" s="4">
        <f t="shared" si="8"/>
        <v>-1.5751819999999981</v>
      </c>
      <c r="D174" s="4">
        <f t="shared" si="6"/>
        <v>-5.1305499999999853</v>
      </c>
      <c r="E174" s="3">
        <v>47.1</v>
      </c>
      <c r="F174" s="3">
        <v>17.5</v>
      </c>
      <c r="G174" s="3">
        <v>93.513475999999997</v>
      </c>
      <c r="H174" s="4">
        <f t="shared" si="9"/>
        <v>-1.4354349999999982</v>
      </c>
      <c r="I174" s="4">
        <f t="shared" si="7"/>
        <v>-2.7555600000000027</v>
      </c>
      <c r="J174" s="3">
        <v>47.1</v>
      </c>
      <c r="K174" s="3">
        <v>17.5</v>
      </c>
    </row>
    <row r="175" spans="1:11" x14ac:dyDescent="0.35">
      <c r="A175" s="2">
        <v>38992</v>
      </c>
      <c r="B175" s="3">
        <v>86.946717000000021</v>
      </c>
      <c r="C175" s="4">
        <f t="shared" si="8"/>
        <v>-1.2547369999999773</v>
      </c>
      <c r="D175" s="4">
        <f t="shared" si="6"/>
        <v>-6.566096999999985</v>
      </c>
      <c r="E175" s="3">
        <v>47.1</v>
      </c>
      <c r="F175" s="3">
        <v>17.5</v>
      </c>
      <c r="G175" s="3">
        <v>92.130327000000008</v>
      </c>
      <c r="H175" s="4">
        <f t="shared" si="9"/>
        <v>-1.3831489999999889</v>
      </c>
      <c r="I175" s="4">
        <f t="shared" si="7"/>
        <v>-4.4827439999999967</v>
      </c>
      <c r="J175" s="3">
        <v>47.1</v>
      </c>
      <c r="K175" s="3">
        <v>17.5</v>
      </c>
    </row>
    <row r="176" spans="1:11" x14ac:dyDescent="0.35">
      <c r="A176" s="2">
        <v>38999</v>
      </c>
      <c r="B176" s="3">
        <v>86.597413000000017</v>
      </c>
      <c r="C176" s="4">
        <f t="shared" si="8"/>
        <v>-0.34930400000000361</v>
      </c>
      <c r="D176" s="4">
        <f t="shared" si="6"/>
        <v>-7.6505019999999746</v>
      </c>
      <c r="E176" s="3">
        <v>47.1</v>
      </c>
      <c r="F176" s="3">
        <v>17.5</v>
      </c>
      <c r="G176" s="3">
        <v>91.74212</v>
      </c>
      <c r="H176" s="4">
        <f t="shared" si="9"/>
        <v>-0.38820700000000841</v>
      </c>
      <c r="I176" s="4">
        <f t="shared" si="7"/>
        <v>-5.3067999999999955</v>
      </c>
      <c r="J176" s="3">
        <v>47.1</v>
      </c>
      <c r="K176" s="3">
        <v>17.5</v>
      </c>
    </row>
    <row r="177" spans="1:11" x14ac:dyDescent="0.35">
      <c r="A177" s="2">
        <v>39006</v>
      </c>
      <c r="B177" s="3">
        <v>85.909579000000008</v>
      </c>
      <c r="C177" s="4">
        <f t="shared" si="8"/>
        <v>-0.68783400000000938</v>
      </c>
      <c r="D177" s="4">
        <f t="shared" si="6"/>
        <v>-8.2326610000000073</v>
      </c>
      <c r="E177" s="3">
        <v>47.1</v>
      </c>
      <c r="F177" s="3">
        <v>17.5</v>
      </c>
      <c r="G177" s="3">
        <v>91.591814999999997</v>
      </c>
      <c r="H177" s="4">
        <f t="shared" si="9"/>
        <v>-0.15030500000000302</v>
      </c>
      <c r="I177" s="4">
        <f t="shared" si="7"/>
        <v>-5.4081410000000147</v>
      </c>
      <c r="J177" s="3">
        <v>47.1</v>
      </c>
      <c r="K177" s="3">
        <v>17.5</v>
      </c>
    </row>
    <row r="178" spans="1:11" x14ac:dyDescent="0.35">
      <c r="A178" s="2">
        <v>39013</v>
      </c>
      <c r="B178" s="3">
        <v>85.735876000000005</v>
      </c>
      <c r="C178" s="4">
        <f t="shared" si="8"/>
        <v>-0.17370300000000327</v>
      </c>
      <c r="D178" s="4">
        <f t="shared" si="6"/>
        <v>-7.7361059999999924</v>
      </c>
      <c r="E178" s="3">
        <v>47.1</v>
      </c>
      <c r="F178" s="3">
        <v>17.5</v>
      </c>
      <c r="G178" s="3">
        <v>91.215802000000011</v>
      </c>
      <c r="H178" s="4">
        <f t="shared" si="9"/>
        <v>-0.37601299999998616</v>
      </c>
      <c r="I178" s="4">
        <f t="shared" si="7"/>
        <v>-5.5807640000000021</v>
      </c>
      <c r="J178" s="3">
        <v>47.1</v>
      </c>
      <c r="K178" s="3">
        <v>17.5</v>
      </c>
    </row>
    <row r="179" spans="1:11" x14ac:dyDescent="0.35">
      <c r="A179" s="2">
        <v>39020</v>
      </c>
      <c r="B179" s="3">
        <v>85.601776999999998</v>
      </c>
      <c r="C179" s="4">
        <f t="shared" si="8"/>
        <v>-0.13409900000000619</v>
      </c>
      <c r="D179" s="4">
        <f t="shared" si="6"/>
        <v>-7.1866839999999996</v>
      </c>
      <c r="E179" s="3">
        <v>47.1</v>
      </c>
      <c r="F179" s="3">
        <v>17.5</v>
      </c>
      <c r="G179" s="3">
        <v>91.165464999999998</v>
      </c>
      <c r="H179" s="4">
        <f t="shared" si="9"/>
        <v>-5.0337000000013177E-2</v>
      </c>
      <c r="I179" s="4">
        <f t="shared" si="7"/>
        <v>-5.4082599999999985</v>
      </c>
      <c r="J179" s="3">
        <v>47.1</v>
      </c>
      <c r="K179" s="3">
        <v>17.5</v>
      </c>
    </row>
    <row r="180" spans="1:11" x14ac:dyDescent="0.35">
      <c r="A180" s="2">
        <v>39027</v>
      </c>
      <c r="B180" s="3">
        <v>85.538726999999994</v>
      </c>
      <c r="C180" s="4">
        <f t="shared" si="8"/>
        <v>-6.3050000000004047E-2</v>
      </c>
      <c r="D180" s="4">
        <f t="shared" si="6"/>
        <v>-6.9263489999999877</v>
      </c>
      <c r="E180" s="3">
        <v>47.1</v>
      </c>
      <c r="F180" s="3">
        <v>17.5</v>
      </c>
      <c r="G180" s="3">
        <v>91.121901999999992</v>
      </c>
      <c r="H180" s="4">
        <f t="shared" si="9"/>
        <v>-4.3563000000006014E-2</v>
      </c>
      <c r="I180" s="4">
        <f t="shared" si="7"/>
        <v>-5.4704340000000116</v>
      </c>
      <c r="J180" s="3">
        <v>47.1</v>
      </c>
      <c r="K180" s="3">
        <v>17.5</v>
      </c>
    </row>
    <row r="181" spans="1:11" x14ac:dyDescent="0.35">
      <c r="A181" s="2">
        <v>39034</v>
      </c>
      <c r="B181" s="3">
        <v>85.487883999999994</v>
      </c>
      <c r="C181" s="4">
        <f t="shared" si="8"/>
        <v>-5.0843000000000416E-2</v>
      </c>
      <c r="D181" s="4">
        <f t="shared" si="6"/>
        <v>-5.0441520000000111</v>
      </c>
      <c r="E181" s="3">
        <v>47.1</v>
      </c>
      <c r="F181" s="3">
        <v>17.5</v>
      </c>
      <c r="G181" s="3">
        <v>91.147110999999995</v>
      </c>
      <c r="H181" s="4">
        <f t="shared" si="9"/>
        <v>2.5209000000003812E-2</v>
      </c>
      <c r="I181" s="4">
        <f t="shared" si="7"/>
        <v>-3.7717099999999988</v>
      </c>
      <c r="J181" s="3">
        <v>47.1</v>
      </c>
      <c r="K181" s="3">
        <v>17.5</v>
      </c>
    </row>
    <row r="182" spans="1:11" x14ac:dyDescent="0.35">
      <c r="A182" s="2">
        <v>39041</v>
      </c>
      <c r="B182" s="3">
        <v>85.454279</v>
      </c>
      <c r="C182" s="4">
        <f t="shared" si="8"/>
        <v>-3.3604999999994334E-2</v>
      </c>
      <c r="D182" s="4">
        <f t="shared" si="6"/>
        <v>-3.1539590000000004</v>
      </c>
      <c r="E182" s="3">
        <v>47.1</v>
      </c>
      <c r="F182" s="3">
        <v>17.5</v>
      </c>
      <c r="G182" s="3">
        <v>91.169994000000017</v>
      </c>
      <c r="H182" s="4">
        <f t="shared" si="9"/>
        <v>2.2883000000021525E-2</v>
      </c>
      <c r="I182" s="4">
        <f t="shared" si="7"/>
        <v>-2.0547469999999777</v>
      </c>
      <c r="J182" s="3">
        <v>47.1</v>
      </c>
      <c r="K182" s="3">
        <v>17.5</v>
      </c>
    </row>
    <row r="183" spans="1:11" x14ac:dyDescent="0.35">
      <c r="A183" s="2">
        <v>39048</v>
      </c>
      <c r="B183" s="3">
        <v>85.469446000000005</v>
      </c>
      <c r="C183" s="4">
        <f t="shared" si="8"/>
        <v>1.516700000000526E-2</v>
      </c>
      <c r="D183" s="4">
        <f t="shared" ref="D183:D246" si="10">B183-B131</f>
        <v>-1.8775769999999881</v>
      </c>
      <c r="E183" s="3">
        <v>47.1</v>
      </c>
      <c r="F183" s="3">
        <v>17.5</v>
      </c>
      <c r="G183" s="3">
        <v>91.169990000000013</v>
      </c>
      <c r="H183" s="4">
        <f t="shared" si="9"/>
        <v>-4.0000000041118255E-6</v>
      </c>
      <c r="I183" s="4">
        <f t="shared" ref="I183:I246" si="11">G183-G131</f>
        <v>-0.63436799999998073</v>
      </c>
      <c r="J183" s="3">
        <v>47.1</v>
      </c>
      <c r="K183" s="3">
        <v>17.5</v>
      </c>
    </row>
    <row r="184" spans="1:11" x14ac:dyDescent="0.35">
      <c r="A184" s="2">
        <v>39055</v>
      </c>
      <c r="B184" s="3">
        <v>85.464285714285694</v>
      </c>
      <c r="C184" s="4">
        <f t="shared" si="8"/>
        <v>-5.1602857143109304E-3</v>
      </c>
      <c r="D184" s="4">
        <f t="shared" si="10"/>
        <v>-1.882737285714299</v>
      </c>
      <c r="E184" s="3">
        <v>47.1</v>
      </c>
      <c r="F184" s="3">
        <v>17.5</v>
      </c>
      <c r="G184" s="3">
        <v>91.502345000000005</v>
      </c>
      <c r="H184" s="4">
        <f t="shared" si="9"/>
        <v>0.33235499999999263</v>
      </c>
      <c r="I184" s="4">
        <f t="shared" si="11"/>
        <v>-0.3020129999999881</v>
      </c>
      <c r="J184" s="3">
        <v>47.1</v>
      </c>
      <c r="K184" s="3">
        <v>17.5</v>
      </c>
    </row>
    <row r="185" spans="1:11" x14ac:dyDescent="0.35">
      <c r="A185" s="2">
        <v>39062</v>
      </c>
      <c r="B185" s="3">
        <v>87.443624999999997</v>
      </c>
      <c r="C185" s="4">
        <f t="shared" si="8"/>
        <v>1.9793392857143033</v>
      </c>
      <c r="D185" s="4">
        <f t="shared" si="10"/>
        <v>0.24115000000000464</v>
      </c>
      <c r="E185" s="3">
        <v>48.35</v>
      </c>
      <c r="F185" s="3">
        <v>17.5</v>
      </c>
      <c r="G185" s="3">
        <v>92.959130999999999</v>
      </c>
      <c r="H185" s="4">
        <f t="shared" si="9"/>
        <v>1.4567859999999939</v>
      </c>
      <c r="I185" s="4">
        <f t="shared" si="11"/>
        <v>1.4832130000000063</v>
      </c>
      <c r="J185" s="3">
        <v>48.35</v>
      </c>
      <c r="K185" s="3">
        <v>17.5</v>
      </c>
    </row>
    <row r="186" spans="1:11" x14ac:dyDescent="0.35">
      <c r="A186" s="2">
        <v>39069</v>
      </c>
      <c r="B186" s="3">
        <v>87.695621000000003</v>
      </c>
      <c r="C186" s="4">
        <f t="shared" si="8"/>
        <v>0.25199600000000544</v>
      </c>
      <c r="D186" s="4">
        <f t="shared" si="10"/>
        <v>0.1383509999999859</v>
      </c>
      <c r="E186" s="3">
        <v>48.35</v>
      </c>
      <c r="F186" s="3">
        <v>17.5</v>
      </c>
      <c r="G186" s="3">
        <v>93.256807000000009</v>
      </c>
      <c r="H186" s="4">
        <f t="shared" si="9"/>
        <v>0.29767600000000982</v>
      </c>
      <c r="I186" s="4">
        <f t="shared" si="11"/>
        <v>1.427913000000018</v>
      </c>
      <c r="J186" s="3">
        <v>48.35</v>
      </c>
      <c r="K186" s="3">
        <v>17.5</v>
      </c>
    </row>
    <row r="187" spans="1:11" x14ac:dyDescent="0.35">
      <c r="A187" s="2">
        <v>39076</v>
      </c>
      <c r="B187" s="3">
        <v>87.904437000000001</v>
      </c>
      <c r="C187" s="4">
        <f t="shared" si="8"/>
        <v>0.20881599999999878</v>
      </c>
      <c r="D187" s="4">
        <f t="shared" si="10"/>
        <v>1.9450999999989449E-2</v>
      </c>
      <c r="E187" s="3">
        <v>48.35</v>
      </c>
      <c r="F187" s="3">
        <v>17.5</v>
      </c>
      <c r="G187" s="3">
        <v>93.414743000000001</v>
      </c>
      <c r="H187" s="4">
        <f t="shared" si="9"/>
        <v>0.1579359999999923</v>
      </c>
      <c r="I187" s="4">
        <f t="shared" si="11"/>
        <v>1.2937530000000095</v>
      </c>
      <c r="J187" s="3">
        <v>48.35</v>
      </c>
      <c r="K187" s="3">
        <v>17.5</v>
      </c>
    </row>
    <row r="188" spans="1:11" x14ac:dyDescent="0.35">
      <c r="A188" s="2">
        <v>39083</v>
      </c>
      <c r="B188" s="3">
        <v>87.85318199999999</v>
      </c>
      <c r="C188" s="4">
        <f t="shared" si="8"/>
        <v>-5.1255000000011819E-2</v>
      </c>
      <c r="D188" s="4">
        <f t="shared" si="10"/>
        <v>-0.18021399999999232</v>
      </c>
      <c r="E188" s="3">
        <v>48.35</v>
      </c>
      <c r="F188" s="3">
        <v>17.5</v>
      </c>
      <c r="G188" s="3">
        <v>93.402175</v>
      </c>
      <c r="H188" s="4">
        <f t="shared" si="9"/>
        <v>-1.2568000000001689E-2</v>
      </c>
      <c r="I188" s="4">
        <f t="shared" si="11"/>
        <v>1.133505999999997</v>
      </c>
      <c r="J188" s="3">
        <v>48.35</v>
      </c>
      <c r="K188" s="3">
        <v>17.5</v>
      </c>
    </row>
    <row r="189" spans="1:11" x14ac:dyDescent="0.35">
      <c r="A189" s="2">
        <v>39090</v>
      </c>
      <c r="B189" s="3">
        <v>87.660540999999995</v>
      </c>
      <c r="C189" s="4">
        <f t="shared" si="8"/>
        <v>-0.19264099999999473</v>
      </c>
      <c r="D189" s="4">
        <f t="shared" si="10"/>
        <v>-0.89950400000000741</v>
      </c>
      <c r="E189" s="3">
        <v>48.35</v>
      </c>
      <c r="F189" s="3">
        <v>17.5</v>
      </c>
      <c r="G189" s="3">
        <v>93.110996999999983</v>
      </c>
      <c r="H189" s="4">
        <f t="shared" si="9"/>
        <v>-0.29117800000001637</v>
      </c>
      <c r="I189" s="4">
        <f t="shared" si="11"/>
        <v>0.17092599999999436</v>
      </c>
      <c r="J189" s="3">
        <v>48.35</v>
      </c>
      <c r="K189" s="3">
        <v>17.5</v>
      </c>
    </row>
    <row r="190" spans="1:11" x14ac:dyDescent="0.35">
      <c r="A190" s="2">
        <v>39097</v>
      </c>
      <c r="B190" s="3">
        <v>87.095045999999996</v>
      </c>
      <c r="C190" s="4">
        <f t="shared" si="8"/>
        <v>-0.56549499999999853</v>
      </c>
      <c r="D190" s="4">
        <f t="shared" si="10"/>
        <v>-1.9121340000000089</v>
      </c>
      <c r="E190" s="3">
        <v>48.35</v>
      </c>
      <c r="F190" s="3">
        <v>17.5</v>
      </c>
      <c r="G190" s="3">
        <v>91.553679000000002</v>
      </c>
      <c r="H190" s="4">
        <f t="shared" si="9"/>
        <v>-1.5573179999999809</v>
      </c>
      <c r="I190" s="4">
        <f t="shared" si="11"/>
        <v>-1.6323830000000044</v>
      </c>
      <c r="J190" s="3">
        <v>48.35</v>
      </c>
      <c r="K190" s="3">
        <v>17.5</v>
      </c>
    </row>
    <row r="191" spans="1:11" x14ac:dyDescent="0.35">
      <c r="A191" s="2">
        <v>39104</v>
      </c>
      <c r="B191" s="3">
        <v>86.278868000000003</v>
      </c>
      <c r="C191" s="4">
        <f t="shared" si="8"/>
        <v>-0.81617799999999363</v>
      </c>
      <c r="D191" s="4">
        <f t="shared" si="10"/>
        <v>-3.2701439999999877</v>
      </c>
      <c r="E191" s="3">
        <v>48.35</v>
      </c>
      <c r="F191" s="3">
        <v>17.5</v>
      </c>
      <c r="G191" s="3">
        <v>90.453727999999998</v>
      </c>
      <c r="H191" s="4">
        <f t="shared" si="9"/>
        <v>-1.0999510000000043</v>
      </c>
      <c r="I191" s="4">
        <f t="shared" si="11"/>
        <v>-3.168998000000002</v>
      </c>
      <c r="J191" s="3">
        <v>48.35</v>
      </c>
      <c r="K191" s="3">
        <v>17.5</v>
      </c>
    </row>
    <row r="192" spans="1:11" x14ac:dyDescent="0.35">
      <c r="A192" s="2">
        <v>39111</v>
      </c>
      <c r="B192" s="3">
        <v>85.65711499999999</v>
      </c>
      <c r="C192" s="4">
        <f t="shared" si="8"/>
        <v>-0.62175300000001243</v>
      </c>
      <c r="D192" s="4">
        <f t="shared" si="10"/>
        <v>-4.2231570000000147</v>
      </c>
      <c r="E192" s="3">
        <v>48.35</v>
      </c>
      <c r="F192" s="3">
        <v>17.5</v>
      </c>
      <c r="G192" s="3">
        <v>89.69774000000001</v>
      </c>
      <c r="H192" s="4">
        <f t="shared" si="9"/>
        <v>-0.75598799999998789</v>
      </c>
      <c r="I192" s="4">
        <f t="shared" si="11"/>
        <v>-4.2365449999999782</v>
      </c>
      <c r="J192" s="3">
        <v>48.35</v>
      </c>
      <c r="K192" s="3">
        <v>17.5</v>
      </c>
    </row>
    <row r="193" spans="1:11" x14ac:dyDescent="0.35">
      <c r="A193" s="2">
        <v>39118</v>
      </c>
      <c r="B193" s="3">
        <v>85.618028999999993</v>
      </c>
      <c r="C193" s="4">
        <f t="shared" si="8"/>
        <v>-3.9085999999997512E-2</v>
      </c>
      <c r="D193" s="4">
        <f t="shared" si="10"/>
        <v>-4.1164540000000045</v>
      </c>
      <c r="E193" s="3">
        <v>48.35</v>
      </c>
      <c r="F193" s="3">
        <v>17.5</v>
      </c>
      <c r="G193" s="3">
        <v>89.627096000000009</v>
      </c>
      <c r="H193" s="4">
        <f t="shared" si="9"/>
        <v>-7.0644000000001483E-2</v>
      </c>
      <c r="I193" s="4">
        <f t="shared" si="11"/>
        <v>-4.2250690000000048</v>
      </c>
      <c r="J193" s="3">
        <v>48.35</v>
      </c>
      <c r="K193" s="3">
        <v>17.5</v>
      </c>
    </row>
    <row r="194" spans="1:11" x14ac:dyDescent="0.35">
      <c r="A194" s="2">
        <v>39125</v>
      </c>
      <c r="B194" s="3">
        <v>86.122646999999986</v>
      </c>
      <c r="C194" s="4">
        <f t="shared" si="8"/>
        <v>0.50461799999999357</v>
      </c>
      <c r="D194" s="4">
        <f t="shared" si="10"/>
        <v>-3.5268030000000152</v>
      </c>
      <c r="E194" s="3">
        <v>48.35</v>
      </c>
      <c r="F194" s="3">
        <v>17.5</v>
      </c>
      <c r="G194" s="3">
        <v>90.109189000000001</v>
      </c>
      <c r="H194" s="4">
        <f t="shared" si="9"/>
        <v>0.48209299999999189</v>
      </c>
      <c r="I194" s="4">
        <f t="shared" si="11"/>
        <v>-3.6649269999999916</v>
      </c>
      <c r="J194" s="3">
        <v>48.35</v>
      </c>
      <c r="K194" s="3">
        <v>17.5</v>
      </c>
    </row>
    <row r="195" spans="1:11" x14ac:dyDescent="0.35">
      <c r="A195" s="2">
        <v>39132</v>
      </c>
      <c r="B195" s="3">
        <v>86.599115999999995</v>
      </c>
      <c r="C195" s="4">
        <f t="shared" ref="C195:C258" si="12">B195-B194</f>
        <v>0.47646900000000869</v>
      </c>
      <c r="D195" s="4">
        <f t="shared" si="10"/>
        <v>-2.9972329999999943</v>
      </c>
      <c r="E195" s="3">
        <v>48.35</v>
      </c>
      <c r="F195" s="3">
        <v>17.5</v>
      </c>
      <c r="G195" s="3">
        <v>90.549378000000019</v>
      </c>
      <c r="H195" s="4">
        <f t="shared" ref="H195:H258" si="13">G195-G194</f>
        <v>0.44018900000001793</v>
      </c>
      <c r="I195" s="4">
        <f t="shared" si="11"/>
        <v>-3.2039659999999941</v>
      </c>
      <c r="J195" s="3">
        <v>48.35</v>
      </c>
      <c r="K195" s="3">
        <v>17.5</v>
      </c>
    </row>
    <row r="196" spans="1:11" x14ac:dyDescent="0.35">
      <c r="A196" s="2">
        <v>39139</v>
      </c>
      <c r="B196" s="3">
        <v>87.066451000000001</v>
      </c>
      <c r="C196" s="4">
        <f t="shared" si="12"/>
        <v>0.46733500000000561</v>
      </c>
      <c r="D196" s="4">
        <f t="shared" si="10"/>
        <v>-2.4405880000000053</v>
      </c>
      <c r="E196" s="3">
        <v>48.35</v>
      </c>
      <c r="F196" s="3">
        <v>17.5</v>
      </c>
      <c r="G196" s="3">
        <v>91.023191000000025</v>
      </c>
      <c r="H196" s="4">
        <f t="shared" si="13"/>
        <v>0.47381300000000692</v>
      </c>
      <c r="I196" s="4">
        <f t="shared" si="11"/>
        <v>-2.6618289999999831</v>
      </c>
      <c r="J196" s="3">
        <v>48.35</v>
      </c>
      <c r="K196" s="3">
        <v>17.5</v>
      </c>
    </row>
    <row r="197" spans="1:11" x14ac:dyDescent="0.35">
      <c r="A197" s="2">
        <v>39146</v>
      </c>
      <c r="B197" s="3">
        <v>87.74497199999999</v>
      </c>
      <c r="C197" s="4">
        <f t="shared" si="12"/>
        <v>0.67852099999998927</v>
      </c>
      <c r="D197" s="4">
        <f t="shared" si="10"/>
        <v>-1.6241660000000024</v>
      </c>
      <c r="E197" s="3">
        <v>48.35</v>
      </c>
      <c r="F197" s="3">
        <v>17.5</v>
      </c>
      <c r="G197" s="3">
        <v>91.592096999999995</v>
      </c>
      <c r="H197" s="4">
        <f t="shared" si="13"/>
        <v>0.56890599999996994</v>
      </c>
      <c r="I197" s="4">
        <f t="shared" si="11"/>
        <v>-2.0349820000000136</v>
      </c>
      <c r="J197" s="3">
        <v>48.35</v>
      </c>
      <c r="K197" s="3">
        <v>17.5</v>
      </c>
    </row>
    <row r="198" spans="1:11" x14ac:dyDescent="0.35">
      <c r="A198" s="2">
        <v>39153</v>
      </c>
      <c r="B198" s="3">
        <v>88.479731999999998</v>
      </c>
      <c r="C198" s="4">
        <f t="shared" si="12"/>
        <v>0.73476000000000852</v>
      </c>
      <c r="D198" s="4">
        <f t="shared" si="10"/>
        <v>-1.0748159999999842</v>
      </c>
      <c r="E198" s="3">
        <v>48.35</v>
      </c>
      <c r="F198" s="3">
        <v>17.5</v>
      </c>
      <c r="G198" s="3">
        <v>92.167052000000012</v>
      </c>
      <c r="H198" s="4">
        <f t="shared" si="13"/>
        <v>0.57495500000001698</v>
      </c>
      <c r="I198" s="4">
        <f t="shared" si="11"/>
        <v>-1.6856089999999995</v>
      </c>
      <c r="J198" s="3">
        <v>48.35</v>
      </c>
      <c r="K198" s="3">
        <v>17.5</v>
      </c>
    </row>
    <row r="199" spans="1:11" x14ac:dyDescent="0.35">
      <c r="A199" s="2">
        <v>39160</v>
      </c>
      <c r="B199" s="3">
        <v>88.934463000000008</v>
      </c>
      <c r="C199" s="4">
        <f t="shared" si="12"/>
        <v>0.45473100000000954</v>
      </c>
      <c r="D199" s="4">
        <f t="shared" si="10"/>
        <v>-1.2573869999999943</v>
      </c>
      <c r="E199" s="3">
        <v>48.35</v>
      </c>
      <c r="F199" s="3">
        <v>17.5</v>
      </c>
      <c r="G199" s="3">
        <v>92.605579999999989</v>
      </c>
      <c r="H199" s="4">
        <f t="shared" si="13"/>
        <v>0.43852799999997671</v>
      </c>
      <c r="I199" s="4">
        <f t="shared" si="11"/>
        <v>-1.8159530000000217</v>
      </c>
      <c r="J199" s="3">
        <v>48.35</v>
      </c>
      <c r="K199" s="3">
        <v>17.5</v>
      </c>
    </row>
    <row r="200" spans="1:11" x14ac:dyDescent="0.35">
      <c r="A200" s="2">
        <v>39167</v>
      </c>
      <c r="B200" s="3">
        <v>89.319930999999997</v>
      </c>
      <c r="C200" s="4">
        <f t="shared" si="12"/>
        <v>0.38546799999998882</v>
      </c>
      <c r="D200" s="4">
        <f t="shared" si="10"/>
        <v>-1.841497571428576</v>
      </c>
      <c r="E200" s="3">
        <v>48.35</v>
      </c>
      <c r="F200" s="3">
        <v>17.5</v>
      </c>
      <c r="G200" s="3">
        <v>92.911861999999999</v>
      </c>
      <c r="H200" s="4">
        <f t="shared" si="13"/>
        <v>0.30628200000001016</v>
      </c>
      <c r="I200" s="4">
        <f t="shared" si="11"/>
        <v>-2.0386080000000248</v>
      </c>
      <c r="J200" s="3">
        <v>48.35</v>
      </c>
      <c r="K200" s="3">
        <v>17.5</v>
      </c>
    </row>
    <row r="201" spans="1:11" x14ac:dyDescent="0.35">
      <c r="A201" s="2">
        <v>39174</v>
      </c>
      <c r="B201" s="3">
        <v>90.471061000000006</v>
      </c>
      <c r="C201" s="4">
        <f t="shared" si="12"/>
        <v>1.1511300000000091</v>
      </c>
      <c r="D201" s="4">
        <f t="shared" si="10"/>
        <v>-1.3130089999999939</v>
      </c>
      <c r="E201" s="3">
        <v>48.35</v>
      </c>
      <c r="F201" s="3">
        <v>17.5</v>
      </c>
      <c r="G201" s="3">
        <v>93.903604999999985</v>
      </c>
      <c r="H201" s="4">
        <f t="shared" si="13"/>
        <v>0.99174299999998539</v>
      </c>
      <c r="I201" s="4">
        <f t="shared" si="11"/>
        <v>-1.7366829999999993</v>
      </c>
      <c r="J201" s="3">
        <v>48.35</v>
      </c>
      <c r="K201" s="3">
        <v>17.5</v>
      </c>
    </row>
    <row r="202" spans="1:11" x14ac:dyDescent="0.35">
      <c r="A202" s="2">
        <v>39182</v>
      </c>
      <c r="B202" s="3">
        <v>91.176439999999999</v>
      </c>
      <c r="C202" s="4">
        <f t="shared" si="12"/>
        <v>0.70537899999999354</v>
      </c>
      <c r="D202" s="4">
        <f t="shared" si="10"/>
        <v>-1.5938230000000004</v>
      </c>
      <c r="E202" s="3">
        <v>48.35</v>
      </c>
      <c r="F202" s="3">
        <v>17.5</v>
      </c>
      <c r="G202" s="3">
        <v>94.334735999999992</v>
      </c>
      <c r="H202" s="4">
        <f t="shared" si="13"/>
        <v>0.4311310000000077</v>
      </c>
      <c r="I202" s="4">
        <f t="shared" si="11"/>
        <v>-2.0653430000000128</v>
      </c>
      <c r="J202" s="3">
        <v>48.35</v>
      </c>
      <c r="K202" s="3">
        <v>17.5</v>
      </c>
    </row>
    <row r="203" spans="1:11" x14ac:dyDescent="0.35">
      <c r="A203" s="2">
        <v>39188</v>
      </c>
      <c r="B203" s="3">
        <v>91.994012000000012</v>
      </c>
      <c r="C203" s="4">
        <f t="shared" si="12"/>
        <v>0.81757200000001262</v>
      </c>
      <c r="D203" s="4">
        <f t="shared" si="10"/>
        <v>-2.2359499999999883</v>
      </c>
      <c r="E203" s="3">
        <v>48.35</v>
      </c>
      <c r="F203" s="3">
        <v>17.5</v>
      </c>
      <c r="G203" s="3">
        <v>94.855547000000001</v>
      </c>
      <c r="H203" s="4">
        <f t="shared" si="13"/>
        <v>0.52081100000000902</v>
      </c>
      <c r="I203" s="4">
        <f t="shared" si="11"/>
        <v>-2.7868649999999917</v>
      </c>
      <c r="J203" s="3">
        <v>48.35</v>
      </c>
      <c r="K203" s="3">
        <v>17.5</v>
      </c>
    </row>
    <row r="204" spans="1:11" x14ac:dyDescent="0.35">
      <c r="A204" s="2">
        <v>39195</v>
      </c>
      <c r="B204" s="3">
        <v>92.933350000000004</v>
      </c>
      <c r="C204" s="4">
        <f t="shared" si="12"/>
        <v>0.93933799999999223</v>
      </c>
      <c r="D204" s="4">
        <f t="shared" si="10"/>
        <v>-2.4183220000000034</v>
      </c>
      <c r="E204" s="3">
        <v>48.35</v>
      </c>
      <c r="F204" s="3">
        <v>17.5</v>
      </c>
      <c r="G204" s="3">
        <v>95.389550999999997</v>
      </c>
      <c r="H204" s="4">
        <f t="shared" si="13"/>
        <v>0.53400399999999593</v>
      </c>
      <c r="I204" s="4">
        <f t="shared" si="11"/>
        <v>-3.1106539999999967</v>
      </c>
      <c r="J204" s="3">
        <v>48.35</v>
      </c>
      <c r="K204" s="3">
        <v>17.5</v>
      </c>
    </row>
    <row r="205" spans="1:11" x14ac:dyDescent="0.35">
      <c r="A205" s="2">
        <v>39202</v>
      </c>
      <c r="B205" s="3">
        <v>93.453507999999985</v>
      </c>
      <c r="C205" s="4">
        <f t="shared" si="12"/>
        <v>0.5201579999999808</v>
      </c>
      <c r="D205" s="4">
        <f t="shared" si="10"/>
        <v>-2.6779400000000066</v>
      </c>
      <c r="E205" s="3">
        <v>48.35</v>
      </c>
      <c r="F205" s="3">
        <v>17.5</v>
      </c>
      <c r="G205" s="3">
        <v>95.714405999999997</v>
      </c>
      <c r="H205" s="4">
        <f t="shared" si="13"/>
        <v>0.32485499999999945</v>
      </c>
      <c r="I205" s="4">
        <f t="shared" si="11"/>
        <v>-3.1858660000000043</v>
      </c>
      <c r="J205" s="3">
        <v>48.35</v>
      </c>
      <c r="K205" s="3">
        <v>17.5</v>
      </c>
    </row>
    <row r="206" spans="1:11" x14ac:dyDescent="0.35">
      <c r="A206" s="2">
        <v>39209</v>
      </c>
      <c r="B206" s="3">
        <v>94.426373999999981</v>
      </c>
      <c r="C206" s="4">
        <f t="shared" si="12"/>
        <v>0.97286599999999623</v>
      </c>
      <c r="D206" s="4">
        <f t="shared" si="10"/>
        <v>-2.034567000000024</v>
      </c>
      <c r="E206" s="3">
        <v>48.35</v>
      </c>
      <c r="F206" s="3">
        <v>17.5</v>
      </c>
      <c r="G206" s="3">
        <v>96.118266000000006</v>
      </c>
      <c r="H206" s="4">
        <f t="shared" si="13"/>
        <v>0.40386000000000877</v>
      </c>
      <c r="I206" s="4">
        <f t="shared" si="11"/>
        <v>-2.7843019999999967</v>
      </c>
      <c r="J206" s="3">
        <v>48.35</v>
      </c>
      <c r="K206" s="3">
        <v>17.5</v>
      </c>
    </row>
    <row r="207" spans="1:11" x14ac:dyDescent="0.35">
      <c r="A207" s="2">
        <v>39216</v>
      </c>
      <c r="B207" s="3">
        <v>95.071353999999999</v>
      </c>
      <c r="C207" s="4">
        <f t="shared" si="12"/>
        <v>0.64498000000001809</v>
      </c>
      <c r="D207" s="4">
        <f t="shared" si="10"/>
        <v>-1.3201230000000095</v>
      </c>
      <c r="E207" s="3">
        <v>48.35</v>
      </c>
      <c r="F207" s="3">
        <v>17.5</v>
      </c>
      <c r="G207" s="3">
        <v>96.467446999999993</v>
      </c>
      <c r="H207" s="4">
        <f t="shared" si="13"/>
        <v>0.34918099999998731</v>
      </c>
      <c r="I207" s="4">
        <f t="shared" si="11"/>
        <v>-2.2770080000000092</v>
      </c>
      <c r="J207" s="3">
        <v>48.35</v>
      </c>
      <c r="K207" s="3">
        <v>17.5</v>
      </c>
    </row>
    <row r="208" spans="1:11" x14ac:dyDescent="0.35">
      <c r="A208" s="2">
        <v>39223</v>
      </c>
      <c r="B208" s="3">
        <v>95.705787000000001</v>
      </c>
      <c r="C208" s="4">
        <f t="shared" si="12"/>
        <v>0.63443300000000136</v>
      </c>
      <c r="D208" s="4">
        <f t="shared" si="10"/>
        <v>-0.39332799999999679</v>
      </c>
      <c r="E208" s="3">
        <v>48.35</v>
      </c>
      <c r="F208" s="3">
        <v>17.5</v>
      </c>
      <c r="G208" s="3">
        <v>96.688691999999989</v>
      </c>
      <c r="H208" s="4">
        <f t="shared" si="13"/>
        <v>0.22124499999999614</v>
      </c>
      <c r="I208" s="4">
        <f t="shared" si="11"/>
        <v>-1.8084940000000103</v>
      </c>
      <c r="J208" s="3">
        <v>48.35</v>
      </c>
      <c r="K208" s="3">
        <v>17.5</v>
      </c>
    </row>
    <row r="209" spans="1:11" x14ac:dyDescent="0.35">
      <c r="A209" s="2">
        <v>39230</v>
      </c>
      <c r="B209" s="3">
        <v>96.162215999999987</v>
      </c>
      <c r="C209" s="4">
        <f t="shared" si="12"/>
        <v>0.45642899999998576</v>
      </c>
      <c r="D209" s="4">
        <f t="shared" si="10"/>
        <v>0.79767499999999814</v>
      </c>
      <c r="E209" s="3">
        <v>48.35</v>
      </c>
      <c r="F209" s="3">
        <v>17.5</v>
      </c>
      <c r="G209" s="3">
        <v>96.990185000000011</v>
      </c>
      <c r="H209" s="4">
        <f t="shared" si="13"/>
        <v>0.30149300000002199</v>
      </c>
      <c r="I209" s="4">
        <f t="shared" si="11"/>
        <v>-0.7027829999999966</v>
      </c>
      <c r="J209" s="3">
        <v>48.35</v>
      </c>
      <c r="K209" s="3">
        <v>17.5</v>
      </c>
    </row>
    <row r="210" spans="1:11" x14ac:dyDescent="0.35">
      <c r="A210" s="2">
        <v>39237</v>
      </c>
      <c r="B210" s="3">
        <v>96.512986999999995</v>
      </c>
      <c r="C210" s="4">
        <f t="shared" si="12"/>
        <v>0.35077100000000883</v>
      </c>
      <c r="D210" s="4">
        <f t="shared" si="10"/>
        <v>1.2759630000000044</v>
      </c>
      <c r="E210" s="3">
        <v>48.35</v>
      </c>
      <c r="F210" s="3">
        <v>17.5</v>
      </c>
      <c r="G210" s="3">
        <v>97.191477999999989</v>
      </c>
      <c r="H210" s="4">
        <f t="shared" si="13"/>
        <v>0.20129299999997841</v>
      </c>
      <c r="I210" s="4">
        <f t="shared" si="11"/>
        <v>-0.36349900000000446</v>
      </c>
      <c r="J210" s="3">
        <v>48.35</v>
      </c>
      <c r="K210" s="3">
        <v>17.5</v>
      </c>
    </row>
    <row r="211" spans="1:11" x14ac:dyDescent="0.35">
      <c r="A211" s="2">
        <v>39244</v>
      </c>
      <c r="B211" s="3">
        <v>96.613450999999998</v>
      </c>
      <c r="C211" s="4">
        <f t="shared" si="12"/>
        <v>0.10046400000000233</v>
      </c>
      <c r="D211" s="4">
        <f t="shared" si="10"/>
        <v>1.1186000000000007</v>
      </c>
      <c r="E211" s="3">
        <v>48.35</v>
      </c>
      <c r="F211" s="3">
        <v>17.5</v>
      </c>
      <c r="G211" s="3">
        <v>97.199683000000007</v>
      </c>
      <c r="H211" s="4">
        <f t="shared" si="13"/>
        <v>8.2050000000180034E-3</v>
      </c>
      <c r="I211" s="4">
        <f t="shared" si="11"/>
        <v>-0.55235399999999402</v>
      </c>
      <c r="J211" s="3">
        <v>48.35</v>
      </c>
      <c r="K211" s="3">
        <v>17.5</v>
      </c>
    </row>
    <row r="212" spans="1:11" x14ac:dyDescent="0.35">
      <c r="A212" s="2">
        <v>39251</v>
      </c>
      <c r="B212" s="3">
        <v>96.559406999999993</v>
      </c>
      <c r="C212" s="4">
        <f t="shared" si="12"/>
        <v>-5.4044000000004644E-2</v>
      </c>
      <c r="D212" s="4">
        <f t="shared" si="10"/>
        <v>1.1169299999999822</v>
      </c>
      <c r="E212" s="3">
        <v>48.35</v>
      </c>
      <c r="F212" s="3">
        <v>17.5</v>
      </c>
      <c r="G212" s="3">
        <v>97.112813000000003</v>
      </c>
      <c r="H212" s="4">
        <f t="shared" si="13"/>
        <v>-8.6870000000004666E-2</v>
      </c>
      <c r="I212" s="4">
        <f t="shared" si="11"/>
        <v>-0.6530169999999913</v>
      </c>
      <c r="J212" s="3">
        <v>48.35</v>
      </c>
      <c r="K212" s="3">
        <v>17.5</v>
      </c>
    </row>
    <row r="213" spans="1:11" x14ac:dyDescent="0.35">
      <c r="A213" s="2">
        <v>39258</v>
      </c>
      <c r="B213" s="3">
        <v>96.542167000000006</v>
      </c>
      <c r="C213" s="4">
        <f t="shared" si="12"/>
        <v>-1.7239999999986821E-2</v>
      </c>
      <c r="D213" s="4">
        <f t="shared" si="10"/>
        <v>1.5703390000000184</v>
      </c>
      <c r="E213" s="3">
        <v>48.35</v>
      </c>
      <c r="F213" s="3">
        <v>17.5</v>
      </c>
      <c r="G213" s="3">
        <v>97.123016000000007</v>
      </c>
      <c r="H213" s="4">
        <f t="shared" si="13"/>
        <v>1.0203000000004181E-2</v>
      </c>
      <c r="I213" s="4">
        <f t="shared" si="11"/>
        <v>-0.24083199999999749</v>
      </c>
      <c r="J213" s="3">
        <v>48.35</v>
      </c>
      <c r="K213" s="3">
        <v>17.5</v>
      </c>
    </row>
    <row r="214" spans="1:11" x14ac:dyDescent="0.35">
      <c r="A214" s="2">
        <v>39265</v>
      </c>
      <c r="B214" s="3">
        <v>96.358249999999998</v>
      </c>
      <c r="C214" s="4">
        <f t="shared" si="12"/>
        <v>-0.1839170000000081</v>
      </c>
      <c r="D214" s="4">
        <f t="shared" si="10"/>
        <v>1.0906659999999988</v>
      </c>
      <c r="E214" s="3">
        <v>48.35</v>
      </c>
      <c r="F214" s="3">
        <v>17.5</v>
      </c>
      <c r="G214" s="3">
        <v>96.88715599999999</v>
      </c>
      <c r="H214" s="4">
        <f t="shared" si="13"/>
        <v>-0.23586000000001661</v>
      </c>
      <c r="I214" s="4">
        <f t="shared" si="11"/>
        <v>-0.7129510000000181</v>
      </c>
      <c r="J214" s="3">
        <v>48.35</v>
      </c>
      <c r="K214" s="3">
        <v>17.5</v>
      </c>
    </row>
    <row r="215" spans="1:11" x14ac:dyDescent="0.35">
      <c r="A215" s="2">
        <v>39272</v>
      </c>
      <c r="B215" s="3">
        <v>96.196229999999986</v>
      </c>
      <c r="C215" s="4">
        <f t="shared" si="12"/>
        <v>-0.16202000000001249</v>
      </c>
      <c r="D215" s="4">
        <f t="shared" si="10"/>
        <v>0.50166199999998184</v>
      </c>
      <c r="E215" s="3">
        <v>48.35</v>
      </c>
      <c r="F215" s="3">
        <v>17.5</v>
      </c>
      <c r="G215" s="3">
        <v>96.778120999999999</v>
      </c>
      <c r="H215" s="4">
        <f t="shared" si="13"/>
        <v>-0.10903499999999156</v>
      </c>
      <c r="I215" s="4">
        <f t="shared" si="11"/>
        <v>-1.2164740000000052</v>
      </c>
      <c r="J215" s="3">
        <v>48.35</v>
      </c>
      <c r="K215" s="3">
        <v>17.5</v>
      </c>
    </row>
    <row r="216" spans="1:11" x14ac:dyDescent="0.35">
      <c r="A216" s="2">
        <v>39279</v>
      </c>
      <c r="B216" s="3">
        <v>96.20974600000001</v>
      </c>
      <c r="C216" s="4">
        <f t="shared" si="12"/>
        <v>1.3516000000024064E-2</v>
      </c>
      <c r="D216" s="4">
        <f t="shared" si="10"/>
        <v>-0.6721380000000039</v>
      </c>
      <c r="E216" s="3">
        <v>48.35</v>
      </c>
      <c r="F216" s="3">
        <v>17.5</v>
      </c>
      <c r="G216" s="3">
        <v>96.785415</v>
      </c>
      <c r="H216" s="4">
        <f t="shared" si="13"/>
        <v>7.294000000001688E-3</v>
      </c>
      <c r="I216" s="4">
        <f t="shared" si="11"/>
        <v>-1.957743999999991</v>
      </c>
      <c r="J216" s="3">
        <v>48.35</v>
      </c>
      <c r="K216" s="3">
        <v>17.5</v>
      </c>
    </row>
    <row r="217" spans="1:11" x14ac:dyDescent="0.35">
      <c r="A217" s="2">
        <v>39286</v>
      </c>
      <c r="B217" s="3">
        <v>96.232653999999997</v>
      </c>
      <c r="C217" s="4">
        <f t="shared" si="12"/>
        <v>2.2907999999986828E-2</v>
      </c>
      <c r="D217" s="4">
        <f t="shared" si="10"/>
        <v>-1.5519350000000003</v>
      </c>
      <c r="E217" s="3">
        <v>48.35</v>
      </c>
      <c r="F217" s="3">
        <v>17.5</v>
      </c>
      <c r="G217" s="3">
        <v>96.829441000000003</v>
      </c>
      <c r="H217" s="4">
        <f t="shared" si="13"/>
        <v>4.4026000000002341E-2</v>
      </c>
      <c r="I217" s="4">
        <f t="shared" si="11"/>
        <v>-2.5760630000000049</v>
      </c>
      <c r="J217" s="3">
        <v>48.35</v>
      </c>
      <c r="K217" s="3">
        <v>17.5</v>
      </c>
    </row>
    <row r="218" spans="1:11" x14ac:dyDescent="0.35">
      <c r="A218" s="2">
        <v>39293</v>
      </c>
      <c r="B218" s="3">
        <v>96.196604999999991</v>
      </c>
      <c r="C218" s="4">
        <f t="shared" si="12"/>
        <v>-3.6049000000005549E-2</v>
      </c>
      <c r="D218" s="4">
        <f t="shared" si="10"/>
        <v>-1.6331950000000006</v>
      </c>
      <c r="E218" s="3">
        <v>48.35</v>
      </c>
      <c r="F218" s="3">
        <v>17.5</v>
      </c>
      <c r="G218" s="3">
        <v>96.765517000000003</v>
      </c>
      <c r="H218" s="4">
        <f t="shared" si="13"/>
        <v>-6.3924000000000092E-2</v>
      </c>
      <c r="I218" s="4">
        <f t="shared" si="11"/>
        <v>-2.6485880000000037</v>
      </c>
      <c r="J218" s="3">
        <v>48.35</v>
      </c>
      <c r="K218" s="3">
        <v>17.5</v>
      </c>
    </row>
    <row r="219" spans="1:11" x14ac:dyDescent="0.35">
      <c r="A219" s="2">
        <v>39300</v>
      </c>
      <c r="B219" s="3">
        <v>96.147015999999994</v>
      </c>
      <c r="C219" s="4">
        <f t="shared" si="12"/>
        <v>-4.9588999999997441E-2</v>
      </c>
      <c r="D219" s="4">
        <f t="shared" si="10"/>
        <v>-1.904648999999992</v>
      </c>
      <c r="E219" s="3">
        <v>48.35</v>
      </c>
      <c r="F219" s="3">
        <v>17.5</v>
      </c>
      <c r="G219" s="3">
        <v>96.719837999999996</v>
      </c>
      <c r="H219" s="4">
        <f t="shared" si="13"/>
        <v>-4.5679000000006909E-2</v>
      </c>
      <c r="I219" s="4">
        <f t="shared" si="11"/>
        <v>-2.8529120000000034</v>
      </c>
      <c r="J219" s="3">
        <v>48.35</v>
      </c>
      <c r="K219" s="3">
        <v>17.5</v>
      </c>
    </row>
    <row r="220" spans="1:11" x14ac:dyDescent="0.35">
      <c r="A220" s="2">
        <v>39307</v>
      </c>
      <c r="B220" s="3">
        <v>95.999734999999987</v>
      </c>
      <c r="C220" s="4">
        <f t="shared" si="12"/>
        <v>-0.14728100000000666</v>
      </c>
      <c r="D220" s="4">
        <f t="shared" si="10"/>
        <v>-1.817165000000017</v>
      </c>
      <c r="E220" s="3">
        <v>48.35</v>
      </c>
      <c r="F220" s="3">
        <v>17.5</v>
      </c>
      <c r="G220" s="3">
        <v>96.699594000000005</v>
      </c>
      <c r="H220" s="4">
        <f t="shared" si="13"/>
        <v>-2.0243999999991047E-2</v>
      </c>
      <c r="I220" s="4">
        <f t="shared" si="11"/>
        <v>-2.7466340000000002</v>
      </c>
      <c r="J220" s="3">
        <v>48.35</v>
      </c>
      <c r="K220" s="3">
        <v>17.5</v>
      </c>
    </row>
    <row r="221" spans="1:11" x14ac:dyDescent="0.35">
      <c r="A221" s="2">
        <v>39314</v>
      </c>
      <c r="B221" s="3">
        <v>95.306029000000009</v>
      </c>
      <c r="C221" s="4">
        <f t="shared" si="12"/>
        <v>-0.69370599999997751</v>
      </c>
      <c r="D221" s="4">
        <f t="shared" si="10"/>
        <v>-0.43724799999999675</v>
      </c>
      <c r="E221" s="3">
        <v>48.35</v>
      </c>
      <c r="F221" s="3">
        <v>17.5</v>
      </c>
      <c r="G221" s="3">
        <v>96.594070000000016</v>
      </c>
      <c r="H221" s="4">
        <f t="shared" si="13"/>
        <v>-0.1055239999999884</v>
      </c>
      <c r="I221" s="4">
        <f t="shared" si="11"/>
        <v>-1.3337819999999851</v>
      </c>
      <c r="J221" s="3">
        <v>48.35</v>
      </c>
      <c r="K221" s="3">
        <v>17.5</v>
      </c>
    </row>
    <row r="222" spans="1:11" x14ac:dyDescent="0.35">
      <c r="A222" s="2">
        <v>39321</v>
      </c>
      <c r="B222" s="3">
        <v>95.002753999999982</v>
      </c>
      <c r="C222" s="4">
        <f t="shared" si="12"/>
        <v>-0.30327500000002772</v>
      </c>
      <c r="D222" s="4">
        <f t="shared" si="10"/>
        <v>0.60149099999998157</v>
      </c>
      <c r="E222" s="3">
        <v>48.35</v>
      </c>
      <c r="F222" s="3">
        <v>17.5</v>
      </c>
      <c r="G222" s="3">
        <v>96.367761000000002</v>
      </c>
      <c r="H222" s="4">
        <f t="shared" si="13"/>
        <v>-0.22630900000001475</v>
      </c>
      <c r="I222" s="4">
        <f t="shared" si="11"/>
        <v>-0.30353399999998487</v>
      </c>
      <c r="J222" s="3">
        <v>48.35</v>
      </c>
      <c r="K222" s="3">
        <v>17.5</v>
      </c>
    </row>
    <row r="223" spans="1:11" x14ac:dyDescent="0.35">
      <c r="A223" s="2">
        <v>39328</v>
      </c>
      <c r="B223" s="3">
        <v>94.80359</v>
      </c>
      <c r="C223" s="4">
        <f t="shared" si="12"/>
        <v>-0.19916399999998191</v>
      </c>
      <c r="D223" s="4">
        <f t="shared" si="10"/>
        <v>1.9226099999999917</v>
      </c>
      <c r="E223" s="3">
        <v>48.35</v>
      </c>
      <c r="F223" s="3">
        <v>17.5</v>
      </c>
      <c r="G223" s="3">
        <v>96.373106000000007</v>
      </c>
      <c r="H223" s="4">
        <f t="shared" si="13"/>
        <v>5.3450000000054843E-3</v>
      </c>
      <c r="I223" s="4">
        <f t="shared" si="11"/>
        <v>0.44928799999999569</v>
      </c>
      <c r="J223" s="3">
        <v>48.35</v>
      </c>
      <c r="K223" s="3">
        <v>17.5</v>
      </c>
    </row>
    <row r="224" spans="1:11" x14ac:dyDescent="0.35">
      <c r="A224" s="2">
        <v>39335</v>
      </c>
      <c r="B224" s="3">
        <v>94.634482999999989</v>
      </c>
      <c r="C224" s="4">
        <f t="shared" si="12"/>
        <v>-0.169107000000011</v>
      </c>
      <c r="D224" s="4">
        <f t="shared" si="10"/>
        <v>3.1533329999999893</v>
      </c>
      <c r="E224" s="3">
        <v>48.35</v>
      </c>
      <c r="F224" s="3">
        <v>17.5</v>
      </c>
      <c r="G224" s="3">
        <v>96.336757000000006</v>
      </c>
      <c r="H224" s="4">
        <f t="shared" si="13"/>
        <v>-3.6349000000001297E-2</v>
      </c>
      <c r="I224" s="4">
        <f t="shared" si="11"/>
        <v>0.99853500000000395</v>
      </c>
      <c r="J224" s="3">
        <v>48.35</v>
      </c>
      <c r="K224" s="3">
        <v>17.5</v>
      </c>
    </row>
    <row r="225" spans="1:11" x14ac:dyDescent="0.35">
      <c r="A225" s="2">
        <v>39342</v>
      </c>
      <c r="B225" s="3">
        <v>94.653323</v>
      </c>
      <c r="C225" s="4">
        <f t="shared" si="12"/>
        <v>1.8840000000011514E-2</v>
      </c>
      <c r="D225" s="4">
        <f t="shared" si="10"/>
        <v>4.876687000000004</v>
      </c>
      <c r="E225" s="3">
        <v>48.35</v>
      </c>
      <c r="F225" s="3">
        <v>17.5</v>
      </c>
      <c r="G225" s="3">
        <v>96.44531400000001</v>
      </c>
      <c r="H225" s="4">
        <f t="shared" si="13"/>
        <v>0.10855700000000468</v>
      </c>
      <c r="I225" s="4">
        <f t="shared" si="11"/>
        <v>1.496403000000015</v>
      </c>
      <c r="J225" s="3">
        <v>48.35</v>
      </c>
      <c r="K225" s="3">
        <v>17.5</v>
      </c>
    </row>
    <row r="226" spans="1:11" x14ac:dyDescent="0.35">
      <c r="A226" s="2">
        <v>39349</v>
      </c>
      <c r="B226" s="3">
        <v>94.912046000000004</v>
      </c>
      <c r="C226" s="4">
        <f t="shared" si="12"/>
        <v>0.25872300000000337</v>
      </c>
      <c r="D226" s="4">
        <f t="shared" si="10"/>
        <v>6.7105920000000054</v>
      </c>
      <c r="E226" s="3">
        <v>48.35</v>
      </c>
      <c r="F226" s="3">
        <v>17.5</v>
      </c>
      <c r="G226" s="3">
        <v>96.896065000000007</v>
      </c>
      <c r="H226" s="4">
        <f t="shared" si="13"/>
        <v>0.45075099999999679</v>
      </c>
      <c r="I226" s="4">
        <f t="shared" si="11"/>
        <v>3.3825890000000101</v>
      </c>
      <c r="J226" s="3">
        <v>48.35</v>
      </c>
      <c r="K226" s="3">
        <v>17.5</v>
      </c>
    </row>
    <row r="227" spans="1:11" x14ac:dyDescent="0.35">
      <c r="A227" s="2">
        <v>39356</v>
      </c>
      <c r="B227" s="3">
        <v>96.393332999999998</v>
      </c>
      <c r="C227" s="4">
        <f t="shared" si="12"/>
        <v>1.4812869999999947</v>
      </c>
      <c r="D227" s="4">
        <f t="shared" si="10"/>
        <v>9.4466159999999775</v>
      </c>
      <c r="E227" s="3">
        <v>50.35</v>
      </c>
      <c r="F227" s="3">
        <v>17.5</v>
      </c>
      <c r="G227" s="3">
        <v>98.513787000000008</v>
      </c>
      <c r="H227" s="4">
        <f t="shared" si="13"/>
        <v>1.6177220000000005</v>
      </c>
      <c r="I227" s="4">
        <f t="shared" si="11"/>
        <v>6.3834599999999995</v>
      </c>
      <c r="J227" s="3">
        <v>50.35</v>
      </c>
      <c r="K227" s="3">
        <v>17.5</v>
      </c>
    </row>
    <row r="228" spans="1:11" x14ac:dyDescent="0.35">
      <c r="A228" s="2">
        <v>39363</v>
      </c>
      <c r="B228" s="3">
        <v>97.138126999999997</v>
      </c>
      <c r="C228" s="4">
        <f t="shared" si="12"/>
        <v>0.74479399999999885</v>
      </c>
      <c r="D228" s="4">
        <f t="shared" si="10"/>
        <v>10.54071399999998</v>
      </c>
      <c r="E228" s="3">
        <v>50.35</v>
      </c>
      <c r="F228" s="3">
        <v>17.5</v>
      </c>
      <c r="G228" s="3">
        <v>99.099854999999991</v>
      </c>
      <c r="H228" s="4">
        <f t="shared" si="13"/>
        <v>0.58606799999998316</v>
      </c>
      <c r="I228" s="4">
        <f t="shared" si="11"/>
        <v>7.357734999999991</v>
      </c>
      <c r="J228" s="3">
        <v>50.35</v>
      </c>
      <c r="K228" s="3">
        <v>17.5</v>
      </c>
    </row>
    <row r="229" spans="1:11" x14ac:dyDescent="0.35">
      <c r="A229" s="2">
        <v>39370</v>
      </c>
      <c r="B229" s="3">
        <v>97.192101000000008</v>
      </c>
      <c r="C229" s="4">
        <f t="shared" si="12"/>
        <v>5.3974000000010847E-2</v>
      </c>
      <c r="D229" s="4">
        <f t="shared" si="10"/>
        <v>11.282522</v>
      </c>
      <c r="E229" s="3">
        <v>50.35</v>
      </c>
      <c r="F229" s="3">
        <v>17.5</v>
      </c>
      <c r="G229" s="3">
        <v>99.181410999999997</v>
      </c>
      <c r="H229" s="4">
        <f t="shared" si="13"/>
        <v>8.1556000000006179E-2</v>
      </c>
      <c r="I229" s="4">
        <f t="shared" si="11"/>
        <v>7.5895960000000002</v>
      </c>
      <c r="J229" s="3">
        <v>50.35</v>
      </c>
      <c r="K229" s="3">
        <v>17.5</v>
      </c>
    </row>
    <row r="230" spans="1:11" x14ac:dyDescent="0.35">
      <c r="A230" s="2">
        <v>39377</v>
      </c>
      <c r="B230" s="3">
        <v>97.805838999999992</v>
      </c>
      <c r="C230" s="4">
        <f t="shared" si="12"/>
        <v>0.61373799999998369</v>
      </c>
      <c r="D230" s="4">
        <f t="shared" si="10"/>
        <v>12.069962999999987</v>
      </c>
      <c r="E230" s="3">
        <v>50.35</v>
      </c>
      <c r="F230" s="3">
        <v>17.5</v>
      </c>
      <c r="G230" s="3">
        <v>99.894885999999985</v>
      </c>
      <c r="H230" s="4">
        <f t="shared" si="13"/>
        <v>0.71347499999998831</v>
      </c>
      <c r="I230" s="4">
        <f t="shared" si="11"/>
        <v>8.6790839999999747</v>
      </c>
      <c r="J230" s="3">
        <v>50.35</v>
      </c>
      <c r="K230" s="3">
        <v>17.5</v>
      </c>
    </row>
    <row r="231" spans="1:11" x14ac:dyDescent="0.35">
      <c r="A231" s="2">
        <v>39384</v>
      </c>
      <c r="B231" s="3">
        <v>98.263275999999991</v>
      </c>
      <c r="C231" s="4">
        <f t="shared" si="12"/>
        <v>0.45743699999999876</v>
      </c>
      <c r="D231" s="4">
        <f t="shared" si="10"/>
        <v>12.661498999999992</v>
      </c>
      <c r="E231" s="3">
        <v>50.35</v>
      </c>
      <c r="F231" s="3">
        <v>17.5</v>
      </c>
      <c r="G231" s="3">
        <v>100.694424</v>
      </c>
      <c r="H231" s="4">
        <f t="shared" si="13"/>
        <v>0.79953800000001252</v>
      </c>
      <c r="I231" s="4">
        <f t="shared" si="11"/>
        <v>9.5289590000000004</v>
      </c>
      <c r="J231" s="3">
        <v>50.35</v>
      </c>
      <c r="K231" s="3">
        <v>17.5</v>
      </c>
    </row>
    <row r="232" spans="1:11" x14ac:dyDescent="0.35">
      <c r="A232" s="2">
        <v>39391</v>
      </c>
      <c r="B232" s="3">
        <v>99.364923999999988</v>
      </c>
      <c r="C232" s="4">
        <f t="shared" si="12"/>
        <v>1.1016479999999973</v>
      </c>
      <c r="D232" s="4">
        <f t="shared" si="10"/>
        <v>13.826196999999993</v>
      </c>
      <c r="E232" s="3">
        <v>50.35</v>
      </c>
      <c r="F232" s="3">
        <v>17.5</v>
      </c>
      <c r="G232" s="3">
        <v>102.16035400000001</v>
      </c>
      <c r="H232" s="4">
        <f t="shared" si="13"/>
        <v>1.4659300000000144</v>
      </c>
      <c r="I232" s="4">
        <f t="shared" si="11"/>
        <v>11.038452000000021</v>
      </c>
      <c r="J232" s="3">
        <v>50.35</v>
      </c>
      <c r="K232" s="3">
        <v>17.5</v>
      </c>
    </row>
    <row r="233" spans="1:11" x14ac:dyDescent="0.35">
      <c r="A233" s="2">
        <v>39398</v>
      </c>
      <c r="B233" s="3">
        <v>100.74229299999999</v>
      </c>
      <c r="C233" s="4">
        <f t="shared" si="12"/>
        <v>1.3773690000000016</v>
      </c>
      <c r="D233" s="4">
        <f t="shared" si="10"/>
        <v>15.254408999999995</v>
      </c>
      <c r="E233" s="3">
        <v>50.35</v>
      </c>
      <c r="F233" s="3">
        <v>17.5</v>
      </c>
      <c r="G233" s="3">
        <v>104.172417</v>
      </c>
      <c r="H233" s="4">
        <f t="shared" si="13"/>
        <v>2.0120629999999835</v>
      </c>
      <c r="I233" s="4">
        <f t="shared" si="11"/>
        <v>13.025306</v>
      </c>
      <c r="J233" s="3">
        <v>50.35</v>
      </c>
      <c r="K233" s="3">
        <v>17.5</v>
      </c>
    </row>
    <row r="234" spans="1:11" x14ac:dyDescent="0.35">
      <c r="A234" s="2">
        <v>39405</v>
      </c>
      <c r="B234" s="3">
        <v>101.46819400000001</v>
      </c>
      <c r="C234" s="4">
        <f t="shared" si="12"/>
        <v>0.72590100000002167</v>
      </c>
      <c r="D234" s="4">
        <f t="shared" si="10"/>
        <v>16.013915000000011</v>
      </c>
      <c r="E234" s="3">
        <v>50.35</v>
      </c>
      <c r="F234" s="3">
        <v>17.5</v>
      </c>
      <c r="G234" s="3">
        <v>105.28447800000001</v>
      </c>
      <c r="H234" s="4">
        <f t="shared" si="13"/>
        <v>1.1120610000000113</v>
      </c>
      <c r="I234" s="4">
        <f t="shared" si="11"/>
        <v>14.11448399999999</v>
      </c>
      <c r="J234" s="3">
        <v>50.35</v>
      </c>
      <c r="K234" s="3">
        <v>17.5</v>
      </c>
    </row>
    <row r="235" spans="1:11" x14ac:dyDescent="0.35">
      <c r="A235" s="2">
        <v>39412</v>
      </c>
      <c r="B235" s="3">
        <v>102.12973599999999</v>
      </c>
      <c r="C235" s="4">
        <f t="shared" si="12"/>
        <v>0.66154199999998298</v>
      </c>
      <c r="D235" s="4">
        <f t="shared" si="10"/>
        <v>16.660289999999989</v>
      </c>
      <c r="E235" s="3">
        <v>50.35</v>
      </c>
      <c r="F235" s="3">
        <v>17.5</v>
      </c>
      <c r="G235" s="3">
        <v>106.254374</v>
      </c>
      <c r="H235" s="4">
        <f t="shared" si="13"/>
        <v>0.96989599999999143</v>
      </c>
      <c r="I235" s="4">
        <f t="shared" si="11"/>
        <v>15.084383999999986</v>
      </c>
      <c r="J235" s="3">
        <v>50.35</v>
      </c>
      <c r="K235" s="3">
        <v>17.5</v>
      </c>
    </row>
    <row r="236" spans="1:11" x14ac:dyDescent="0.35">
      <c r="A236" s="2">
        <v>39419</v>
      </c>
      <c r="B236" s="3">
        <v>102.58212699999999</v>
      </c>
      <c r="C236" s="4">
        <f t="shared" si="12"/>
        <v>0.45239099999999155</v>
      </c>
      <c r="D236" s="4">
        <f t="shared" si="10"/>
        <v>17.117841285714292</v>
      </c>
      <c r="E236" s="3">
        <v>50.35</v>
      </c>
      <c r="F236" s="3">
        <v>17.5</v>
      </c>
      <c r="G236" s="3">
        <v>107.19211200000002</v>
      </c>
      <c r="H236" s="4">
        <f t="shared" si="13"/>
        <v>0.93773800000002439</v>
      </c>
      <c r="I236" s="4">
        <f t="shared" si="11"/>
        <v>15.689767000000018</v>
      </c>
      <c r="J236" s="3">
        <v>50.35</v>
      </c>
      <c r="K236" s="3">
        <v>17.5</v>
      </c>
    </row>
    <row r="237" spans="1:11" x14ac:dyDescent="0.35">
      <c r="A237" s="2">
        <v>39426</v>
      </c>
      <c r="B237" s="3">
        <v>102.66679999999999</v>
      </c>
      <c r="C237" s="4">
        <f t="shared" si="12"/>
        <v>8.4673000000009324E-2</v>
      </c>
      <c r="D237" s="4">
        <f t="shared" si="10"/>
        <v>15.223174999999998</v>
      </c>
      <c r="E237" s="3">
        <v>50.35</v>
      </c>
      <c r="F237" s="3">
        <v>17.5</v>
      </c>
      <c r="G237" s="3">
        <v>107.473207</v>
      </c>
      <c r="H237" s="4">
        <f t="shared" si="13"/>
        <v>0.28109499999997922</v>
      </c>
      <c r="I237" s="4">
        <f t="shared" si="11"/>
        <v>14.514076000000003</v>
      </c>
      <c r="J237" s="3">
        <v>50.35</v>
      </c>
      <c r="K237" s="3">
        <v>17.5</v>
      </c>
    </row>
    <row r="238" spans="1:11" x14ac:dyDescent="0.35">
      <c r="A238" s="2">
        <v>39433</v>
      </c>
      <c r="B238" s="3">
        <v>102.599261</v>
      </c>
      <c r="C238" s="4">
        <f t="shared" si="12"/>
        <v>-6.7538999999996463E-2</v>
      </c>
      <c r="D238" s="4">
        <f t="shared" si="10"/>
        <v>14.903639999999996</v>
      </c>
      <c r="E238" s="3">
        <v>50.35</v>
      </c>
      <c r="F238" s="3">
        <v>17.5</v>
      </c>
      <c r="G238" s="3">
        <v>107.556386</v>
      </c>
      <c r="H238" s="4">
        <f t="shared" si="13"/>
        <v>8.3179000000001224E-2</v>
      </c>
      <c r="I238" s="4">
        <f t="shared" si="11"/>
        <v>14.299578999999994</v>
      </c>
      <c r="J238" s="3">
        <v>50.35</v>
      </c>
      <c r="K238" s="3">
        <v>17.5</v>
      </c>
    </row>
    <row r="239" spans="1:11" x14ac:dyDescent="0.35">
      <c r="A239" s="2">
        <v>39440</v>
      </c>
      <c r="B239" s="3">
        <v>102.526972</v>
      </c>
      <c r="C239" s="4">
        <f t="shared" si="12"/>
        <v>-7.2288999999997827E-2</v>
      </c>
      <c r="D239" s="4">
        <f t="shared" si="10"/>
        <v>14.622534999999999</v>
      </c>
      <c r="E239" s="3">
        <v>50.35</v>
      </c>
      <c r="F239" s="3">
        <v>17.5</v>
      </c>
      <c r="G239" s="3">
        <v>107.50416000000001</v>
      </c>
      <c r="H239" s="4">
        <f t="shared" si="13"/>
        <v>-5.2225999999990336E-2</v>
      </c>
      <c r="I239" s="4">
        <f t="shared" si="11"/>
        <v>14.089417000000012</v>
      </c>
      <c r="J239" s="3">
        <v>50.35</v>
      </c>
      <c r="K239" s="3">
        <v>17.5</v>
      </c>
    </row>
    <row r="240" spans="1:11" x14ac:dyDescent="0.35">
      <c r="A240" s="2">
        <v>39447</v>
      </c>
      <c r="B240" s="3">
        <v>102.662329</v>
      </c>
      <c r="C240" s="4">
        <f t="shared" si="12"/>
        <v>0.13535699999999906</v>
      </c>
      <c r="D240" s="4">
        <f t="shared" si="10"/>
        <v>14.80914700000001</v>
      </c>
      <c r="E240" s="3">
        <v>50.35</v>
      </c>
      <c r="F240" s="3">
        <v>17.5</v>
      </c>
      <c r="G240" s="3">
        <v>107.605689</v>
      </c>
      <c r="H240" s="4">
        <f t="shared" si="13"/>
        <v>0.1015289999999851</v>
      </c>
      <c r="I240" s="4">
        <f t="shared" si="11"/>
        <v>14.203513999999998</v>
      </c>
      <c r="J240" s="3">
        <v>50.35</v>
      </c>
      <c r="K240" s="3">
        <v>17.5</v>
      </c>
    </row>
    <row r="241" spans="1:11" x14ac:dyDescent="0.35">
      <c r="A241" s="2">
        <v>39454</v>
      </c>
      <c r="B241" s="3">
        <v>103.370474</v>
      </c>
      <c r="C241" s="4">
        <f t="shared" si="12"/>
        <v>0.7081450000000018</v>
      </c>
      <c r="D241" s="4">
        <f t="shared" si="10"/>
        <v>15.709933000000007</v>
      </c>
      <c r="E241" s="3">
        <v>50.35</v>
      </c>
      <c r="F241" s="3">
        <v>17.5</v>
      </c>
      <c r="G241" s="3">
        <v>108.294534</v>
      </c>
      <c r="H241" s="4">
        <f t="shared" si="13"/>
        <v>0.6888450000000006</v>
      </c>
      <c r="I241" s="4">
        <f t="shared" si="11"/>
        <v>15.183537000000015</v>
      </c>
      <c r="J241" s="3">
        <v>50.35</v>
      </c>
      <c r="K241" s="3">
        <v>17.5</v>
      </c>
    </row>
    <row r="242" spans="1:11" x14ac:dyDescent="0.35">
      <c r="A242" s="2">
        <v>39461</v>
      </c>
      <c r="B242" s="3">
        <v>103.82266499999999</v>
      </c>
      <c r="C242" s="4">
        <f t="shared" si="12"/>
        <v>0.45219099999998491</v>
      </c>
      <c r="D242" s="4">
        <f t="shared" si="10"/>
        <v>16.72761899999999</v>
      </c>
      <c r="E242" s="3">
        <v>50.35</v>
      </c>
      <c r="F242" s="3">
        <v>17.5</v>
      </c>
      <c r="G242" s="3">
        <v>108.769324</v>
      </c>
      <c r="H242" s="4">
        <f t="shared" si="13"/>
        <v>0.47478999999999871</v>
      </c>
      <c r="I242" s="4">
        <f t="shared" si="11"/>
        <v>17.215644999999995</v>
      </c>
      <c r="J242" s="3">
        <v>50.35</v>
      </c>
      <c r="K242" s="3">
        <v>17.5</v>
      </c>
    </row>
    <row r="243" spans="1:11" x14ac:dyDescent="0.35">
      <c r="A243" s="2">
        <v>39468</v>
      </c>
      <c r="B243" s="3">
        <v>104.22351599999999</v>
      </c>
      <c r="C243" s="4">
        <f t="shared" si="12"/>
        <v>0.40085100000000295</v>
      </c>
      <c r="D243" s="4">
        <f t="shared" si="10"/>
        <v>17.944647999999987</v>
      </c>
      <c r="E243" s="3">
        <v>50.35</v>
      </c>
      <c r="F243" s="3">
        <v>17.5</v>
      </c>
      <c r="G243" s="3">
        <v>109.08954300000001</v>
      </c>
      <c r="H243" s="4">
        <f t="shared" si="13"/>
        <v>0.32021900000000869</v>
      </c>
      <c r="I243" s="4">
        <f t="shared" si="11"/>
        <v>18.635815000000008</v>
      </c>
      <c r="J243" s="3">
        <v>50.35</v>
      </c>
      <c r="K243" s="3">
        <v>17.5</v>
      </c>
    </row>
    <row r="244" spans="1:11" x14ac:dyDescent="0.35">
      <c r="A244" s="2">
        <v>39475</v>
      </c>
      <c r="B244" s="3">
        <v>104.22473800000002</v>
      </c>
      <c r="C244" s="4">
        <f t="shared" si="12"/>
        <v>1.2220000000269238E-3</v>
      </c>
      <c r="D244" s="4">
        <f t="shared" si="10"/>
        <v>18.567623000000026</v>
      </c>
      <c r="E244" s="3">
        <v>50.35</v>
      </c>
      <c r="F244" s="3">
        <v>17.5</v>
      </c>
      <c r="G244" s="3">
        <v>109.10698400000001</v>
      </c>
      <c r="H244" s="4">
        <f t="shared" si="13"/>
        <v>1.7441000000005147E-2</v>
      </c>
      <c r="I244" s="4">
        <f t="shared" si="11"/>
        <v>19.409244000000001</v>
      </c>
      <c r="J244" s="3">
        <v>50.35</v>
      </c>
      <c r="K244" s="3">
        <v>17.5</v>
      </c>
    </row>
    <row r="245" spans="1:11" x14ac:dyDescent="0.35">
      <c r="A245" s="2">
        <v>39482</v>
      </c>
      <c r="B245" s="3">
        <v>104.02678699999998</v>
      </c>
      <c r="C245" s="4">
        <f t="shared" si="12"/>
        <v>-0.19795100000003174</v>
      </c>
      <c r="D245" s="4">
        <f t="shared" si="10"/>
        <v>18.408757999999992</v>
      </c>
      <c r="E245" s="3">
        <v>50.35</v>
      </c>
      <c r="F245" s="3">
        <v>17.5</v>
      </c>
      <c r="G245" s="3">
        <v>108.98769500000002</v>
      </c>
      <c r="H245" s="4">
        <f t="shared" si="13"/>
        <v>-0.11928899999999487</v>
      </c>
      <c r="I245" s="4">
        <f t="shared" si="11"/>
        <v>19.360599000000008</v>
      </c>
      <c r="J245" s="3">
        <v>50.35</v>
      </c>
      <c r="K245" s="3">
        <v>17.5</v>
      </c>
    </row>
    <row r="246" spans="1:11" x14ac:dyDescent="0.35">
      <c r="A246" s="2">
        <v>39489</v>
      </c>
      <c r="B246" s="3">
        <v>103.67020199999999</v>
      </c>
      <c r="C246" s="4">
        <f t="shared" si="12"/>
        <v>-0.35658499999999549</v>
      </c>
      <c r="D246" s="4">
        <f t="shared" si="10"/>
        <v>17.547555000000003</v>
      </c>
      <c r="E246" s="3">
        <v>50.35</v>
      </c>
      <c r="F246" s="3">
        <v>17.5</v>
      </c>
      <c r="G246" s="3">
        <v>108.86261200000001</v>
      </c>
      <c r="H246" s="4">
        <f t="shared" si="13"/>
        <v>-0.12508300000000361</v>
      </c>
      <c r="I246" s="4">
        <f t="shared" si="11"/>
        <v>18.753423000000012</v>
      </c>
      <c r="J246" s="3">
        <v>50.35</v>
      </c>
      <c r="K246" s="3">
        <v>17.5</v>
      </c>
    </row>
    <row r="247" spans="1:11" x14ac:dyDescent="0.35">
      <c r="A247" s="2">
        <v>39496</v>
      </c>
      <c r="B247" s="3">
        <v>103.695297</v>
      </c>
      <c r="C247" s="4">
        <f t="shared" si="12"/>
        <v>2.5095000000007417E-2</v>
      </c>
      <c r="D247" s="4">
        <f t="shared" ref="D247:D310" si="14">B247-B195</f>
        <v>17.096181000000001</v>
      </c>
      <c r="E247" s="3">
        <v>50.35</v>
      </c>
      <c r="F247" s="3">
        <v>17.5</v>
      </c>
      <c r="G247" s="3">
        <v>108.98832900000001</v>
      </c>
      <c r="H247" s="4">
        <f t="shared" si="13"/>
        <v>0.12571699999999453</v>
      </c>
      <c r="I247" s="4">
        <f t="shared" ref="I247:I310" si="15">G247-G195</f>
        <v>18.438950999999989</v>
      </c>
      <c r="J247" s="3">
        <v>50.35</v>
      </c>
      <c r="K247" s="3">
        <v>17.5</v>
      </c>
    </row>
    <row r="248" spans="1:11" x14ac:dyDescent="0.35">
      <c r="A248" s="2">
        <v>39503</v>
      </c>
      <c r="B248" s="3">
        <v>104.648274</v>
      </c>
      <c r="C248" s="4">
        <f t="shared" si="12"/>
        <v>0.95297700000000418</v>
      </c>
      <c r="D248" s="4">
        <f t="shared" si="14"/>
        <v>17.581823</v>
      </c>
      <c r="E248" s="3">
        <v>50.35</v>
      </c>
      <c r="F248" s="3">
        <v>17.5</v>
      </c>
      <c r="G248" s="3">
        <v>110.209473</v>
      </c>
      <c r="H248" s="4">
        <f t="shared" si="13"/>
        <v>1.2211439999999953</v>
      </c>
      <c r="I248" s="4">
        <f t="shared" si="15"/>
        <v>19.186281999999977</v>
      </c>
      <c r="J248" s="3">
        <v>50.35</v>
      </c>
      <c r="K248" s="3">
        <v>17.5</v>
      </c>
    </row>
    <row r="249" spans="1:11" x14ac:dyDescent="0.35">
      <c r="A249" s="2">
        <v>39510</v>
      </c>
      <c r="B249" s="3">
        <v>105.23825299999999</v>
      </c>
      <c r="C249" s="4">
        <f t="shared" si="12"/>
        <v>0.58997899999998538</v>
      </c>
      <c r="D249" s="4">
        <f t="shared" si="14"/>
        <v>17.493280999999996</v>
      </c>
      <c r="E249" s="3">
        <v>50.35</v>
      </c>
      <c r="F249" s="3">
        <v>17.5</v>
      </c>
      <c r="G249" s="3">
        <v>110.903592</v>
      </c>
      <c r="H249" s="4">
        <f t="shared" si="13"/>
        <v>0.6941190000000006</v>
      </c>
      <c r="I249" s="4">
        <f t="shared" si="15"/>
        <v>19.311495000000008</v>
      </c>
      <c r="J249" s="3">
        <v>50.35</v>
      </c>
      <c r="K249" s="3">
        <v>17.5</v>
      </c>
    </row>
    <row r="250" spans="1:11" x14ac:dyDescent="0.35">
      <c r="A250" s="2">
        <v>39517</v>
      </c>
      <c r="B250" s="3">
        <v>105.95728799999999</v>
      </c>
      <c r="C250" s="4">
        <f t="shared" si="12"/>
        <v>0.7190350000000052</v>
      </c>
      <c r="D250" s="4">
        <f t="shared" si="14"/>
        <v>17.477555999999993</v>
      </c>
      <c r="E250" s="3">
        <v>50.35</v>
      </c>
      <c r="F250" s="3">
        <v>17.5</v>
      </c>
      <c r="G250" s="3">
        <v>112.22829300000001</v>
      </c>
      <c r="H250" s="4">
        <f t="shared" si="13"/>
        <v>1.3247010000000046</v>
      </c>
      <c r="I250" s="4">
        <f t="shared" si="15"/>
        <v>20.061240999999995</v>
      </c>
      <c r="J250" s="3">
        <v>50.35</v>
      </c>
      <c r="K250" s="3">
        <v>17.5</v>
      </c>
    </row>
    <row r="251" spans="1:11" x14ac:dyDescent="0.35">
      <c r="A251" s="2">
        <v>39524</v>
      </c>
      <c r="B251" s="3">
        <v>106.41453199999998</v>
      </c>
      <c r="C251" s="4">
        <f t="shared" si="12"/>
        <v>0.45724399999998866</v>
      </c>
      <c r="D251" s="4">
        <f t="shared" si="14"/>
        <v>17.480068999999972</v>
      </c>
      <c r="E251" s="3">
        <v>50.35</v>
      </c>
      <c r="F251" s="3">
        <v>17.5</v>
      </c>
      <c r="G251" s="3">
        <v>113.08173300000001</v>
      </c>
      <c r="H251" s="4">
        <f t="shared" si="13"/>
        <v>0.85344000000000619</v>
      </c>
      <c r="I251" s="4">
        <f t="shared" si="15"/>
        <v>20.476153000000025</v>
      </c>
      <c r="J251" s="3">
        <v>50.35</v>
      </c>
      <c r="K251" s="3">
        <v>17.5</v>
      </c>
    </row>
    <row r="252" spans="1:11" x14ac:dyDescent="0.35">
      <c r="A252" s="2">
        <v>39531</v>
      </c>
      <c r="B252" s="3">
        <v>106.904702</v>
      </c>
      <c r="C252" s="4">
        <f t="shared" si="12"/>
        <v>0.49017000000002042</v>
      </c>
      <c r="D252" s="4">
        <f t="shared" si="14"/>
        <v>17.584771000000003</v>
      </c>
      <c r="E252" s="3">
        <v>50.35</v>
      </c>
      <c r="F252" s="3">
        <v>17.5</v>
      </c>
      <c r="G252" s="3">
        <v>114.401065</v>
      </c>
      <c r="H252" s="4">
        <f t="shared" si="13"/>
        <v>1.3193319999999886</v>
      </c>
      <c r="I252" s="4">
        <f t="shared" si="15"/>
        <v>21.489203000000003</v>
      </c>
      <c r="J252" s="3">
        <v>50.35</v>
      </c>
      <c r="K252" s="3">
        <v>17.5</v>
      </c>
    </row>
    <row r="253" spans="1:11" x14ac:dyDescent="0.35">
      <c r="A253" s="2">
        <v>39538</v>
      </c>
      <c r="B253" s="3">
        <v>107.10092999999999</v>
      </c>
      <c r="C253" s="4">
        <f t="shared" si="12"/>
        <v>0.19622799999999074</v>
      </c>
      <c r="D253" s="4">
        <f t="shared" si="14"/>
        <v>16.629868999999985</v>
      </c>
      <c r="E253" s="3">
        <v>50.35</v>
      </c>
      <c r="F253" s="3">
        <v>17.5</v>
      </c>
      <c r="G253" s="3">
        <v>114.786378</v>
      </c>
      <c r="H253" s="4">
        <f t="shared" si="13"/>
        <v>0.38531299999999646</v>
      </c>
      <c r="I253" s="4">
        <f t="shared" si="15"/>
        <v>20.882773000000014</v>
      </c>
      <c r="J253" s="3">
        <v>50.35</v>
      </c>
      <c r="K253" s="3">
        <v>17.5</v>
      </c>
    </row>
    <row r="254" spans="1:11" x14ac:dyDescent="0.35">
      <c r="A254" s="2">
        <v>39545</v>
      </c>
      <c r="B254" s="3">
        <v>107.23669500000003</v>
      </c>
      <c r="C254" s="4">
        <f t="shared" si="12"/>
        <v>0.13576500000003477</v>
      </c>
      <c r="D254" s="4">
        <f t="shared" si="14"/>
        <v>16.060255000000026</v>
      </c>
      <c r="E254" s="3">
        <v>50.35</v>
      </c>
      <c r="F254" s="3">
        <v>17.5</v>
      </c>
      <c r="G254" s="3">
        <v>115.46992700000001</v>
      </c>
      <c r="H254" s="4">
        <f t="shared" si="13"/>
        <v>0.68354900000001351</v>
      </c>
      <c r="I254" s="4">
        <f t="shared" si="15"/>
        <v>21.13519100000002</v>
      </c>
      <c r="J254" s="3">
        <v>50.35</v>
      </c>
      <c r="K254" s="3">
        <v>17.5</v>
      </c>
    </row>
    <row r="255" spans="1:11" x14ac:dyDescent="0.35">
      <c r="A255" s="2">
        <v>39552</v>
      </c>
      <c r="B255" s="3">
        <v>107.61287</v>
      </c>
      <c r="C255" s="4">
        <f t="shared" si="12"/>
        <v>0.37617499999997506</v>
      </c>
      <c r="D255" s="4">
        <f t="shared" si="14"/>
        <v>15.618857999999989</v>
      </c>
      <c r="E255" s="3">
        <v>50.35</v>
      </c>
      <c r="F255" s="3">
        <v>17.5</v>
      </c>
      <c r="G255" s="3">
        <v>116.50716700000001</v>
      </c>
      <c r="H255" s="4">
        <f t="shared" si="13"/>
        <v>1.0372399999999971</v>
      </c>
      <c r="I255" s="4">
        <f t="shared" si="15"/>
        <v>21.651620000000008</v>
      </c>
      <c r="J255" s="3">
        <v>50.35</v>
      </c>
      <c r="K255" s="3">
        <v>17.5</v>
      </c>
    </row>
    <row r="256" spans="1:11" x14ac:dyDescent="0.35">
      <c r="A256" s="2">
        <v>39559</v>
      </c>
      <c r="B256" s="3">
        <v>108.571038</v>
      </c>
      <c r="C256" s="4">
        <f t="shared" si="12"/>
        <v>0.95816800000000057</v>
      </c>
      <c r="D256" s="4">
        <f t="shared" si="14"/>
        <v>15.637687999999997</v>
      </c>
      <c r="E256" s="3">
        <v>50.35</v>
      </c>
      <c r="F256" s="3">
        <v>17.5</v>
      </c>
      <c r="G256" s="3">
        <v>118.056865</v>
      </c>
      <c r="H256" s="4">
        <f t="shared" si="13"/>
        <v>1.5496979999999922</v>
      </c>
      <c r="I256" s="4">
        <f t="shared" si="15"/>
        <v>22.667314000000005</v>
      </c>
      <c r="J256" s="3">
        <v>50.35</v>
      </c>
      <c r="K256" s="3">
        <v>17.5</v>
      </c>
    </row>
    <row r="257" spans="1:11" x14ac:dyDescent="0.35">
      <c r="A257" s="2">
        <v>39566</v>
      </c>
      <c r="B257" s="3">
        <v>109.49959299999999</v>
      </c>
      <c r="C257" s="4">
        <f t="shared" si="12"/>
        <v>0.92855499999998869</v>
      </c>
      <c r="D257" s="4">
        <f t="shared" si="14"/>
        <v>16.046085000000005</v>
      </c>
      <c r="E257" s="3">
        <v>50.35</v>
      </c>
      <c r="F257" s="3">
        <v>17.5</v>
      </c>
      <c r="G257" s="3">
        <v>119.09900300000001</v>
      </c>
      <c r="H257" s="4">
        <f t="shared" si="13"/>
        <v>1.0421380000000084</v>
      </c>
      <c r="I257" s="4">
        <f t="shared" si="15"/>
        <v>23.384597000000014</v>
      </c>
      <c r="J257" s="3">
        <v>50.35</v>
      </c>
      <c r="K257" s="3">
        <v>17.5</v>
      </c>
    </row>
    <row r="258" spans="1:11" x14ac:dyDescent="0.35">
      <c r="A258" s="2">
        <v>39573</v>
      </c>
      <c r="B258" s="3">
        <v>110.297523</v>
      </c>
      <c r="C258" s="4">
        <f t="shared" si="12"/>
        <v>0.79793000000000802</v>
      </c>
      <c r="D258" s="4">
        <f t="shared" si="14"/>
        <v>15.871149000000017</v>
      </c>
      <c r="E258" s="3">
        <v>50.35</v>
      </c>
      <c r="F258" s="3">
        <v>17.5</v>
      </c>
      <c r="G258" s="3">
        <v>120.36836300000002</v>
      </c>
      <c r="H258" s="4">
        <f t="shared" si="13"/>
        <v>1.269360000000006</v>
      </c>
      <c r="I258" s="4">
        <f t="shared" si="15"/>
        <v>24.250097000000011</v>
      </c>
      <c r="J258" s="3">
        <v>50.35</v>
      </c>
      <c r="K258" s="3">
        <v>17.5</v>
      </c>
    </row>
    <row r="259" spans="1:11" x14ac:dyDescent="0.35">
      <c r="A259" s="2">
        <v>39580</v>
      </c>
      <c r="B259" s="3">
        <v>111.042185</v>
      </c>
      <c r="C259" s="4">
        <f t="shared" ref="C259:C322" si="16">B259-B258</f>
        <v>0.74466200000000526</v>
      </c>
      <c r="D259" s="4">
        <f t="shared" si="14"/>
        <v>15.970831000000004</v>
      </c>
      <c r="E259" s="3">
        <v>50.35</v>
      </c>
      <c r="F259" s="3">
        <v>17.5</v>
      </c>
      <c r="G259" s="3">
        <v>121.48515300000001</v>
      </c>
      <c r="H259" s="4">
        <f t="shared" ref="H259:H322" si="17">G259-G258</f>
        <v>1.1167899999999946</v>
      </c>
      <c r="I259" s="4">
        <f t="shared" si="15"/>
        <v>25.017706000000018</v>
      </c>
      <c r="J259" s="3">
        <v>50.35</v>
      </c>
      <c r="K259" s="3">
        <v>17.5</v>
      </c>
    </row>
    <row r="260" spans="1:11" x14ac:dyDescent="0.35">
      <c r="A260" s="2">
        <v>39587</v>
      </c>
      <c r="B260" s="3">
        <v>112.959507</v>
      </c>
      <c r="C260" s="4">
        <f t="shared" si="16"/>
        <v>1.9173219999999986</v>
      </c>
      <c r="D260" s="4">
        <f t="shared" si="14"/>
        <v>17.253720000000001</v>
      </c>
      <c r="E260" s="3">
        <v>50.35</v>
      </c>
      <c r="F260" s="3">
        <v>17.5</v>
      </c>
      <c r="G260" s="3">
        <v>124.50248300000001</v>
      </c>
      <c r="H260" s="4">
        <f t="shared" si="17"/>
        <v>3.0173300000000012</v>
      </c>
      <c r="I260" s="4">
        <f t="shared" si="15"/>
        <v>27.813791000000023</v>
      </c>
      <c r="J260" s="3">
        <v>50.35</v>
      </c>
      <c r="K260" s="3">
        <v>17.5</v>
      </c>
    </row>
    <row r="261" spans="1:11" x14ac:dyDescent="0.35">
      <c r="A261" s="2">
        <v>39594</v>
      </c>
      <c r="B261" s="3">
        <v>114.78663800000001</v>
      </c>
      <c r="C261" s="4">
        <f t="shared" si="16"/>
        <v>1.8271310000000085</v>
      </c>
      <c r="D261" s="4">
        <f t="shared" si="14"/>
        <v>18.624422000000024</v>
      </c>
      <c r="E261" s="3">
        <v>50.35</v>
      </c>
      <c r="F261" s="3">
        <v>17.5</v>
      </c>
      <c r="G261" s="3">
        <v>127.214268</v>
      </c>
      <c r="H261" s="4">
        <f t="shared" si="17"/>
        <v>2.7117849999999919</v>
      </c>
      <c r="I261" s="4">
        <f t="shared" si="15"/>
        <v>30.224082999999993</v>
      </c>
      <c r="J261" s="3">
        <v>50.35</v>
      </c>
      <c r="K261" s="3">
        <v>17.5</v>
      </c>
    </row>
    <row r="262" spans="1:11" x14ac:dyDescent="0.35">
      <c r="A262" s="2">
        <v>39601</v>
      </c>
      <c r="B262" s="3">
        <v>116.026901</v>
      </c>
      <c r="C262" s="4">
        <f t="shared" si="16"/>
        <v>1.2402629999999846</v>
      </c>
      <c r="D262" s="4">
        <f t="shared" si="14"/>
        <v>19.513914</v>
      </c>
      <c r="E262" s="3">
        <v>50.35</v>
      </c>
      <c r="F262" s="3">
        <v>17.5</v>
      </c>
      <c r="G262" s="3">
        <v>128.823004</v>
      </c>
      <c r="H262" s="4">
        <f t="shared" si="17"/>
        <v>1.6087359999999933</v>
      </c>
      <c r="I262" s="4">
        <f t="shared" si="15"/>
        <v>31.631526000000008</v>
      </c>
      <c r="J262" s="3">
        <v>50.35</v>
      </c>
      <c r="K262" s="3">
        <v>17.5</v>
      </c>
    </row>
    <row r="263" spans="1:11" x14ac:dyDescent="0.35">
      <c r="A263" s="2">
        <v>39608</v>
      </c>
      <c r="B263" s="3">
        <v>116.85714299999999</v>
      </c>
      <c r="C263" s="4">
        <f t="shared" si="16"/>
        <v>0.83024199999999837</v>
      </c>
      <c r="D263" s="4">
        <f t="shared" si="14"/>
        <v>20.243691999999996</v>
      </c>
      <c r="E263" s="3">
        <v>50.35</v>
      </c>
      <c r="F263" s="3">
        <v>17.5</v>
      </c>
      <c r="G263" s="3">
        <v>129.68112399999998</v>
      </c>
      <c r="H263" s="4">
        <f t="shared" si="17"/>
        <v>0.85811999999998534</v>
      </c>
      <c r="I263" s="4">
        <f t="shared" si="15"/>
        <v>32.481440999999975</v>
      </c>
      <c r="J263" s="3">
        <v>50.35</v>
      </c>
      <c r="K263" s="3">
        <v>17.5</v>
      </c>
    </row>
    <row r="264" spans="1:11" x14ac:dyDescent="0.35">
      <c r="A264" s="2">
        <v>39615</v>
      </c>
      <c r="B264" s="3">
        <v>117.69308400000001</v>
      </c>
      <c r="C264" s="4">
        <f t="shared" si="16"/>
        <v>0.83594100000001959</v>
      </c>
      <c r="D264" s="4">
        <f t="shared" si="14"/>
        <v>21.13367700000002</v>
      </c>
      <c r="E264" s="3">
        <v>50.35</v>
      </c>
      <c r="F264" s="3">
        <v>17.5</v>
      </c>
      <c r="G264" s="3">
        <v>130.66208599999999</v>
      </c>
      <c r="H264" s="4">
        <f t="shared" si="17"/>
        <v>0.98096200000000522</v>
      </c>
      <c r="I264" s="4">
        <f t="shared" si="15"/>
        <v>33.549272999999985</v>
      </c>
      <c r="J264" s="3">
        <v>50.35</v>
      </c>
      <c r="K264" s="3">
        <v>17.5</v>
      </c>
    </row>
    <row r="265" spans="1:11" x14ac:dyDescent="0.35">
      <c r="A265" s="2">
        <v>39622</v>
      </c>
      <c r="B265" s="3">
        <v>118.439536</v>
      </c>
      <c r="C265" s="4">
        <f t="shared" si="16"/>
        <v>0.74645199999999079</v>
      </c>
      <c r="D265" s="4">
        <f t="shared" si="14"/>
        <v>21.897368999999998</v>
      </c>
      <c r="E265" s="3">
        <v>50.35</v>
      </c>
      <c r="F265" s="3">
        <v>17.5</v>
      </c>
      <c r="G265" s="3">
        <v>131.45034700000002</v>
      </c>
      <c r="H265" s="4">
        <f t="shared" si="17"/>
        <v>0.78826100000003407</v>
      </c>
      <c r="I265" s="4">
        <f t="shared" si="15"/>
        <v>34.327331000000015</v>
      </c>
      <c r="J265" s="3">
        <v>50.35</v>
      </c>
      <c r="K265" s="3">
        <v>17.5</v>
      </c>
    </row>
    <row r="266" spans="1:11" x14ac:dyDescent="0.35">
      <c r="A266" s="2">
        <v>39629</v>
      </c>
      <c r="B266" s="3">
        <v>118.84484700000002</v>
      </c>
      <c r="C266" s="4">
        <f t="shared" si="16"/>
        <v>0.40531100000001175</v>
      </c>
      <c r="D266" s="4">
        <f t="shared" si="14"/>
        <v>22.486597000000017</v>
      </c>
      <c r="E266" s="3">
        <v>50.35</v>
      </c>
      <c r="F266" s="3">
        <v>17.5</v>
      </c>
      <c r="G266" s="3">
        <v>132.03092599999999</v>
      </c>
      <c r="H266" s="4">
        <f t="shared" si="17"/>
        <v>0.58057899999997176</v>
      </c>
      <c r="I266" s="4">
        <f t="shared" si="15"/>
        <v>35.143770000000004</v>
      </c>
      <c r="J266" s="3">
        <v>50.35</v>
      </c>
      <c r="K266" s="3">
        <v>17.5</v>
      </c>
    </row>
    <row r="267" spans="1:11" x14ac:dyDescent="0.35">
      <c r="A267" s="2">
        <v>39636</v>
      </c>
      <c r="B267" s="3">
        <v>119.27641</v>
      </c>
      <c r="C267" s="4">
        <f t="shared" si="16"/>
        <v>0.43156299999998282</v>
      </c>
      <c r="D267" s="4">
        <f t="shared" si="14"/>
        <v>23.080180000000013</v>
      </c>
      <c r="E267" s="3">
        <v>50.35</v>
      </c>
      <c r="F267" s="3">
        <v>17.5</v>
      </c>
      <c r="G267" s="3">
        <v>132.552662</v>
      </c>
      <c r="H267" s="4">
        <f t="shared" si="17"/>
        <v>0.5217360000000042</v>
      </c>
      <c r="I267" s="4">
        <f t="shared" si="15"/>
        <v>35.774540999999999</v>
      </c>
      <c r="J267" s="3">
        <v>50.35</v>
      </c>
      <c r="K267" s="3">
        <v>17.5</v>
      </c>
    </row>
    <row r="268" spans="1:11" x14ac:dyDescent="0.35">
      <c r="A268" s="2">
        <v>39643</v>
      </c>
      <c r="B268" s="3">
        <v>119.438039</v>
      </c>
      <c r="C268" s="4">
        <f t="shared" si="16"/>
        <v>0.16162900000000491</v>
      </c>
      <c r="D268" s="4">
        <f t="shared" si="14"/>
        <v>23.228292999999994</v>
      </c>
      <c r="E268" s="3">
        <v>50.35</v>
      </c>
      <c r="F268" s="3">
        <v>17.5</v>
      </c>
      <c r="G268" s="3">
        <v>132.87205299999999</v>
      </c>
      <c r="H268" s="4">
        <f t="shared" si="17"/>
        <v>0.31939099999999598</v>
      </c>
      <c r="I268" s="4">
        <f t="shared" si="15"/>
        <v>36.086637999999994</v>
      </c>
      <c r="J268" s="3">
        <v>50.35</v>
      </c>
      <c r="K268" s="3">
        <v>17.5</v>
      </c>
    </row>
    <row r="269" spans="1:11" x14ac:dyDescent="0.35">
      <c r="A269" s="2">
        <v>39650</v>
      </c>
      <c r="B269" s="3">
        <v>119.401111</v>
      </c>
      <c r="C269" s="4">
        <f t="shared" si="16"/>
        <v>-3.6928000000003181E-2</v>
      </c>
      <c r="D269" s="4">
        <f t="shared" si="14"/>
        <v>23.168457000000004</v>
      </c>
      <c r="E269" s="3">
        <v>50.35</v>
      </c>
      <c r="F269" s="3">
        <v>17.5</v>
      </c>
      <c r="G269" s="3">
        <v>132.887911</v>
      </c>
      <c r="H269" s="4">
        <f t="shared" si="17"/>
        <v>1.5858000000008587E-2</v>
      </c>
      <c r="I269" s="4">
        <f t="shared" si="15"/>
        <v>36.05847</v>
      </c>
      <c r="J269" s="3">
        <v>50.35</v>
      </c>
      <c r="K269" s="3">
        <v>17.5</v>
      </c>
    </row>
    <row r="270" spans="1:11" x14ac:dyDescent="0.35">
      <c r="A270" s="2">
        <v>39657</v>
      </c>
      <c r="B270" s="3">
        <v>116.91113999999999</v>
      </c>
      <c r="C270" s="4">
        <f t="shared" si="16"/>
        <v>-2.4899710000000113</v>
      </c>
      <c r="D270" s="4">
        <f t="shared" si="14"/>
        <v>20.714534999999998</v>
      </c>
      <c r="E270" s="3">
        <v>50.35</v>
      </c>
      <c r="F270" s="3">
        <v>17.5</v>
      </c>
      <c r="G270" s="3">
        <v>130.71054199999998</v>
      </c>
      <c r="H270" s="4">
        <f t="shared" si="17"/>
        <v>-2.1773690000000272</v>
      </c>
      <c r="I270" s="4">
        <f t="shared" si="15"/>
        <v>33.945024999999973</v>
      </c>
      <c r="J270" s="3">
        <v>50.35</v>
      </c>
      <c r="K270" s="3">
        <v>17.5</v>
      </c>
    </row>
    <row r="271" spans="1:11" x14ac:dyDescent="0.35">
      <c r="A271" s="2">
        <v>39664</v>
      </c>
      <c r="B271" s="3">
        <v>115.060215</v>
      </c>
      <c r="C271" s="4">
        <f t="shared" si="16"/>
        <v>-1.8509249999999895</v>
      </c>
      <c r="D271" s="4">
        <f t="shared" si="14"/>
        <v>18.913199000000006</v>
      </c>
      <c r="E271" s="3">
        <v>50.35</v>
      </c>
      <c r="F271" s="3">
        <v>17.5</v>
      </c>
      <c r="G271" s="3">
        <v>128.193622</v>
      </c>
      <c r="H271" s="4">
        <f t="shared" si="17"/>
        <v>-2.5169199999999705</v>
      </c>
      <c r="I271" s="4">
        <f t="shared" si="15"/>
        <v>31.473784000000009</v>
      </c>
      <c r="J271" s="3">
        <v>50.35</v>
      </c>
      <c r="K271" s="3">
        <v>17.5</v>
      </c>
    </row>
    <row r="272" spans="1:11" x14ac:dyDescent="0.35">
      <c r="A272" s="2">
        <v>39671</v>
      </c>
      <c r="B272" s="3">
        <v>113.922513</v>
      </c>
      <c r="C272" s="4">
        <f t="shared" si="16"/>
        <v>-1.1377020000000044</v>
      </c>
      <c r="D272" s="4">
        <f t="shared" si="14"/>
        <v>17.922778000000008</v>
      </c>
      <c r="E272" s="3">
        <v>50.35</v>
      </c>
      <c r="F272" s="3">
        <v>17.5</v>
      </c>
      <c r="G272" s="3">
        <v>126.19607800000001</v>
      </c>
      <c r="H272" s="4">
        <f t="shared" si="17"/>
        <v>-1.9975439999999907</v>
      </c>
      <c r="I272" s="4">
        <f t="shared" si="15"/>
        <v>29.496484000000009</v>
      </c>
      <c r="J272" s="3">
        <v>50.35</v>
      </c>
      <c r="K272" s="3">
        <v>17.5</v>
      </c>
    </row>
    <row r="273" spans="1:11" x14ac:dyDescent="0.35">
      <c r="A273" s="2">
        <v>39678</v>
      </c>
      <c r="B273" s="3">
        <v>112.21504400000001</v>
      </c>
      <c r="C273" s="4">
        <f t="shared" si="16"/>
        <v>-1.707468999999989</v>
      </c>
      <c r="D273" s="4">
        <f t="shared" si="14"/>
        <v>16.909014999999997</v>
      </c>
      <c r="E273" s="3">
        <v>50.35</v>
      </c>
      <c r="F273" s="3">
        <v>17.5</v>
      </c>
      <c r="G273" s="3">
        <v>124.09707000000002</v>
      </c>
      <c r="H273" s="4">
        <f t="shared" si="17"/>
        <v>-2.0990079999999978</v>
      </c>
      <c r="I273" s="4">
        <f t="shared" si="15"/>
        <v>27.503</v>
      </c>
      <c r="J273" s="3">
        <v>50.35</v>
      </c>
      <c r="K273" s="3">
        <v>17.5</v>
      </c>
    </row>
    <row r="274" spans="1:11" x14ac:dyDescent="0.35">
      <c r="A274" s="2">
        <v>39685</v>
      </c>
      <c r="B274" s="3">
        <v>112.02256100000001</v>
      </c>
      <c r="C274" s="4">
        <f t="shared" si="16"/>
        <v>-0.19248299999999574</v>
      </c>
      <c r="D274" s="4">
        <f t="shared" si="14"/>
        <v>17.019807000000029</v>
      </c>
      <c r="E274" s="3">
        <v>50.35</v>
      </c>
      <c r="F274" s="3">
        <v>17.5</v>
      </c>
      <c r="G274" s="3">
        <v>123.73582300000001</v>
      </c>
      <c r="H274" s="4">
        <f t="shared" si="17"/>
        <v>-0.36124700000000587</v>
      </c>
      <c r="I274" s="4">
        <f t="shared" si="15"/>
        <v>27.368062000000009</v>
      </c>
      <c r="J274" s="3">
        <v>50.35</v>
      </c>
      <c r="K274" s="3">
        <v>17.5</v>
      </c>
    </row>
    <row r="275" spans="1:11" x14ac:dyDescent="0.35">
      <c r="A275" s="2">
        <v>39692</v>
      </c>
      <c r="B275" s="3">
        <v>112.19775800000001</v>
      </c>
      <c r="C275" s="4">
        <f t="shared" si="16"/>
        <v>0.17519699999999716</v>
      </c>
      <c r="D275" s="4">
        <f t="shared" si="14"/>
        <v>17.394168000000008</v>
      </c>
      <c r="E275" s="3">
        <v>50.35</v>
      </c>
      <c r="F275" s="3">
        <v>17.5</v>
      </c>
      <c r="G275" s="3">
        <v>123.88610200000002</v>
      </c>
      <c r="H275" s="4">
        <f t="shared" si="17"/>
        <v>0.15027900000001182</v>
      </c>
      <c r="I275" s="4">
        <f t="shared" si="15"/>
        <v>27.512996000000015</v>
      </c>
      <c r="J275" s="3">
        <v>50.35</v>
      </c>
      <c r="K275" s="3">
        <v>17.5</v>
      </c>
    </row>
    <row r="276" spans="1:11" x14ac:dyDescent="0.35">
      <c r="A276" s="2">
        <v>39699</v>
      </c>
      <c r="B276" s="3">
        <v>112.546851</v>
      </c>
      <c r="C276" s="4">
        <f t="shared" si="16"/>
        <v>0.34909299999999632</v>
      </c>
      <c r="D276" s="4">
        <f t="shared" si="14"/>
        <v>17.912368000000015</v>
      </c>
      <c r="E276" s="3">
        <v>50.35</v>
      </c>
      <c r="F276" s="3">
        <v>17.5</v>
      </c>
      <c r="G276" s="3">
        <v>124.196186</v>
      </c>
      <c r="H276" s="4">
        <f t="shared" si="17"/>
        <v>0.31008399999997494</v>
      </c>
      <c r="I276" s="4">
        <f t="shared" si="15"/>
        <v>27.859428999999992</v>
      </c>
      <c r="J276" s="3">
        <v>50.35</v>
      </c>
      <c r="K276" s="3">
        <v>17.5</v>
      </c>
    </row>
    <row r="277" spans="1:11" x14ac:dyDescent="0.35">
      <c r="A277" s="2">
        <v>39706</v>
      </c>
      <c r="B277" s="3">
        <v>112.51230999999999</v>
      </c>
      <c r="C277" s="4">
        <f t="shared" si="16"/>
        <v>-3.4541000000018585E-2</v>
      </c>
      <c r="D277" s="4">
        <f t="shared" si="14"/>
        <v>17.858986999999985</v>
      </c>
      <c r="E277" s="3">
        <v>50.35</v>
      </c>
      <c r="F277" s="3">
        <v>17.5</v>
      </c>
      <c r="G277" s="3">
        <v>124.143165</v>
      </c>
      <c r="H277" s="4">
        <f t="shared" si="17"/>
        <v>-5.3021000000001095E-2</v>
      </c>
      <c r="I277" s="4">
        <f t="shared" si="15"/>
        <v>27.697850999999986</v>
      </c>
      <c r="J277" s="3">
        <v>50.35</v>
      </c>
      <c r="K277" s="3">
        <v>17.5</v>
      </c>
    </row>
    <row r="278" spans="1:11" x14ac:dyDescent="0.35">
      <c r="A278" s="2">
        <v>39713</v>
      </c>
      <c r="B278" s="3">
        <v>110.81019999999999</v>
      </c>
      <c r="C278" s="4">
        <f t="shared" si="16"/>
        <v>-1.7021099999999905</v>
      </c>
      <c r="D278" s="4">
        <f t="shared" si="14"/>
        <v>15.898153999999991</v>
      </c>
      <c r="E278" s="3">
        <v>50.35</v>
      </c>
      <c r="F278" s="3">
        <v>17.5</v>
      </c>
      <c r="G278" s="3">
        <v>122.609331</v>
      </c>
      <c r="H278" s="4">
        <f t="shared" si="17"/>
        <v>-1.5338339999999988</v>
      </c>
      <c r="I278" s="4">
        <f t="shared" si="15"/>
        <v>25.71326599999999</v>
      </c>
      <c r="J278" s="3">
        <v>50.35</v>
      </c>
      <c r="K278" s="3">
        <v>17.5</v>
      </c>
    </row>
    <row r="279" spans="1:11" x14ac:dyDescent="0.35">
      <c r="A279" s="2">
        <v>39720</v>
      </c>
      <c r="B279" s="3">
        <v>109.84891</v>
      </c>
      <c r="C279" s="4">
        <f t="shared" si="16"/>
        <v>-0.9612899999999911</v>
      </c>
      <c r="D279" s="4">
        <f t="shared" si="14"/>
        <v>13.455577000000005</v>
      </c>
      <c r="E279" s="3">
        <v>50.35</v>
      </c>
      <c r="F279" s="3">
        <v>17.5</v>
      </c>
      <c r="G279" s="3">
        <v>121.64725299999999</v>
      </c>
      <c r="H279" s="4">
        <f t="shared" si="17"/>
        <v>-0.96207800000000532</v>
      </c>
      <c r="I279" s="4">
        <f t="shared" si="15"/>
        <v>23.133465999999984</v>
      </c>
      <c r="J279" s="3">
        <v>50.35</v>
      </c>
      <c r="K279" s="3">
        <v>17.5</v>
      </c>
    </row>
    <row r="280" spans="1:11" x14ac:dyDescent="0.35">
      <c r="A280" s="2">
        <v>39727</v>
      </c>
      <c r="B280" s="3">
        <v>109.452068</v>
      </c>
      <c r="C280" s="4">
        <f t="shared" si="16"/>
        <v>-0.39684200000000658</v>
      </c>
      <c r="D280" s="4">
        <f t="shared" si="14"/>
        <v>12.313941</v>
      </c>
      <c r="E280" s="3">
        <v>50.35</v>
      </c>
      <c r="F280" s="3">
        <v>17.5</v>
      </c>
      <c r="G280" s="3">
        <v>121.13648599999999</v>
      </c>
      <c r="H280" s="4">
        <f t="shared" si="17"/>
        <v>-0.5107670000000013</v>
      </c>
      <c r="I280" s="4">
        <f t="shared" si="15"/>
        <v>22.036631</v>
      </c>
      <c r="J280" s="3">
        <v>50.35</v>
      </c>
      <c r="K280" s="3">
        <v>17.5</v>
      </c>
    </row>
    <row r="281" spans="1:11" x14ac:dyDescent="0.35">
      <c r="A281" s="2">
        <v>39734</v>
      </c>
      <c r="B281" s="3">
        <v>107.03952900000002</v>
      </c>
      <c r="C281" s="4">
        <f t="shared" si="16"/>
        <v>-2.4125389999999811</v>
      </c>
      <c r="D281" s="4">
        <f t="shared" si="14"/>
        <v>9.8474280000000078</v>
      </c>
      <c r="E281" s="3">
        <v>50.35</v>
      </c>
      <c r="F281" s="3">
        <v>17.5</v>
      </c>
      <c r="G281" s="3">
        <v>118.42286</v>
      </c>
      <c r="H281" s="4">
        <f t="shared" si="17"/>
        <v>-2.7136259999999908</v>
      </c>
      <c r="I281" s="4">
        <f t="shared" si="15"/>
        <v>19.241449000000003</v>
      </c>
      <c r="J281" s="3">
        <v>50.35</v>
      </c>
      <c r="K281" s="3">
        <v>17.5</v>
      </c>
    </row>
    <row r="282" spans="1:11" x14ac:dyDescent="0.35">
      <c r="A282" s="2">
        <v>39741</v>
      </c>
      <c r="B282" s="3">
        <v>102.658131</v>
      </c>
      <c r="C282" s="4">
        <f t="shared" si="16"/>
        <v>-4.3813980000000186</v>
      </c>
      <c r="D282" s="4">
        <f t="shared" si="14"/>
        <v>4.8522920000000056</v>
      </c>
      <c r="E282" s="3">
        <v>50.35</v>
      </c>
      <c r="F282" s="3">
        <v>17.5</v>
      </c>
      <c r="G282" s="3">
        <v>114.31017199999999</v>
      </c>
      <c r="H282" s="4">
        <f t="shared" si="17"/>
        <v>-4.1126880000000057</v>
      </c>
      <c r="I282" s="4">
        <f t="shared" si="15"/>
        <v>14.415286000000009</v>
      </c>
      <c r="J282" s="3">
        <v>50.35</v>
      </c>
      <c r="K282" s="3">
        <v>17.5</v>
      </c>
    </row>
    <row r="283" spans="1:11" x14ac:dyDescent="0.35">
      <c r="A283" s="2">
        <v>39748</v>
      </c>
      <c r="B283" s="3">
        <v>98.622067999999999</v>
      </c>
      <c r="C283" s="4">
        <f t="shared" si="16"/>
        <v>-4.0360629999999986</v>
      </c>
      <c r="D283" s="4">
        <f t="shared" si="14"/>
        <v>0.35879200000000822</v>
      </c>
      <c r="E283" s="3">
        <v>50.35</v>
      </c>
      <c r="F283" s="3">
        <v>17.5</v>
      </c>
      <c r="G283" s="3">
        <v>111.010963</v>
      </c>
      <c r="H283" s="4">
        <f t="shared" si="17"/>
        <v>-3.2992089999999905</v>
      </c>
      <c r="I283" s="4">
        <f t="shared" si="15"/>
        <v>10.316539000000006</v>
      </c>
      <c r="J283" s="3">
        <v>50.35</v>
      </c>
      <c r="K283" s="3">
        <v>17.5</v>
      </c>
    </row>
    <row r="284" spans="1:11" x14ac:dyDescent="0.35">
      <c r="A284" s="2">
        <v>39755</v>
      </c>
      <c r="B284" s="3">
        <v>97.399640999999988</v>
      </c>
      <c r="C284" s="4">
        <f t="shared" si="16"/>
        <v>-1.2224270000000104</v>
      </c>
      <c r="D284" s="4">
        <f t="shared" si="14"/>
        <v>-1.9652829999999994</v>
      </c>
      <c r="E284" s="3">
        <v>50.35</v>
      </c>
      <c r="F284" s="3">
        <v>17.5</v>
      </c>
      <c r="G284" s="3">
        <v>109.86699700000001</v>
      </c>
      <c r="H284" s="4">
        <f t="shared" si="17"/>
        <v>-1.1439659999999918</v>
      </c>
      <c r="I284" s="4">
        <f t="shared" si="15"/>
        <v>7.7066429999999997</v>
      </c>
      <c r="J284" s="3">
        <v>50.35</v>
      </c>
      <c r="K284" s="3">
        <v>17.5</v>
      </c>
    </row>
    <row r="285" spans="1:11" x14ac:dyDescent="0.35">
      <c r="A285" s="2">
        <v>39762</v>
      </c>
      <c r="B285" s="3">
        <v>95.890529999999998</v>
      </c>
      <c r="C285" s="4">
        <f t="shared" si="16"/>
        <v>-1.5091109999999901</v>
      </c>
      <c r="D285" s="4">
        <f t="shared" si="14"/>
        <v>-4.8517629999999912</v>
      </c>
      <c r="E285" s="3">
        <v>50.35</v>
      </c>
      <c r="F285" s="3">
        <v>17.5</v>
      </c>
      <c r="G285" s="3">
        <v>109.12974300000002</v>
      </c>
      <c r="H285" s="4">
        <f t="shared" si="17"/>
        <v>-0.73725399999999297</v>
      </c>
      <c r="I285" s="4">
        <f t="shared" si="15"/>
        <v>4.9573260000000232</v>
      </c>
      <c r="J285" s="3">
        <v>50.35</v>
      </c>
      <c r="K285" s="3">
        <v>17.5</v>
      </c>
    </row>
    <row r="286" spans="1:11" x14ac:dyDescent="0.35">
      <c r="A286" s="2">
        <v>39769</v>
      </c>
      <c r="B286" s="3">
        <v>94.832461000000009</v>
      </c>
      <c r="C286" s="4">
        <f t="shared" si="16"/>
        <v>-1.058068999999989</v>
      </c>
      <c r="D286" s="4">
        <f t="shared" si="14"/>
        <v>-6.6357330000000019</v>
      </c>
      <c r="E286" s="3">
        <v>50.35</v>
      </c>
      <c r="F286" s="3">
        <v>17.5</v>
      </c>
      <c r="G286" s="3">
        <v>108.72693900000002</v>
      </c>
      <c r="H286" s="4">
        <f t="shared" si="17"/>
        <v>-0.40280400000000327</v>
      </c>
      <c r="I286" s="4">
        <f t="shared" si="15"/>
        <v>3.4424610000000087</v>
      </c>
      <c r="J286" s="3">
        <v>50.35</v>
      </c>
      <c r="K286" s="3">
        <v>17.5</v>
      </c>
    </row>
    <row r="287" spans="1:11" x14ac:dyDescent="0.35">
      <c r="A287" s="2">
        <v>39776</v>
      </c>
      <c r="B287" s="3">
        <v>92.787666000000002</v>
      </c>
      <c r="C287" s="4">
        <f t="shared" si="16"/>
        <v>-2.0447950000000077</v>
      </c>
      <c r="D287" s="4">
        <f t="shared" si="14"/>
        <v>-9.3420699999999925</v>
      </c>
      <c r="E287" s="3">
        <v>50.35</v>
      </c>
      <c r="F287" s="3">
        <v>17.5</v>
      </c>
      <c r="G287" s="3">
        <v>107.778352</v>
      </c>
      <c r="H287" s="4">
        <f t="shared" si="17"/>
        <v>-0.94858700000001761</v>
      </c>
      <c r="I287" s="4">
        <f t="shared" si="15"/>
        <v>1.5239779999999996</v>
      </c>
      <c r="J287" s="3">
        <v>50.35</v>
      </c>
      <c r="K287" s="3">
        <v>17.5</v>
      </c>
    </row>
    <row r="288" spans="1:11" x14ac:dyDescent="0.35">
      <c r="A288" s="2">
        <v>39783</v>
      </c>
      <c r="B288" s="3">
        <v>91.470286000000002</v>
      </c>
      <c r="C288" s="4">
        <f t="shared" si="16"/>
        <v>-1.31738</v>
      </c>
      <c r="D288" s="4">
        <f t="shared" si="14"/>
        <v>-11.111840999999984</v>
      </c>
      <c r="E288" s="3">
        <v>52.35</v>
      </c>
      <c r="F288" s="3">
        <v>15</v>
      </c>
      <c r="G288" s="3">
        <v>106.56166999999999</v>
      </c>
      <c r="H288" s="4">
        <f t="shared" si="17"/>
        <v>-1.2166820000000058</v>
      </c>
      <c r="I288" s="4">
        <f t="shared" si="15"/>
        <v>-0.63044200000003059</v>
      </c>
      <c r="J288" s="3">
        <v>52.35</v>
      </c>
      <c r="K288" s="3">
        <v>15</v>
      </c>
    </row>
    <row r="289" spans="1:11" x14ac:dyDescent="0.35">
      <c r="A289" s="2">
        <v>39790</v>
      </c>
      <c r="B289" s="3">
        <v>90.156317000000001</v>
      </c>
      <c r="C289" s="4">
        <f t="shared" si="16"/>
        <v>-1.3139690000000002</v>
      </c>
      <c r="D289" s="4">
        <f t="shared" si="14"/>
        <v>-12.510482999999994</v>
      </c>
      <c r="E289" s="3">
        <v>52.35</v>
      </c>
      <c r="F289" s="3">
        <v>15</v>
      </c>
      <c r="G289" s="3">
        <v>104.86512299999998</v>
      </c>
      <c r="H289" s="4">
        <f t="shared" si="17"/>
        <v>-1.6965470000000096</v>
      </c>
      <c r="I289" s="4">
        <f t="shared" si="15"/>
        <v>-2.6080840000000194</v>
      </c>
      <c r="J289" s="3">
        <v>52.35</v>
      </c>
      <c r="K289" s="3">
        <v>15</v>
      </c>
    </row>
    <row r="290" spans="1:11" x14ac:dyDescent="0.35">
      <c r="A290" s="2">
        <v>39797</v>
      </c>
      <c r="B290" s="3">
        <v>89.065689000000006</v>
      </c>
      <c r="C290" s="4">
        <f t="shared" si="16"/>
        <v>-1.0906279999999953</v>
      </c>
      <c r="D290" s="4">
        <f t="shared" si="14"/>
        <v>-13.533571999999992</v>
      </c>
      <c r="E290" s="3">
        <v>52.35</v>
      </c>
      <c r="F290" s="3">
        <v>15</v>
      </c>
      <c r="G290" s="3">
        <v>101.240612</v>
      </c>
      <c r="H290" s="4">
        <f t="shared" si="17"/>
        <v>-3.6245109999999841</v>
      </c>
      <c r="I290" s="4">
        <f t="shared" si="15"/>
        <v>-6.3157740000000047</v>
      </c>
      <c r="J290" s="3">
        <v>52.35</v>
      </c>
      <c r="K290" s="3">
        <v>15</v>
      </c>
    </row>
    <row r="291" spans="1:11" x14ac:dyDescent="0.35">
      <c r="A291" s="2">
        <v>39804</v>
      </c>
      <c r="B291" s="3">
        <v>88.014310000000009</v>
      </c>
      <c r="C291" s="4">
        <f t="shared" si="16"/>
        <v>-1.0513789999999972</v>
      </c>
      <c r="D291" s="4">
        <f t="shared" si="14"/>
        <v>-14.512661999999992</v>
      </c>
      <c r="E291" s="3">
        <v>52.35</v>
      </c>
      <c r="F291" s="3">
        <v>15</v>
      </c>
      <c r="G291" s="3">
        <v>99.937153000000009</v>
      </c>
      <c r="H291" s="4">
        <f t="shared" si="17"/>
        <v>-1.3034589999999895</v>
      </c>
      <c r="I291" s="4">
        <f t="shared" si="15"/>
        <v>-7.5670070000000038</v>
      </c>
      <c r="J291" s="3">
        <v>52.35</v>
      </c>
      <c r="K291" s="3">
        <v>15</v>
      </c>
    </row>
    <row r="292" spans="1:11" x14ac:dyDescent="0.35">
      <c r="A292" s="2">
        <v>39811</v>
      </c>
      <c r="B292" s="3">
        <v>87.344305000000006</v>
      </c>
      <c r="C292" s="4">
        <f t="shared" si="16"/>
        <v>-0.67000500000000329</v>
      </c>
      <c r="D292" s="4">
        <f t="shared" si="14"/>
        <v>-15.318023999999994</v>
      </c>
      <c r="E292" s="3">
        <v>52.35</v>
      </c>
      <c r="F292" s="3">
        <v>15</v>
      </c>
      <c r="G292" s="3">
        <v>99.17337999999998</v>
      </c>
      <c r="H292" s="4">
        <f t="shared" si="17"/>
        <v>-0.7637730000000289</v>
      </c>
      <c r="I292" s="4">
        <f t="shared" si="15"/>
        <v>-8.4323090000000178</v>
      </c>
      <c r="J292" s="3">
        <v>52.35</v>
      </c>
      <c r="K292" s="3">
        <v>15</v>
      </c>
    </row>
    <row r="293" spans="1:11" x14ac:dyDescent="0.35">
      <c r="A293" s="2">
        <v>39818</v>
      </c>
      <c r="B293" s="3">
        <v>85.422568999999996</v>
      </c>
      <c r="C293" s="4">
        <f t="shared" si="16"/>
        <v>-1.9217360000000099</v>
      </c>
      <c r="D293" s="4">
        <f t="shared" si="14"/>
        <v>-17.947905000000006</v>
      </c>
      <c r="E293" s="3">
        <v>52.35</v>
      </c>
      <c r="F293" s="3">
        <v>15</v>
      </c>
      <c r="G293" s="3">
        <v>97.570595000000012</v>
      </c>
      <c r="H293" s="4">
        <f t="shared" si="17"/>
        <v>-1.6027849999999688</v>
      </c>
      <c r="I293" s="4">
        <f t="shared" si="15"/>
        <v>-10.723938999999987</v>
      </c>
      <c r="J293" s="3">
        <v>52.35</v>
      </c>
      <c r="K293" s="3">
        <v>15</v>
      </c>
    </row>
    <row r="294" spans="1:11" x14ac:dyDescent="0.35">
      <c r="A294" s="2">
        <v>39825</v>
      </c>
      <c r="B294" s="3">
        <v>86.018714000000003</v>
      </c>
      <c r="C294" s="4">
        <f t="shared" si="16"/>
        <v>0.59614500000000703</v>
      </c>
      <c r="D294" s="4">
        <f t="shared" si="14"/>
        <v>-17.803950999999984</v>
      </c>
      <c r="E294" s="3">
        <v>52.35</v>
      </c>
      <c r="F294" s="3">
        <v>15</v>
      </c>
      <c r="G294" s="3">
        <v>98.316420999999991</v>
      </c>
      <c r="H294" s="4">
        <f t="shared" si="17"/>
        <v>0.74582599999997967</v>
      </c>
      <c r="I294" s="4">
        <f t="shared" si="15"/>
        <v>-10.452903000000006</v>
      </c>
      <c r="J294" s="3">
        <v>52.35</v>
      </c>
      <c r="K294" s="3">
        <v>15</v>
      </c>
    </row>
    <row r="295" spans="1:11" x14ac:dyDescent="0.35">
      <c r="A295" s="2">
        <v>39832</v>
      </c>
      <c r="B295" s="3">
        <v>86.194496000000015</v>
      </c>
      <c r="C295" s="4">
        <f t="shared" si="16"/>
        <v>0.17578200000001232</v>
      </c>
      <c r="D295" s="4">
        <f t="shared" si="14"/>
        <v>-18.029019999999974</v>
      </c>
      <c r="E295" s="3">
        <v>52.35</v>
      </c>
      <c r="F295" s="3">
        <v>15</v>
      </c>
      <c r="G295" s="3">
        <v>98.448597000000007</v>
      </c>
      <c r="H295" s="4">
        <f t="shared" si="17"/>
        <v>0.13217600000001539</v>
      </c>
      <c r="I295" s="4">
        <f t="shared" si="15"/>
        <v>-10.640946</v>
      </c>
      <c r="J295" s="3">
        <v>52.35</v>
      </c>
      <c r="K295" s="3">
        <v>15</v>
      </c>
    </row>
    <row r="296" spans="1:11" x14ac:dyDescent="0.35">
      <c r="A296" s="2">
        <v>39839</v>
      </c>
      <c r="B296" s="3">
        <v>87.417686000000003</v>
      </c>
      <c r="C296" s="4">
        <f t="shared" si="16"/>
        <v>1.2231899999999882</v>
      </c>
      <c r="D296" s="4">
        <f t="shared" si="14"/>
        <v>-16.807052000000013</v>
      </c>
      <c r="E296" s="3">
        <v>52.35</v>
      </c>
      <c r="F296" s="3">
        <v>15</v>
      </c>
      <c r="G296" s="3">
        <v>99.385249999999999</v>
      </c>
      <c r="H296" s="4">
        <f t="shared" si="17"/>
        <v>0.93665299999999263</v>
      </c>
      <c r="I296" s="4">
        <f t="shared" si="15"/>
        <v>-9.7217340000000121</v>
      </c>
      <c r="J296" s="3">
        <v>52.35</v>
      </c>
      <c r="K296" s="3">
        <v>15</v>
      </c>
    </row>
    <row r="297" spans="1:11" x14ac:dyDescent="0.35">
      <c r="A297" s="2">
        <v>39846</v>
      </c>
      <c r="B297" s="3">
        <v>88.160800999999992</v>
      </c>
      <c r="C297" s="4">
        <f t="shared" si="16"/>
        <v>0.74311499999998887</v>
      </c>
      <c r="D297" s="4">
        <f t="shared" si="14"/>
        <v>-15.865985999999992</v>
      </c>
      <c r="E297" s="3">
        <v>52.35</v>
      </c>
      <c r="F297" s="3">
        <v>15</v>
      </c>
      <c r="G297" s="3">
        <v>99.821377999999996</v>
      </c>
      <c r="H297" s="4">
        <f t="shared" si="17"/>
        <v>0.43612799999999652</v>
      </c>
      <c r="I297" s="4">
        <f t="shared" si="15"/>
        <v>-9.1663170000000207</v>
      </c>
      <c r="J297" s="3">
        <v>52.35</v>
      </c>
      <c r="K297" s="3">
        <v>15</v>
      </c>
    </row>
    <row r="298" spans="1:11" x14ac:dyDescent="0.35">
      <c r="A298" s="2">
        <v>39853</v>
      </c>
      <c r="B298" s="3">
        <v>89.276794999999993</v>
      </c>
      <c r="C298" s="4">
        <f t="shared" si="16"/>
        <v>1.1159940000000006</v>
      </c>
      <c r="D298" s="4">
        <f t="shared" si="14"/>
        <v>-14.393406999999996</v>
      </c>
      <c r="E298" s="3">
        <v>52.35</v>
      </c>
      <c r="F298" s="3">
        <v>15</v>
      </c>
      <c r="G298" s="3">
        <v>100.31308300000001</v>
      </c>
      <c r="H298" s="4">
        <f t="shared" si="17"/>
        <v>0.49170500000001027</v>
      </c>
      <c r="I298" s="4">
        <f t="shared" si="15"/>
        <v>-8.5495290000000068</v>
      </c>
      <c r="J298" s="3">
        <v>52.35</v>
      </c>
      <c r="K298" s="3">
        <v>15</v>
      </c>
    </row>
    <row r="299" spans="1:11" x14ac:dyDescent="0.35">
      <c r="A299" s="2">
        <v>39860</v>
      </c>
      <c r="B299" s="3">
        <v>90.120513000000003</v>
      </c>
      <c r="C299" s="4">
        <f t="shared" si="16"/>
        <v>0.84371800000000974</v>
      </c>
      <c r="D299" s="4">
        <f t="shared" si="14"/>
        <v>-13.574783999999994</v>
      </c>
      <c r="E299" s="3">
        <v>52.35</v>
      </c>
      <c r="F299" s="3">
        <v>15</v>
      </c>
      <c r="G299" s="3">
        <v>100.858645</v>
      </c>
      <c r="H299" s="4">
        <f t="shared" si="17"/>
        <v>0.54556199999998967</v>
      </c>
      <c r="I299" s="4">
        <f t="shared" si="15"/>
        <v>-8.1296840000000117</v>
      </c>
      <c r="J299" s="3">
        <v>52.35</v>
      </c>
      <c r="K299" s="3">
        <v>15</v>
      </c>
    </row>
    <row r="300" spans="1:11" x14ac:dyDescent="0.35">
      <c r="A300" s="2">
        <v>39867</v>
      </c>
      <c r="B300" s="3">
        <v>90.331889000000018</v>
      </c>
      <c r="C300" s="4">
        <f t="shared" si="16"/>
        <v>0.21137600000001555</v>
      </c>
      <c r="D300" s="4">
        <f t="shared" si="14"/>
        <v>-14.316384999999983</v>
      </c>
      <c r="E300" s="3">
        <v>52.35</v>
      </c>
      <c r="F300" s="3">
        <v>15</v>
      </c>
      <c r="G300" s="3">
        <v>100.81457</v>
      </c>
      <c r="H300" s="4">
        <f t="shared" si="17"/>
        <v>-4.4074999999992315E-2</v>
      </c>
      <c r="I300" s="4">
        <f t="shared" si="15"/>
        <v>-9.3949029999999993</v>
      </c>
      <c r="J300" s="3">
        <v>52.35</v>
      </c>
      <c r="K300" s="3">
        <v>15</v>
      </c>
    </row>
    <row r="301" spans="1:11" x14ac:dyDescent="0.35">
      <c r="A301" s="2">
        <v>39874</v>
      </c>
      <c r="B301" s="3">
        <v>90.28252599999999</v>
      </c>
      <c r="C301" s="4">
        <f t="shared" si="16"/>
        <v>-4.9363000000028023E-2</v>
      </c>
      <c r="D301" s="4">
        <f t="shared" si="14"/>
        <v>-14.955726999999996</v>
      </c>
      <c r="E301" s="3">
        <v>52.35</v>
      </c>
      <c r="F301" s="3">
        <v>15</v>
      </c>
      <c r="G301" s="3">
        <v>100.64411299999999</v>
      </c>
      <c r="H301" s="4">
        <f t="shared" si="17"/>
        <v>-0.17045700000001318</v>
      </c>
      <c r="I301" s="4">
        <f t="shared" si="15"/>
        <v>-10.259479000000013</v>
      </c>
      <c r="J301" s="3">
        <v>52.35</v>
      </c>
      <c r="K301" s="3">
        <v>15</v>
      </c>
    </row>
    <row r="302" spans="1:11" x14ac:dyDescent="0.35">
      <c r="A302" s="2">
        <v>39881</v>
      </c>
      <c r="B302" s="3">
        <v>90.153572000000011</v>
      </c>
      <c r="C302" s="4">
        <f t="shared" si="16"/>
        <v>-0.12895399999997892</v>
      </c>
      <c r="D302" s="4">
        <f t="shared" si="14"/>
        <v>-15.80371599999998</v>
      </c>
      <c r="E302" s="3">
        <v>52.35</v>
      </c>
      <c r="F302" s="3">
        <v>15</v>
      </c>
      <c r="G302" s="3">
        <v>100.02847</v>
      </c>
      <c r="H302" s="4">
        <f t="shared" si="17"/>
        <v>-0.6156429999999915</v>
      </c>
      <c r="I302" s="4">
        <f t="shared" si="15"/>
        <v>-12.199823000000009</v>
      </c>
      <c r="J302" s="3">
        <v>52.35</v>
      </c>
      <c r="K302" s="3">
        <v>15</v>
      </c>
    </row>
    <row r="303" spans="1:11" x14ac:dyDescent="0.35">
      <c r="A303" s="2">
        <v>39888</v>
      </c>
      <c r="B303" s="3">
        <v>90.158703999999986</v>
      </c>
      <c r="C303" s="4">
        <f t="shared" si="16"/>
        <v>5.1319999999748234E-3</v>
      </c>
      <c r="D303" s="4">
        <f t="shared" si="14"/>
        <v>-16.255827999999994</v>
      </c>
      <c r="E303" s="3">
        <v>52.35</v>
      </c>
      <c r="F303" s="3">
        <v>15</v>
      </c>
      <c r="G303" s="3">
        <v>99.821476000000004</v>
      </c>
      <c r="H303" s="4">
        <f t="shared" si="17"/>
        <v>-0.20699399999999457</v>
      </c>
      <c r="I303" s="4">
        <f t="shared" si="15"/>
        <v>-13.26025700000001</v>
      </c>
      <c r="J303" s="3">
        <v>52.35</v>
      </c>
      <c r="K303" s="3">
        <v>15</v>
      </c>
    </row>
    <row r="304" spans="1:11" x14ac:dyDescent="0.35">
      <c r="A304" s="2">
        <v>39895</v>
      </c>
      <c r="B304" s="3">
        <v>90.164739000000012</v>
      </c>
      <c r="C304" s="4">
        <f t="shared" si="16"/>
        <v>6.0350000000255477E-3</v>
      </c>
      <c r="D304" s="4">
        <f t="shared" si="14"/>
        <v>-16.739962999999989</v>
      </c>
      <c r="E304" s="3">
        <v>52.35</v>
      </c>
      <c r="F304" s="3">
        <v>15</v>
      </c>
      <c r="G304" s="3">
        <v>99.520951000000011</v>
      </c>
      <c r="H304" s="4">
        <f t="shared" si="17"/>
        <v>-0.30052499999999327</v>
      </c>
      <c r="I304" s="4">
        <f t="shared" si="15"/>
        <v>-14.880113999999992</v>
      </c>
      <c r="J304" s="3">
        <v>52.35</v>
      </c>
      <c r="K304" s="3">
        <v>15</v>
      </c>
    </row>
    <row r="305" spans="1:11" x14ac:dyDescent="0.35">
      <c r="A305" s="2">
        <v>39902</v>
      </c>
      <c r="B305" s="3">
        <v>91.345055000000002</v>
      </c>
      <c r="C305" s="4">
        <f t="shared" si="16"/>
        <v>1.1803159999999906</v>
      </c>
      <c r="D305" s="4">
        <f t="shared" si="14"/>
        <v>-15.755874999999989</v>
      </c>
      <c r="E305" s="3">
        <v>52.35</v>
      </c>
      <c r="F305" s="3">
        <v>15</v>
      </c>
      <c r="G305" s="3">
        <v>99.975093000000001</v>
      </c>
      <c r="H305" s="4">
        <f t="shared" si="17"/>
        <v>0.45414199999999028</v>
      </c>
      <c r="I305" s="4">
        <f t="shared" si="15"/>
        <v>-14.811284999999998</v>
      </c>
      <c r="J305" s="3">
        <v>52.35</v>
      </c>
      <c r="K305" s="3">
        <v>15</v>
      </c>
    </row>
    <row r="306" spans="1:11" x14ac:dyDescent="0.35">
      <c r="A306" s="2">
        <v>39909</v>
      </c>
      <c r="B306" s="3">
        <v>93.717652999999999</v>
      </c>
      <c r="C306" s="4">
        <f t="shared" si="16"/>
        <v>2.3725979999999964</v>
      </c>
      <c r="D306" s="4">
        <f t="shared" si="14"/>
        <v>-13.519042000000027</v>
      </c>
      <c r="E306" s="3">
        <v>54.19</v>
      </c>
      <c r="F306" s="3">
        <v>15</v>
      </c>
      <c r="G306" s="3">
        <v>102.143905</v>
      </c>
      <c r="H306" s="4">
        <f t="shared" si="17"/>
        <v>2.1688120000000026</v>
      </c>
      <c r="I306" s="4">
        <f t="shared" si="15"/>
        <v>-13.326022000000009</v>
      </c>
      <c r="J306" s="3">
        <v>54.19</v>
      </c>
      <c r="K306" s="3">
        <v>15</v>
      </c>
    </row>
    <row r="307" spans="1:11" x14ac:dyDescent="0.35">
      <c r="A307" s="2">
        <v>39916</v>
      </c>
      <c r="B307" s="3">
        <v>94.108026999999993</v>
      </c>
      <c r="C307" s="4">
        <f t="shared" si="16"/>
        <v>0.39037399999999423</v>
      </c>
      <c r="D307" s="4">
        <f t="shared" si="14"/>
        <v>-13.504843000000008</v>
      </c>
      <c r="E307" s="3">
        <v>54.19</v>
      </c>
      <c r="F307" s="3">
        <v>15</v>
      </c>
      <c r="G307" s="3">
        <v>102.436117</v>
      </c>
      <c r="H307" s="4">
        <f t="shared" si="17"/>
        <v>0.29221199999999214</v>
      </c>
      <c r="I307" s="4">
        <f t="shared" si="15"/>
        <v>-14.071050000000014</v>
      </c>
      <c r="J307" s="3">
        <v>54.19</v>
      </c>
      <c r="K307" s="3">
        <v>15</v>
      </c>
    </row>
    <row r="308" spans="1:11" x14ac:dyDescent="0.35">
      <c r="A308" s="2">
        <v>39923</v>
      </c>
      <c r="B308" s="3">
        <v>94.623217999999994</v>
      </c>
      <c r="C308" s="4">
        <f t="shared" si="16"/>
        <v>0.51519100000000151</v>
      </c>
      <c r="D308" s="4">
        <f t="shared" si="14"/>
        <v>-13.947820000000007</v>
      </c>
      <c r="E308" s="3">
        <v>54.19</v>
      </c>
      <c r="F308" s="3">
        <v>15</v>
      </c>
      <c r="G308" s="3">
        <v>102.706221</v>
      </c>
      <c r="H308" s="4">
        <f t="shared" si="17"/>
        <v>0.27010400000000345</v>
      </c>
      <c r="I308" s="4">
        <f t="shared" si="15"/>
        <v>-15.350644000000003</v>
      </c>
      <c r="J308" s="3">
        <v>54.19</v>
      </c>
      <c r="K308" s="3">
        <v>15</v>
      </c>
    </row>
    <row r="309" spans="1:11" x14ac:dyDescent="0.35">
      <c r="A309" s="2">
        <v>39930</v>
      </c>
      <c r="B309" s="3">
        <v>95.133962000000011</v>
      </c>
      <c r="C309" s="4">
        <f t="shared" si="16"/>
        <v>0.51074400000001674</v>
      </c>
      <c r="D309" s="4">
        <f t="shared" si="14"/>
        <v>-14.365630999999979</v>
      </c>
      <c r="E309" s="3">
        <v>54.19</v>
      </c>
      <c r="F309" s="3">
        <v>15</v>
      </c>
      <c r="G309" s="3">
        <v>102.829212</v>
      </c>
      <c r="H309" s="4">
        <f t="shared" si="17"/>
        <v>0.12299099999999896</v>
      </c>
      <c r="I309" s="4">
        <f t="shared" si="15"/>
        <v>-16.269791000000012</v>
      </c>
      <c r="J309" s="3">
        <v>54.19</v>
      </c>
      <c r="K309" s="3">
        <v>15</v>
      </c>
    </row>
    <row r="310" spans="1:11" x14ac:dyDescent="0.35">
      <c r="A310" s="2">
        <v>39937</v>
      </c>
      <c r="B310" s="3">
        <v>95.595408000000006</v>
      </c>
      <c r="C310" s="4">
        <f t="shared" si="16"/>
        <v>0.46144599999999514</v>
      </c>
      <c r="D310" s="4">
        <f t="shared" si="14"/>
        <v>-14.702114999999992</v>
      </c>
      <c r="E310" s="3">
        <v>54.19</v>
      </c>
      <c r="F310" s="3">
        <v>15</v>
      </c>
      <c r="G310" s="3">
        <v>102.79798900000002</v>
      </c>
      <c r="H310" s="4">
        <f t="shared" si="17"/>
        <v>-3.1222999999982903E-2</v>
      </c>
      <c r="I310" s="4">
        <f t="shared" si="15"/>
        <v>-17.570374000000001</v>
      </c>
      <c r="J310" s="3">
        <v>54.19</v>
      </c>
      <c r="K310" s="3">
        <v>15</v>
      </c>
    </row>
    <row r="311" spans="1:11" x14ac:dyDescent="0.35">
      <c r="A311" s="2">
        <v>39944</v>
      </c>
      <c r="B311" s="3">
        <v>96.586976000000007</v>
      </c>
      <c r="C311" s="4">
        <f t="shared" si="16"/>
        <v>0.99156800000000089</v>
      </c>
      <c r="D311" s="4">
        <f t="shared" ref="D311:D374" si="18">B311-B259</f>
        <v>-14.455208999999996</v>
      </c>
      <c r="E311" s="3">
        <v>54.19</v>
      </c>
      <c r="F311" s="3">
        <v>15</v>
      </c>
      <c r="G311" s="3">
        <v>103.09914000000001</v>
      </c>
      <c r="H311" s="4">
        <f t="shared" si="17"/>
        <v>0.30115099999999018</v>
      </c>
      <c r="I311" s="4">
        <f t="shared" ref="I311:I374" si="19">G311-G259</f>
        <v>-18.386013000000005</v>
      </c>
      <c r="J311" s="3">
        <v>54.19</v>
      </c>
      <c r="K311" s="3">
        <v>15</v>
      </c>
    </row>
    <row r="312" spans="1:11" x14ac:dyDescent="0.35">
      <c r="A312" s="2">
        <v>39951</v>
      </c>
      <c r="B312" s="3">
        <v>97.544747999999998</v>
      </c>
      <c r="C312" s="4">
        <f t="shared" si="16"/>
        <v>0.95777199999999141</v>
      </c>
      <c r="D312" s="4">
        <f t="shared" si="18"/>
        <v>-15.414759000000004</v>
      </c>
      <c r="E312" s="3">
        <v>54.19</v>
      </c>
      <c r="F312" s="3">
        <v>15</v>
      </c>
      <c r="G312" s="3">
        <v>103.36646500000001</v>
      </c>
      <c r="H312" s="4">
        <f t="shared" si="17"/>
        <v>0.26732499999999959</v>
      </c>
      <c r="I312" s="4">
        <f t="shared" si="19"/>
        <v>-21.136018000000007</v>
      </c>
      <c r="J312" s="3">
        <v>54.19</v>
      </c>
      <c r="K312" s="3">
        <v>15</v>
      </c>
    </row>
    <row r="313" spans="1:11" x14ac:dyDescent="0.35">
      <c r="A313" s="2">
        <v>39958</v>
      </c>
      <c r="B313" s="3">
        <v>98.899267000000009</v>
      </c>
      <c r="C313" s="4">
        <f t="shared" si="16"/>
        <v>1.3545190000000105</v>
      </c>
      <c r="D313" s="4">
        <f t="shared" si="18"/>
        <v>-15.887371000000002</v>
      </c>
      <c r="E313" s="3">
        <v>54.19</v>
      </c>
      <c r="F313" s="3">
        <v>15</v>
      </c>
      <c r="G313" s="3">
        <v>103.54596100000001</v>
      </c>
      <c r="H313" s="4">
        <f t="shared" si="17"/>
        <v>0.17949600000000032</v>
      </c>
      <c r="I313" s="4">
        <f t="shared" si="19"/>
        <v>-23.668306999999999</v>
      </c>
      <c r="J313" s="3">
        <v>54.19</v>
      </c>
      <c r="K313" s="3">
        <v>15</v>
      </c>
    </row>
    <row r="314" spans="1:11" x14ac:dyDescent="0.35">
      <c r="A314" s="2">
        <v>39965</v>
      </c>
      <c r="B314" s="3">
        <v>99.385001999999986</v>
      </c>
      <c r="C314" s="4">
        <f t="shared" si="16"/>
        <v>0.48573499999997694</v>
      </c>
      <c r="D314" s="4">
        <f t="shared" si="18"/>
        <v>-16.641899000000009</v>
      </c>
      <c r="E314" s="3">
        <v>54.19</v>
      </c>
      <c r="F314" s="3">
        <v>15</v>
      </c>
      <c r="G314" s="3">
        <v>103.552087</v>
      </c>
      <c r="H314" s="4">
        <f t="shared" si="17"/>
        <v>6.1259999999947468E-3</v>
      </c>
      <c r="I314" s="4">
        <f t="shared" si="19"/>
        <v>-25.270916999999997</v>
      </c>
      <c r="J314" s="3">
        <v>54.19</v>
      </c>
      <c r="K314" s="3">
        <v>15</v>
      </c>
    </row>
    <row r="315" spans="1:11" x14ac:dyDescent="0.35">
      <c r="A315" s="2">
        <v>39972</v>
      </c>
      <c r="B315" s="3">
        <v>100.58954800000001</v>
      </c>
      <c r="C315" s="4">
        <f t="shared" si="16"/>
        <v>1.2045460000000219</v>
      </c>
      <c r="D315" s="4">
        <f t="shared" si="18"/>
        <v>-16.267594999999986</v>
      </c>
      <c r="E315" s="3">
        <v>54.19</v>
      </c>
      <c r="F315" s="3">
        <v>15</v>
      </c>
      <c r="G315" s="3">
        <v>103.77838700000001</v>
      </c>
      <c r="H315" s="4">
        <f t="shared" si="17"/>
        <v>0.22630000000000905</v>
      </c>
      <c r="I315" s="4">
        <f t="shared" si="19"/>
        <v>-25.902736999999973</v>
      </c>
      <c r="J315" s="3">
        <v>54.19</v>
      </c>
      <c r="K315" s="3">
        <v>15</v>
      </c>
    </row>
    <row r="316" spans="1:11" x14ac:dyDescent="0.35">
      <c r="A316" s="2">
        <v>39979</v>
      </c>
      <c r="B316" s="3">
        <v>101.97936300000001</v>
      </c>
      <c r="C316" s="4">
        <f t="shared" si="16"/>
        <v>1.3898149999999987</v>
      </c>
      <c r="D316" s="4">
        <f t="shared" si="18"/>
        <v>-15.713721000000007</v>
      </c>
      <c r="E316" s="3">
        <v>54.19</v>
      </c>
      <c r="F316" s="3">
        <v>15</v>
      </c>
      <c r="G316" s="3">
        <v>104.50103899999999</v>
      </c>
      <c r="H316" s="4">
        <f t="shared" si="17"/>
        <v>0.72265199999998231</v>
      </c>
      <c r="I316" s="4">
        <f t="shared" si="19"/>
        <v>-26.161046999999996</v>
      </c>
      <c r="J316" s="3">
        <v>54.19</v>
      </c>
      <c r="K316" s="3">
        <v>15</v>
      </c>
    </row>
    <row r="317" spans="1:11" x14ac:dyDescent="0.35">
      <c r="A317" s="2">
        <v>39986</v>
      </c>
      <c r="B317" s="3">
        <v>102.80786200000001</v>
      </c>
      <c r="C317" s="4">
        <f t="shared" si="16"/>
        <v>0.82849900000000787</v>
      </c>
      <c r="D317" s="4">
        <f t="shared" si="18"/>
        <v>-15.63167399999999</v>
      </c>
      <c r="E317" s="3">
        <v>54.19</v>
      </c>
      <c r="F317" s="3">
        <v>15</v>
      </c>
      <c r="G317" s="3">
        <v>104.91693100000001</v>
      </c>
      <c r="H317" s="4">
        <f t="shared" si="17"/>
        <v>0.4158920000000137</v>
      </c>
      <c r="I317" s="4">
        <f t="shared" si="19"/>
        <v>-26.533416000000017</v>
      </c>
      <c r="J317" s="3">
        <v>54.19</v>
      </c>
      <c r="K317" s="3">
        <v>15</v>
      </c>
    </row>
    <row r="318" spans="1:11" x14ac:dyDescent="0.35">
      <c r="A318" s="2">
        <v>39993</v>
      </c>
      <c r="B318" s="3">
        <v>103.302665</v>
      </c>
      <c r="C318" s="4">
        <f t="shared" si="16"/>
        <v>0.49480299999999033</v>
      </c>
      <c r="D318" s="4">
        <f t="shared" si="18"/>
        <v>-15.542182000000011</v>
      </c>
      <c r="E318" s="3">
        <v>54.19</v>
      </c>
      <c r="F318" s="3">
        <v>15</v>
      </c>
      <c r="G318" s="3">
        <v>105.052808</v>
      </c>
      <c r="H318" s="4">
        <f t="shared" si="17"/>
        <v>0.13587699999999359</v>
      </c>
      <c r="I318" s="4">
        <f t="shared" si="19"/>
        <v>-26.978117999999995</v>
      </c>
      <c r="J318" s="3">
        <v>54.19</v>
      </c>
      <c r="K318" s="3">
        <v>15</v>
      </c>
    </row>
    <row r="319" spans="1:11" x14ac:dyDescent="0.35">
      <c r="A319" s="2">
        <v>40000</v>
      </c>
      <c r="B319" s="3">
        <v>103.566712</v>
      </c>
      <c r="C319" s="4">
        <f t="shared" si="16"/>
        <v>0.26404699999999082</v>
      </c>
      <c r="D319" s="4">
        <f t="shared" si="18"/>
        <v>-15.709698000000003</v>
      </c>
      <c r="E319" s="3">
        <v>54.19</v>
      </c>
      <c r="F319" s="3">
        <v>15</v>
      </c>
      <c r="G319" s="3">
        <v>105.10804300000001</v>
      </c>
      <c r="H319" s="4">
        <f t="shared" si="17"/>
        <v>5.5235000000010359E-2</v>
      </c>
      <c r="I319" s="4">
        <f t="shared" si="19"/>
        <v>-27.444618999999989</v>
      </c>
      <c r="J319" s="3">
        <v>54.19</v>
      </c>
      <c r="K319" s="3">
        <v>15</v>
      </c>
    </row>
    <row r="320" spans="1:11" x14ac:dyDescent="0.35">
      <c r="A320" s="2">
        <v>40007</v>
      </c>
      <c r="B320" s="3">
        <v>102.784542</v>
      </c>
      <c r="C320" s="4">
        <f t="shared" si="16"/>
        <v>-0.78216999999999359</v>
      </c>
      <c r="D320" s="4">
        <f t="shared" si="18"/>
        <v>-16.653497000000002</v>
      </c>
      <c r="E320" s="3">
        <v>54.19</v>
      </c>
      <c r="F320" s="3">
        <v>15</v>
      </c>
      <c r="G320" s="3">
        <v>104.043972</v>
      </c>
      <c r="H320" s="4">
        <f t="shared" si="17"/>
        <v>-1.0640710000000126</v>
      </c>
      <c r="I320" s="4">
        <f t="shared" si="19"/>
        <v>-28.828080999999997</v>
      </c>
      <c r="J320" s="3">
        <v>54.19</v>
      </c>
      <c r="K320" s="3">
        <v>15</v>
      </c>
    </row>
    <row r="321" spans="1:11" x14ac:dyDescent="0.35">
      <c r="A321" s="2">
        <v>40014</v>
      </c>
      <c r="B321" s="3">
        <v>102.219436</v>
      </c>
      <c r="C321" s="4">
        <f t="shared" si="16"/>
        <v>-0.56510600000000011</v>
      </c>
      <c r="D321" s="4">
        <f t="shared" si="18"/>
        <v>-17.181674999999998</v>
      </c>
      <c r="E321" s="3">
        <v>54.19</v>
      </c>
      <c r="F321" s="3">
        <v>15</v>
      </c>
      <c r="G321" s="3">
        <v>102.99478300000001</v>
      </c>
      <c r="H321" s="4">
        <f t="shared" si="17"/>
        <v>-1.0491889999999842</v>
      </c>
      <c r="I321" s="4">
        <f t="shared" si="19"/>
        <v>-29.89312799999999</v>
      </c>
      <c r="J321" s="3">
        <v>54.19</v>
      </c>
      <c r="K321" s="3">
        <v>15</v>
      </c>
    </row>
    <row r="322" spans="1:11" x14ac:dyDescent="0.35">
      <c r="A322" s="2">
        <v>40021</v>
      </c>
      <c r="B322" s="3">
        <v>102.17393200000001</v>
      </c>
      <c r="C322" s="4">
        <f t="shared" si="16"/>
        <v>-4.5503999999993994E-2</v>
      </c>
      <c r="D322" s="4">
        <f t="shared" si="18"/>
        <v>-14.737207999999981</v>
      </c>
      <c r="E322" s="3">
        <v>54.19</v>
      </c>
      <c r="F322" s="3">
        <v>15</v>
      </c>
      <c r="G322" s="3">
        <v>102.90580000000001</v>
      </c>
      <c r="H322" s="4">
        <f t="shared" si="17"/>
        <v>-8.8982999999998924E-2</v>
      </c>
      <c r="I322" s="4">
        <f t="shared" si="19"/>
        <v>-27.804741999999962</v>
      </c>
      <c r="J322" s="3">
        <v>54.19</v>
      </c>
      <c r="K322" s="3">
        <v>15</v>
      </c>
    </row>
    <row r="323" spans="1:11" x14ac:dyDescent="0.35">
      <c r="A323" s="2">
        <v>40028</v>
      </c>
      <c r="B323" s="3">
        <v>102.35533099999999</v>
      </c>
      <c r="C323" s="4">
        <f t="shared" ref="C323:C386" si="20">B323-B322</f>
        <v>0.18139899999998477</v>
      </c>
      <c r="D323" s="4">
        <f t="shared" si="18"/>
        <v>-12.704884000000007</v>
      </c>
      <c r="E323" s="3">
        <v>54.19</v>
      </c>
      <c r="F323" s="3">
        <v>15</v>
      </c>
      <c r="G323" s="3">
        <v>103.20272199999999</v>
      </c>
      <c r="H323" s="4">
        <f t="shared" ref="H323:H386" si="21">G323-G322</f>
        <v>0.29692199999998081</v>
      </c>
      <c r="I323" s="4">
        <f t="shared" si="19"/>
        <v>-24.990900000000011</v>
      </c>
      <c r="J323" s="3">
        <v>54.19</v>
      </c>
      <c r="K323" s="3">
        <v>15</v>
      </c>
    </row>
    <row r="324" spans="1:11" x14ac:dyDescent="0.35">
      <c r="A324" s="2">
        <v>40035</v>
      </c>
      <c r="B324" s="3">
        <v>103.011629</v>
      </c>
      <c r="C324" s="4">
        <f t="shared" si="20"/>
        <v>0.65629800000000671</v>
      </c>
      <c r="D324" s="4">
        <f t="shared" si="18"/>
        <v>-10.910883999999996</v>
      </c>
      <c r="E324" s="3">
        <v>54.19</v>
      </c>
      <c r="F324" s="3">
        <v>15</v>
      </c>
      <c r="G324" s="3">
        <v>103.79442800000001</v>
      </c>
      <c r="H324" s="4">
        <f t="shared" si="21"/>
        <v>0.59170600000001627</v>
      </c>
      <c r="I324" s="4">
        <f t="shared" si="19"/>
        <v>-22.401650000000004</v>
      </c>
      <c r="J324" s="3">
        <v>54.19</v>
      </c>
      <c r="K324" s="3">
        <v>15</v>
      </c>
    </row>
    <row r="325" spans="1:11" x14ac:dyDescent="0.35">
      <c r="A325" s="2">
        <v>40042</v>
      </c>
      <c r="B325" s="3">
        <v>103.955395</v>
      </c>
      <c r="C325" s="4">
        <f t="shared" si="20"/>
        <v>0.94376599999999655</v>
      </c>
      <c r="D325" s="4">
        <f t="shared" si="18"/>
        <v>-8.2596490000000102</v>
      </c>
      <c r="E325" s="3">
        <v>54.19</v>
      </c>
      <c r="F325" s="3">
        <v>15</v>
      </c>
      <c r="G325" s="3">
        <v>104.449727</v>
      </c>
      <c r="H325" s="4">
        <f t="shared" si="21"/>
        <v>0.6552989999999852</v>
      </c>
      <c r="I325" s="4">
        <f t="shared" si="19"/>
        <v>-19.647343000000021</v>
      </c>
      <c r="J325" s="3">
        <v>54.19</v>
      </c>
      <c r="K325" s="3">
        <v>15</v>
      </c>
    </row>
    <row r="326" spans="1:11" x14ac:dyDescent="0.35">
      <c r="A326" s="2">
        <v>40049</v>
      </c>
      <c r="B326" s="3">
        <v>104.69857999999999</v>
      </c>
      <c r="C326" s="4">
        <f t="shared" si="20"/>
        <v>0.74318499999999688</v>
      </c>
      <c r="D326" s="4">
        <f t="shared" si="18"/>
        <v>-7.3239810000000176</v>
      </c>
      <c r="E326" s="3">
        <v>54.19</v>
      </c>
      <c r="F326" s="3">
        <v>15</v>
      </c>
      <c r="G326" s="3">
        <v>105.109871</v>
      </c>
      <c r="H326" s="4">
        <f t="shared" si="21"/>
        <v>0.66014400000000251</v>
      </c>
      <c r="I326" s="4">
        <f t="shared" si="19"/>
        <v>-18.625952000000012</v>
      </c>
      <c r="J326" s="3">
        <v>54.19</v>
      </c>
      <c r="K326" s="3">
        <v>15</v>
      </c>
    </row>
    <row r="327" spans="1:11" x14ac:dyDescent="0.35">
      <c r="A327" s="2">
        <v>40056</v>
      </c>
      <c r="B327" s="3">
        <v>105.10995600000001</v>
      </c>
      <c r="C327" s="4">
        <f t="shared" si="20"/>
        <v>0.41137600000001839</v>
      </c>
      <c r="D327" s="4">
        <f t="shared" si="18"/>
        <v>-7.0878019999999964</v>
      </c>
      <c r="E327" s="3">
        <v>54.19</v>
      </c>
      <c r="F327" s="3">
        <v>15</v>
      </c>
      <c r="G327" s="3">
        <v>105.50102799999999</v>
      </c>
      <c r="H327" s="4">
        <f t="shared" si="21"/>
        <v>0.39115699999999265</v>
      </c>
      <c r="I327" s="4">
        <f t="shared" si="19"/>
        <v>-18.385074000000031</v>
      </c>
      <c r="J327" s="3">
        <v>54.19</v>
      </c>
      <c r="K327" s="3">
        <v>15</v>
      </c>
    </row>
    <row r="328" spans="1:11" x14ac:dyDescent="0.35">
      <c r="A328" s="2">
        <v>40063</v>
      </c>
      <c r="B328" s="3">
        <v>106.850234</v>
      </c>
      <c r="C328" s="4">
        <f t="shared" si="20"/>
        <v>1.7402779999999893</v>
      </c>
      <c r="D328" s="4">
        <f t="shared" si="18"/>
        <v>-5.6966170000000034</v>
      </c>
      <c r="E328" s="3">
        <v>56.19</v>
      </c>
      <c r="F328" s="3">
        <v>15</v>
      </c>
      <c r="G328" s="3">
        <v>107.30015999999999</v>
      </c>
      <c r="H328" s="4">
        <f t="shared" si="21"/>
        <v>1.7991320000000002</v>
      </c>
      <c r="I328" s="4">
        <f t="shared" si="19"/>
        <v>-16.896026000000006</v>
      </c>
      <c r="J328" s="3">
        <v>56.19</v>
      </c>
      <c r="K328" s="3">
        <v>15</v>
      </c>
    </row>
    <row r="329" spans="1:11" x14ac:dyDescent="0.35">
      <c r="A329" s="2">
        <v>40070</v>
      </c>
      <c r="B329" s="3">
        <v>106.431934</v>
      </c>
      <c r="C329" s="4">
        <f t="shared" si="20"/>
        <v>-0.41830000000000211</v>
      </c>
      <c r="D329" s="4">
        <f t="shared" si="18"/>
        <v>-6.0803759999999869</v>
      </c>
      <c r="E329" s="3">
        <v>56.19</v>
      </c>
      <c r="F329" s="3">
        <v>15</v>
      </c>
      <c r="G329" s="3">
        <v>107.08787800000002</v>
      </c>
      <c r="H329" s="4">
        <f t="shared" si="21"/>
        <v>-0.21228199999997344</v>
      </c>
      <c r="I329" s="4">
        <f t="shared" si="19"/>
        <v>-17.055286999999979</v>
      </c>
      <c r="J329" s="3">
        <v>56.19</v>
      </c>
      <c r="K329" s="3">
        <v>15</v>
      </c>
    </row>
    <row r="330" spans="1:11" x14ac:dyDescent="0.35">
      <c r="A330" s="2">
        <v>40077</v>
      </c>
      <c r="B330" s="3">
        <v>105.95612400000002</v>
      </c>
      <c r="C330" s="4">
        <f t="shared" si="20"/>
        <v>-0.47580999999998141</v>
      </c>
      <c r="D330" s="4">
        <f t="shared" si="18"/>
        <v>-4.8540759999999779</v>
      </c>
      <c r="E330" s="3">
        <v>56.19</v>
      </c>
      <c r="F330" s="3">
        <v>15</v>
      </c>
      <c r="G330" s="3">
        <v>106.79198000000001</v>
      </c>
      <c r="H330" s="4">
        <f t="shared" si="21"/>
        <v>-0.29589800000000821</v>
      </c>
      <c r="I330" s="4">
        <f t="shared" si="19"/>
        <v>-15.817350999999988</v>
      </c>
      <c r="J330" s="3">
        <v>56.19</v>
      </c>
      <c r="K330" s="3">
        <v>15</v>
      </c>
    </row>
    <row r="331" spans="1:11" x14ac:dyDescent="0.35">
      <c r="A331" s="2">
        <v>40084</v>
      </c>
      <c r="B331" s="3">
        <v>105.43691600000001</v>
      </c>
      <c r="C331" s="4">
        <f t="shared" si="20"/>
        <v>-0.51920800000000611</v>
      </c>
      <c r="D331" s="4">
        <f t="shared" si="18"/>
        <v>-4.4119939999999929</v>
      </c>
      <c r="E331" s="3">
        <v>56.19</v>
      </c>
      <c r="F331" s="3">
        <v>15</v>
      </c>
      <c r="G331" s="3">
        <v>106.391081</v>
      </c>
      <c r="H331" s="4">
        <f t="shared" si="21"/>
        <v>-0.40089900000000966</v>
      </c>
      <c r="I331" s="4">
        <f t="shared" si="19"/>
        <v>-15.256171999999992</v>
      </c>
      <c r="J331" s="3">
        <v>56.19</v>
      </c>
      <c r="K331" s="3">
        <v>15</v>
      </c>
    </row>
    <row r="332" spans="1:11" x14ac:dyDescent="0.35">
      <c r="A332" s="2">
        <v>40091</v>
      </c>
      <c r="B332" s="3">
        <v>104.867458</v>
      </c>
      <c r="C332" s="4">
        <f t="shared" si="20"/>
        <v>-0.56945800000001157</v>
      </c>
      <c r="D332" s="4">
        <f t="shared" si="18"/>
        <v>-4.5846099999999979</v>
      </c>
      <c r="E332" s="3">
        <v>56.19</v>
      </c>
      <c r="F332" s="3">
        <v>15</v>
      </c>
      <c r="G332" s="3">
        <v>105.847508</v>
      </c>
      <c r="H332" s="4">
        <f t="shared" si="21"/>
        <v>-0.54357299999999498</v>
      </c>
      <c r="I332" s="4">
        <f t="shared" si="19"/>
        <v>-15.288977999999986</v>
      </c>
      <c r="J332" s="3">
        <v>56.19</v>
      </c>
      <c r="K332" s="3">
        <v>15</v>
      </c>
    </row>
    <row r="333" spans="1:11" x14ac:dyDescent="0.35">
      <c r="A333" s="2">
        <v>40098</v>
      </c>
      <c r="B333" s="3">
        <v>104.71270100000001</v>
      </c>
      <c r="C333" s="4">
        <f t="shared" si="20"/>
        <v>-0.15475699999998938</v>
      </c>
      <c r="D333" s="4">
        <f t="shared" si="18"/>
        <v>-2.3268280000000061</v>
      </c>
      <c r="E333" s="3">
        <v>56.19</v>
      </c>
      <c r="F333" s="3">
        <v>15</v>
      </c>
      <c r="G333" s="3">
        <v>105.68810999999999</v>
      </c>
      <c r="H333" s="4">
        <f t="shared" si="21"/>
        <v>-0.15939800000001014</v>
      </c>
      <c r="I333" s="4">
        <f t="shared" si="19"/>
        <v>-12.734750000000005</v>
      </c>
      <c r="J333" s="3">
        <v>56.19</v>
      </c>
      <c r="K333" s="3">
        <v>15</v>
      </c>
    </row>
    <row r="334" spans="1:11" x14ac:dyDescent="0.35">
      <c r="A334" s="2">
        <v>40105</v>
      </c>
      <c r="B334" s="3">
        <v>105.08438200000001</v>
      </c>
      <c r="C334" s="4">
        <f t="shared" si="20"/>
        <v>0.37168099999999527</v>
      </c>
      <c r="D334" s="4">
        <f t="shared" si="18"/>
        <v>2.4262510000000077</v>
      </c>
      <c r="E334" s="3">
        <v>56.19</v>
      </c>
      <c r="F334" s="3">
        <v>15</v>
      </c>
      <c r="G334" s="3">
        <v>106.27989399999998</v>
      </c>
      <c r="H334" s="4">
        <f t="shared" si="21"/>
        <v>0.59178399999998987</v>
      </c>
      <c r="I334" s="4">
        <f t="shared" si="19"/>
        <v>-8.0302780000000098</v>
      </c>
      <c r="J334" s="3">
        <v>56.19</v>
      </c>
      <c r="K334" s="3">
        <v>15</v>
      </c>
    </row>
    <row r="335" spans="1:11" x14ac:dyDescent="0.35">
      <c r="A335" s="2">
        <v>40112</v>
      </c>
      <c r="B335" s="3">
        <v>106.75587300000001</v>
      </c>
      <c r="C335" s="4">
        <f t="shared" si="20"/>
        <v>1.6714910000000032</v>
      </c>
      <c r="D335" s="4">
        <f t="shared" si="18"/>
        <v>8.1338050000000095</v>
      </c>
      <c r="E335" s="3">
        <v>56.19</v>
      </c>
      <c r="F335" s="3">
        <v>15</v>
      </c>
      <c r="G335" s="3">
        <v>107.778406</v>
      </c>
      <c r="H335" s="4">
        <f t="shared" si="21"/>
        <v>1.4985120000000194</v>
      </c>
      <c r="I335" s="4">
        <f t="shared" si="19"/>
        <v>-3.2325569999999999</v>
      </c>
      <c r="J335" s="3">
        <v>56.19</v>
      </c>
      <c r="K335" s="3">
        <v>15</v>
      </c>
    </row>
    <row r="336" spans="1:11" x14ac:dyDescent="0.35">
      <c r="A336" s="2">
        <v>40119</v>
      </c>
      <c r="B336" s="3">
        <v>107.43145800000001</v>
      </c>
      <c r="C336" s="4">
        <f t="shared" si="20"/>
        <v>0.6755849999999981</v>
      </c>
      <c r="D336" s="4">
        <f t="shared" si="18"/>
        <v>10.031817000000018</v>
      </c>
      <c r="E336" s="3">
        <v>56.19</v>
      </c>
      <c r="F336" s="3">
        <v>15</v>
      </c>
      <c r="G336" s="3">
        <v>108.510193</v>
      </c>
      <c r="H336" s="4">
        <f t="shared" si="21"/>
        <v>0.73178699999999708</v>
      </c>
      <c r="I336" s="4">
        <f t="shared" si="19"/>
        <v>-1.356804000000011</v>
      </c>
      <c r="J336" s="3">
        <v>56.19</v>
      </c>
      <c r="K336" s="3">
        <v>15</v>
      </c>
    </row>
    <row r="337" spans="1:11" x14ac:dyDescent="0.35">
      <c r="A337" s="2">
        <v>40126</v>
      </c>
      <c r="B337" s="3">
        <v>108.10007800000001</v>
      </c>
      <c r="C337" s="4">
        <f t="shared" si="20"/>
        <v>0.66862000000000421</v>
      </c>
      <c r="D337" s="4">
        <f t="shared" si="18"/>
        <v>12.209548000000012</v>
      </c>
      <c r="E337" s="3">
        <v>56.19</v>
      </c>
      <c r="F337" s="3">
        <v>15</v>
      </c>
      <c r="G337" s="3">
        <v>109.351895</v>
      </c>
      <c r="H337" s="4">
        <f t="shared" si="21"/>
        <v>0.84170199999999795</v>
      </c>
      <c r="I337" s="4">
        <f t="shared" si="19"/>
        <v>0.22215199999997992</v>
      </c>
      <c r="J337" s="3">
        <v>56.19</v>
      </c>
      <c r="K337" s="3">
        <v>15</v>
      </c>
    </row>
    <row r="338" spans="1:11" x14ac:dyDescent="0.35">
      <c r="A338" s="2">
        <v>40133</v>
      </c>
      <c r="B338" s="3">
        <v>108.483895</v>
      </c>
      <c r="C338" s="4">
        <f t="shared" si="20"/>
        <v>0.38381699999999341</v>
      </c>
      <c r="D338" s="4">
        <f t="shared" si="18"/>
        <v>13.651433999999995</v>
      </c>
      <c r="E338" s="3">
        <v>56.19</v>
      </c>
      <c r="F338" s="3">
        <v>15</v>
      </c>
      <c r="G338" s="3">
        <v>109.64535600000001</v>
      </c>
      <c r="H338" s="4">
        <f t="shared" si="21"/>
        <v>0.29346100000000774</v>
      </c>
      <c r="I338" s="4">
        <f t="shared" si="19"/>
        <v>0.91841699999999094</v>
      </c>
      <c r="J338" s="3">
        <v>56.19</v>
      </c>
      <c r="K338" s="3">
        <v>15</v>
      </c>
    </row>
    <row r="339" spans="1:11" x14ac:dyDescent="0.35">
      <c r="A339" s="2">
        <v>40140</v>
      </c>
      <c r="B339" s="3">
        <v>108.73341000000001</v>
      </c>
      <c r="C339" s="4">
        <f t="shared" si="20"/>
        <v>0.24951500000000237</v>
      </c>
      <c r="D339" s="4">
        <f t="shared" si="18"/>
        <v>15.945744000000005</v>
      </c>
      <c r="E339" s="3">
        <v>56.19</v>
      </c>
      <c r="F339" s="3">
        <v>15</v>
      </c>
      <c r="G339" s="3">
        <v>109.871875</v>
      </c>
      <c r="H339" s="4">
        <f t="shared" si="21"/>
        <v>0.22651899999999614</v>
      </c>
      <c r="I339" s="4">
        <f t="shared" si="19"/>
        <v>2.0935230000000047</v>
      </c>
      <c r="J339" s="3">
        <v>56.19</v>
      </c>
      <c r="K339" s="3">
        <v>15</v>
      </c>
    </row>
    <row r="340" spans="1:11" x14ac:dyDescent="0.35">
      <c r="A340" s="2">
        <v>40147</v>
      </c>
      <c r="B340" s="3">
        <v>108.79216099999999</v>
      </c>
      <c r="C340" s="4">
        <f t="shared" si="20"/>
        <v>5.8750999999986675E-2</v>
      </c>
      <c r="D340" s="4">
        <f t="shared" si="18"/>
        <v>17.321874999999991</v>
      </c>
      <c r="E340" s="3">
        <v>56.19</v>
      </c>
      <c r="F340" s="3">
        <v>15</v>
      </c>
      <c r="G340" s="3">
        <v>109.98578800000001</v>
      </c>
      <c r="H340" s="4">
        <f t="shared" si="21"/>
        <v>0.11391300000001081</v>
      </c>
      <c r="I340" s="4">
        <f t="shared" si="19"/>
        <v>3.4241180000000213</v>
      </c>
      <c r="J340" s="3">
        <v>56.19</v>
      </c>
      <c r="K340" s="3">
        <v>15</v>
      </c>
    </row>
    <row r="341" spans="1:11" x14ac:dyDescent="0.35">
      <c r="A341" s="2">
        <v>40154</v>
      </c>
      <c r="B341" s="3">
        <v>108.637429</v>
      </c>
      <c r="C341" s="4">
        <f t="shared" si="20"/>
        <v>-0.15473199999999565</v>
      </c>
      <c r="D341" s="4">
        <f t="shared" si="18"/>
        <v>18.481111999999996</v>
      </c>
      <c r="E341" s="3">
        <v>56.19</v>
      </c>
      <c r="F341" s="3">
        <v>15</v>
      </c>
      <c r="G341" s="3">
        <v>109.871982</v>
      </c>
      <c r="H341" s="4">
        <f t="shared" si="21"/>
        <v>-0.11380600000001095</v>
      </c>
      <c r="I341" s="4">
        <f t="shared" si="19"/>
        <v>5.0068590000000199</v>
      </c>
      <c r="J341" s="3">
        <v>56.19</v>
      </c>
      <c r="K341" s="3">
        <v>15</v>
      </c>
    </row>
    <row r="342" spans="1:11" x14ac:dyDescent="0.35">
      <c r="A342" s="2">
        <v>40161</v>
      </c>
      <c r="B342" s="3">
        <v>108.49736899999999</v>
      </c>
      <c r="C342" s="4">
        <f t="shared" si="20"/>
        <v>-0.1400600000000054</v>
      </c>
      <c r="D342" s="4">
        <f t="shared" si="18"/>
        <v>19.431679999999986</v>
      </c>
      <c r="E342" s="3">
        <v>56.19</v>
      </c>
      <c r="F342" s="3">
        <v>15</v>
      </c>
      <c r="G342" s="3">
        <v>109.568286</v>
      </c>
      <c r="H342" s="4">
        <f t="shared" si="21"/>
        <v>-0.30369600000000219</v>
      </c>
      <c r="I342" s="4">
        <f t="shared" si="19"/>
        <v>8.3276740000000018</v>
      </c>
      <c r="J342" s="3">
        <v>56.19</v>
      </c>
      <c r="K342" s="3">
        <v>15</v>
      </c>
    </row>
    <row r="343" spans="1:11" x14ac:dyDescent="0.35">
      <c r="A343" s="2">
        <v>40168</v>
      </c>
      <c r="B343" s="3">
        <v>107.466071</v>
      </c>
      <c r="C343" s="4">
        <f t="shared" si="20"/>
        <v>-1.0312979999999925</v>
      </c>
      <c r="D343" s="4">
        <f t="shared" si="18"/>
        <v>19.451760999999991</v>
      </c>
      <c r="E343" s="3">
        <v>56.19</v>
      </c>
      <c r="F343" s="3">
        <v>15</v>
      </c>
      <c r="G343" s="3">
        <v>109.126373</v>
      </c>
      <c r="H343" s="4">
        <f t="shared" si="21"/>
        <v>-0.44191299999999956</v>
      </c>
      <c r="I343" s="4">
        <f t="shared" si="19"/>
        <v>9.1892199999999917</v>
      </c>
      <c r="J343" s="3">
        <v>56.19</v>
      </c>
      <c r="K343" s="3">
        <v>15</v>
      </c>
    </row>
    <row r="344" spans="1:11" x14ac:dyDescent="0.35">
      <c r="A344" s="2">
        <v>40175</v>
      </c>
      <c r="B344" s="3">
        <v>107.44304199999999</v>
      </c>
      <c r="C344" s="4">
        <f t="shared" si="20"/>
        <v>-2.3029000000008182E-2</v>
      </c>
      <c r="D344" s="4">
        <f t="shared" si="18"/>
        <v>20.098736999999986</v>
      </c>
      <c r="E344" s="3">
        <v>56.19</v>
      </c>
      <c r="F344" s="3">
        <v>15</v>
      </c>
      <c r="G344" s="3">
        <v>109.171881</v>
      </c>
      <c r="H344" s="4">
        <f t="shared" si="21"/>
        <v>4.5507999999998106E-2</v>
      </c>
      <c r="I344" s="4">
        <f t="shared" si="19"/>
        <v>9.9985010000000187</v>
      </c>
      <c r="J344" s="3">
        <v>56.19</v>
      </c>
      <c r="K344" s="3">
        <v>15</v>
      </c>
    </row>
    <row r="345" spans="1:11" x14ac:dyDescent="0.35">
      <c r="A345" s="2">
        <v>40182</v>
      </c>
      <c r="B345" s="3">
        <v>109.34044399999999</v>
      </c>
      <c r="C345" s="4">
        <f t="shared" si="20"/>
        <v>1.8974019999999996</v>
      </c>
      <c r="D345" s="4">
        <f t="shared" si="18"/>
        <v>23.917874999999995</v>
      </c>
      <c r="E345" s="3">
        <v>56.19</v>
      </c>
      <c r="F345" s="3">
        <v>17.5</v>
      </c>
      <c r="G345" s="3">
        <v>111.075737</v>
      </c>
      <c r="H345" s="4">
        <f t="shared" si="21"/>
        <v>1.9038560000000047</v>
      </c>
      <c r="I345" s="4">
        <f t="shared" si="19"/>
        <v>13.505141999999992</v>
      </c>
      <c r="J345" s="3">
        <v>56.19</v>
      </c>
      <c r="K345" s="3">
        <v>17.5</v>
      </c>
    </row>
    <row r="346" spans="1:11" x14ac:dyDescent="0.35">
      <c r="A346" s="2">
        <v>40189</v>
      </c>
      <c r="B346" s="3">
        <v>110.72232100000001</v>
      </c>
      <c r="C346" s="4">
        <f t="shared" si="20"/>
        <v>1.3818770000000171</v>
      </c>
      <c r="D346" s="4">
        <f t="shared" si="18"/>
        <v>24.703607000000005</v>
      </c>
      <c r="E346" s="3">
        <v>56.19</v>
      </c>
      <c r="F346" s="3">
        <v>17.5</v>
      </c>
      <c r="G346" s="3">
        <v>112.593144</v>
      </c>
      <c r="H346" s="4">
        <f t="shared" si="21"/>
        <v>1.5174069999999915</v>
      </c>
      <c r="I346" s="4">
        <f t="shared" si="19"/>
        <v>14.276723000000004</v>
      </c>
      <c r="J346" s="3">
        <v>56.19</v>
      </c>
      <c r="K346" s="3">
        <v>17.5</v>
      </c>
    </row>
    <row r="347" spans="1:11" x14ac:dyDescent="0.35">
      <c r="A347" s="2">
        <v>40196</v>
      </c>
      <c r="B347" s="3">
        <v>111.601865</v>
      </c>
      <c r="C347" s="4">
        <f t="shared" si="20"/>
        <v>0.87954399999999566</v>
      </c>
      <c r="D347" s="4">
        <f t="shared" si="18"/>
        <v>25.407368999999989</v>
      </c>
      <c r="E347" s="3">
        <v>56.19</v>
      </c>
      <c r="F347" s="3">
        <v>17.5</v>
      </c>
      <c r="G347" s="3">
        <v>113.38911099999999</v>
      </c>
      <c r="H347" s="4">
        <f t="shared" si="21"/>
        <v>0.79596699999999032</v>
      </c>
      <c r="I347" s="4">
        <f t="shared" si="19"/>
        <v>14.940513999999979</v>
      </c>
      <c r="J347" s="3">
        <v>56.19</v>
      </c>
      <c r="K347" s="3">
        <v>17.5</v>
      </c>
    </row>
    <row r="348" spans="1:11" x14ac:dyDescent="0.35">
      <c r="A348" s="2">
        <v>40203</v>
      </c>
      <c r="B348" s="3">
        <v>111.86565400000002</v>
      </c>
      <c r="C348" s="4">
        <f t="shared" si="20"/>
        <v>0.26378900000001693</v>
      </c>
      <c r="D348" s="4">
        <f t="shared" si="18"/>
        <v>24.447968000000017</v>
      </c>
      <c r="E348" s="3">
        <v>56.19</v>
      </c>
      <c r="F348" s="3">
        <v>17.5</v>
      </c>
      <c r="G348" s="3">
        <v>113.711136</v>
      </c>
      <c r="H348" s="4">
        <f t="shared" si="21"/>
        <v>0.32202500000001066</v>
      </c>
      <c r="I348" s="4">
        <f t="shared" si="19"/>
        <v>14.325885999999997</v>
      </c>
      <c r="J348" s="3">
        <v>56.19</v>
      </c>
      <c r="K348" s="3">
        <v>17.5</v>
      </c>
    </row>
    <row r="349" spans="1:11" x14ac:dyDescent="0.35">
      <c r="A349" s="2">
        <v>40210</v>
      </c>
      <c r="B349" s="3">
        <v>111.90562199999999</v>
      </c>
      <c r="C349" s="4">
        <f t="shared" si="20"/>
        <v>3.9967999999973358E-2</v>
      </c>
      <c r="D349" s="4">
        <f t="shared" si="18"/>
        <v>23.744821000000002</v>
      </c>
      <c r="E349" s="3">
        <v>56.19</v>
      </c>
      <c r="F349" s="3">
        <v>17.5</v>
      </c>
      <c r="G349" s="3">
        <v>113.74896400000002</v>
      </c>
      <c r="H349" s="4">
        <f t="shared" si="21"/>
        <v>3.7828000000018847E-2</v>
      </c>
      <c r="I349" s="4">
        <f t="shared" si="19"/>
        <v>13.927586000000019</v>
      </c>
      <c r="J349" s="3">
        <v>56.19</v>
      </c>
      <c r="K349" s="3">
        <v>17.5</v>
      </c>
    </row>
    <row r="350" spans="1:11" x14ac:dyDescent="0.35">
      <c r="A350" s="2">
        <v>40217</v>
      </c>
      <c r="B350" s="3">
        <v>111.95014099999999</v>
      </c>
      <c r="C350" s="4">
        <f t="shared" si="20"/>
        <v>4.451899999999398E-2</v>
      </c>
      <c r="D350" s="4">
        <f t="shared" si="18"/>
        <v>22.673345999999995</v>
      </c>
      <c r="E350" s="3">
        <v>56.19</v>
      </c>
      <c r="F350" s="3">
        <v>17.5</v>
      </c>
      <c r="G350" s="3">
        <v>113.790274</v>
      </c>
      <c r="H350" s="4">
        <f t="shared" si="21"/>
        <v>4.1309999999981528E-2</v>
      </c>
      <c r="I350" s="4">
        <f t="shared" si="19"/>
        <v>13.477190999999991</v>
      </c>
      <c r="J350" s="3">
        <v>56.19</v>
      </c>
      <c r="K350" s="3">
        <v>17.5</v>
      </c>
    </row>
    <row r="351" spans="1:11" x14ac:dyDescent="0.35">
      <c r="A351" s="2">
        <v>40224</v>
      </c>
      <c r="B351" s="3">
        <v>111.892903</v>
      </c>
      <c r="C351" s="4">
        <f t="shared" si="20"/>
        <v>-5.7237999999983913E-2</v>
      </c>
      <c r="D351" s="4">
        <f t="shared" si="18"/>
        <v>21.772390000000001</v>
      </c>
      <c r="E351" s="3">
        <v>56.19</v>
      </c>
      <c r="F351" s="3">
        <v>17.5</v>
      </c>
      <c r="G351" s="3">
        <v>113.67892399999999</v>
      </c>
      <c r="H351" s="4">
        <f t="shared" si="21"/>
        <v>-0.11135000000000161</v>
      </c>
      <c r="I351" s="4">
        <f t="shared" si="19"/>
        <v>12.820278999999999</v>
      </c>
      <c r="J351" s="3">
        <v>56.19</v>
      </c>
      <c r="K351" s="3">
        <v>17.5</v>
      </c>
    </row>
    <row r="352" spans="1:11" x14ac:dyDescent="0.35">
      <c r="A352" s="2">
        <v>40231</v>
      </c>
      <c r="B352" s="3">
        <v>111.56485600000001</v>
      </c>
      <c r="C352" s="4">
        <f t="shared" si="20"/>
        <v>-0.32804699999999798</v>
      </c>
      <c r="D352" s="4">
        <f t="shared" si="18"/>
        <v>21.232966999999988</v>
      </c>
      <c r="E352" s="3">
        <v>56.19</v>
      </c>
      <c r="F352" s="3">
        <v>17.5</v>
      </c>
      <c r="G352" s="3">
        <v>112.75824700000001</v>
      </c>
      <c r="H352" s="4">
        <f t="shared" si="21"/>
        <v>-0.92067699999998354</v>
      </c>
      <c r="I352" s="4">
        <f t="shared" si="19"/>
        <v>11.943677000000008</v>
      </c>
      <c r="J352" s="3">
        <v>56.19</v>
      </c>
      <c r="K352" s="3">
        <v>17.5</v>
      </c>
    </row>
    <row r="353" spans="1:11" x14ac:dyDescent="0.35">
      <c r="A353" s="2">
        <v>40238</v>
      </c>
      <c r="B353" s="3">
        <v>112.41734299999999</v>
      </c>
      <c r="C353" s="4">
        <f t="shared" si="20"/>
        <v>0.85248699999998223</v>
      </c>
      <c r="D353" s="4">
        <f t="shared" si="18"/>
        <v>22.134816999999998</v>
      </c>
      <c r="E353" s="3">
        <v>56.19</v>
      </c>
      <c r="F353" s="3">
        <v>17.5</v>
      </c>
      <c r="G353" s="3">
        <v>113.407348</v>
      </c>
      <c r="H353" s="4">
        <f t="shared" si="21"/>
        <v>0.64910099999998749</v>
      </c>
      <c r="I353" s="4">
        <f t="shared" si="19"/>
        <v>12.763235000000009</v>
      </c>
      <c r="J353" s="3">
        <v>56.19</v>
      </c>
      <c r="K353" s="3">
        <v>17.5</v>
      </c>
    </row>
    <row r="354" spans="1:11" x14ac:dyDescent="0.35">
      <c r="A354" s="2">
        <v>40245</v>
      </c>
      <c r="B354" s="3">
        <v>113.71174400000002</v>
      </c>
      <c r="C354" s="4">
        <f t="shared" si="20"/>
        <v>1.2944010000000361</v>
      </c>
      <c r="D354" s="4">
        <f t="shared" si="18"/>
        <v>23.558172000000013</v>
      </c>
      <c r="E354" s="3">
        <v>56.19</v>
      </c>
      <c r="F354" s="3">
        <v>17.5</v>
      </c>
      <c r="G354" s="3">
        <v>114.683616</v>
      </c>
      <c r="H354" s="4">
        <f t="shared" si="21"/>
        <v>1.2762680000000017</v>
      </c>
      <c r="I354" s="4">
        <f t="shared" si="19"/>
        <v>14.655146000000002</v>
      </c>
      <c r="J354" s="3">
        <v>56.19</v>
      </c>
      <c r="K354" s="3">
        <v>17.5</v>
      </c>
    </row>
    <row r="355" spans="1:11" x14ac:dyDescent="0.35">
      <c r="A355" s="2">
        <v>40252</v>
      </c>
      <c r="B355" s="3">
        <v>115.458187</v>
      </c>
      <c r="C355" s="4">
        <f t="shared" si="20"/>
        <v>1.7464429999999709</v>
      </c>
      <c r="D355" s="4">
        <f t="shared" si="18"/>
        <v>25.299483000000009</v>
      </c>
      <c r="E355" s="3">
        <v>56.19</v>
      </c>
      <c r="F355" s="3">
        <v>17.5</v>
      </c>
      <c r="G355" s="3">
        <v>116.20988199999999</v>
      </c>
      <c r="H355" s="4">
        <f t="shared" si="21"/>
        <v>1.5262659999999926</v>
      </c>
      <c r="I355" s="4">
        <f t="shared" si="19"/>
        <v>16.388405999999989</v>
      </c>
      <c r="J355" s="3">
        <v>56.19</v>
      </c>
      <c r="K355" s="3">
        <v>17.5</v>
      </c>
    </row>
    <row r="356" spans="1:11" x14ac:dyDescent="0.35">
      <c r="A356" s="2">
        <v>40259</v>
      </c>
      <c r="B356" s="3">
        <v>116.590958</v>
      </c>
      <c r="C356" s="4">
        <f t="shared" si="20"/>
        <v>1.1327710000000053</v>
      </c>
      <c r="D356" s="4">
        <f t="shared" si="18"/>
        <v>26.426218999999989</v>
      </c>
      <c r="E356" s="3">
        <v>56.19</v>
      </c>
      <c r="F356" s="3">
        <v>17.5</v>
      </c>
      <c r="G356" s="3">
        <v>117.282988</v>
      </c>
      <c r="H356" s="4">
        <f t="shared" si="21"/>
        <v>1.0731060000000099</v>
      </c>
      <c r="I356" s="4">
        <f t="shared" si="19"/>
        <v>17.762036999999992</v>
      </c>
      <c r="J356" s="3">
        <v>56.19</v>
      </c>
      <c r="K356" s="3">
        <v>17.5</v>
      </c>
    </row>
    <row r="357" spans="1:11" x14ac:dyDescent="0.35">
      <c r="A357" s="2">
        <v>40266</v>
      </c>
      <c r="B357" s="3">
        <v>117.28185100000002</v>
      </c>
      <c r="C357" s="4">
        <f t="shared" si="20"/>
        <v>0.69089300000001685</v>
      </c>
      <c r="D357" s="4">
        <f t="shared" si="18"/>
        <v>25.936796000000015</v>
      </c>
      <c r="E357" s="3">
        <v>56.19</v>
      </c>
      <c r="F357" s="3">
        <v>17.5</v>
      </c>
      <c r="G357" s="3">
        <v>118.206566</v>
      </c>
      <c r="H357" s="4">
        <f t="shared" si="21"/>
        <v>0.92357799999999202</v>
      </c>
      <c r="I357" s="4">
        <f t="shared" si="19"/>
        <v>18.231472999999994</v>
      </c>
      <c r="J357" s="3">
        <v>56.19</v>
      </c>
      <c r="K357" s="3">
        <v>17.5</v>
      </c>
    </row>
    <row r="358" spans="1:11" x14ac:dyDescent="0.35">
      <c r="A358" s="2">
        <v>40273</v>
      </c>
      <c r="B358" s="3">
        <v>119.286053</v>
      </c>
      <c r="C358" s="4">
        <f t="shared" si="20"/>
        <v>2.0042019999999781</v>
      </c>
      <c r="D358" s="4">
        <f t="shared" si="18"/>
        <v>25.568399999999997</v>
      </c>
      <c r="E358" s="3">
        <v>57.19</v>
      </c>
      <c r="F358" s="3">
        <v>17.5</v>
      </c>
      <c r="G358" s="3">
        <v>120.08948700000001</v>
      </c>
      <c r="H358" s="4">
        <f t="shared" si="21"/>
        <v>1.8829210000000103</v>
      </c>
      <c r="I358" s="4">
        <f t="shared" si="19"/>
        <v>17.945582000000002</v>
      </c>
      <c r="J358" s="3">
        <v>57.19</v>
      </c>
      <c r="K358" s="3">
        <v>17.5</v>
      </c>
    </row>
    <row r="359" spans="1:11" x14ac:dyDescent="0.35">
      <c r="A359" s="2">
        <v>40280</v>
      </c>
      <c r="B359" s="3">
        <v>119.94229500000002</v>
      </c>
      <c r="C359" s="4">
        <f t="shared" si="20"/>
        <v>0.6562420000000202</v>
      </c>
      <c r="D359" s="4">
        <f t="shared" si="18"/>
        <v>25.834268000000023</v>
      </c>
      <c r="E359" s="3">
        <v>57.19</v>
      </c>
      <c r="F359" s="3">
        <v>17.5</v>
      </c>
      <c r="G359" s="3">
        <v>121.11309399999999</v>
      </c>
      <c r="H359" s="4">
        <f t="shared" si="21"/>
        <v>1.0236069999999842</v>
      </c>
      <c r="I359" s="4">
        <f t="shared" si="19"/>
        <v>18.676976999999994</v>
      </c>
      <c r="J359" s="3">
        <v>57.19</v>
      </c>
      <c r="K359" s="3">
        <v>17.5</v>
      </c>
    </row>
    <row r="360" spans="1:11" x14ac:dyDescent="0.35">
      <c r="A360" s="2">
        <v>40287</v>
      </c>
      <c r="B360" s="3">
        <v>120.554956</v>
      </c>
      <c r="C360" s="4">
        <f t="shared" si="20"/>
        <v>0.61266099999998858</v>
      </c>
      <c r="D360" s="4">
        <f t="shared" si="18"/>
        <v>25.93173800000001</v>
      </c>
      <c r="E360" s="3">
        <v>57.19</v>
      </c>
      <c r="F360" s="3">
        <v>17.5</v>
      </c>
      <c r="G360" s="3">
        <v>121.743392</v>
      </c>
      <c r="H360" s="4">
        <f t="shared" si="21"/>
        <v>0.63029800000001046</v>
      </c>
      <c r="I360" s="4">
        <f t="shared" si="19"/>
        <v>19.037171000000001</v>
      </c>
      <c r="J360" s="3">
        <v>57.19</v>
      </c>
      <c r="K360" s="3">
        <v>17.5</v>
      </c>
    </row>
    <row r="361" spans="1:11" x14ac:dyDescent="0.35">
      <c r="A361" s="2">
        <v>40294</v>
      </c>
      <c r="B361" s="3">
        <v>120.987002</v>
      </c>
      <c r="C361" s="4">
        <f t="shared" si="20"/>
        <v>0.43204599999999971</v>
      </c>
      <c r="D361" s="4">
        <f t="shared" si="18"/>
        <v>25.853039999999993</v>
      </c>
      <c r="E361" s="3">
        <v>57.19</v>
      </c>
      <c r="F361" s="3">
        <v>17.5</v>
      </c>
      <c r="G361" s="3">
        <v>122.30851200000001</v>
      </c>
      <c r="H361" s="4">
        <f t="shared" si="21"/>
        <v>0.56512000000000739</v>
      </c>
      <c r="I361" s="4">
        <f t="shared" si="19"/>
        <v>19.479300000000009</v>
      </c>
      <c r="J361" s="3">
        <v>57.19</v>
      </c>
      <c r="K361" s="3">
        <v>17.5</v>
      </c>
    </row>
    <row r="362" spans="1:11" x14ac:dyDescent="0.35">
      <c r="A362" s="2">
        <v>40301</v>
      </c>
      <c r="B362" s="3">
        <v>121.18373300000002</v>
      </c>
      <c r="C362" s="4">
        <f t="shared" si="20"/>
        <v>0.19673100000001398</v>
      </c>
      <c r="D362" s="4">
        <f t="shared" si="18"/>
        <v>25.588325000000012</v>
      </c>
      <c r="E362" s="3">
        <v>57.19</v>
      </c>
      <c r="F362" s="3">
        <v>17.5</v>
      </c>
      <c r="G362" s="3">
        <v>122.681623</v>
      </c>
      <c r="H362" s="4">
        <f t="shared" si="21"/>
        <v>0.37311099999999442</v>
      </c>
      <c r="I362" s="4">
        <f t="shared" si="19"/>
        <v>19.883633999999986</v>
      </c>
      <c r="J362" s="3">
        <v>57.19</v>
      </c>
      <c r="K362" s="3">
        <v>17.5</v>
      </c>
    </row>
    <row r="363" spans="1:11" x14ac:dyDescent="0.35">
      <c r="A363" s="2">
        <v>40308</v>
      </c>
      <c r="B363" s="3">
        <v>121.310311</v>
      </c>
      <c r="C363" s="4">
        <f t="shared" si="20"/>
        <v>0.12657799999998076</v>
      </c>
      <c r="D363" s="4">
        <f t="shared" si="18"/>
        <v>24.723334999999992</v>
      </c>
      <c r="E363" s="3">
        <v>57.19</v>
      </c>
      <c r="F363" s="3">
        <v>17.5</v>
      </c>
      <c r="G363" s="3">
        <v>122.81698899999998</v>
      </c>
      <c r="H363" s="4">
        <f t="shared" si="21"/>
        <v>0.13536599999997634</v>
      </c>
      <c r="I363" s="4">
        <f t="shared" si="19"/>
        <v>19.717848999999973</v>
      </c>
      <c r="J363" s="3">
        <v>57.19</v>
      </c>
      <c r="K363" s="3">
        <v>17.5</v>
      </c>
    </row>
    <row r="364" spans="1:11" x14ac:dyDescent="0.35">
      <c r="A364" s="2">
        <v>40315</v>
      </c>
      <c r="B364" s="3">
        <v>121.30394699999999</v>
      </c>
      <c r="C364" s="4">
        <f t="shared" si="20"/>
        <v>-6.3640000000049213E-3</v>
      </c>
      <c r="D364" s="4">
        <f t="shared" si="18"/>
        <v>23.759198999999995</v>
      </c>
      <c r="E364" s="3">
        <v>57.19</v>
      </c>
      <c r="F364" s="3">
        <v>17.5</v>
      </c>
      <c r="G364" s="3">
        <v>122.83394299999999</v>
      </c>
      <c r="H364" s="4">
        <f t="shared" si="21"/>
        <v>1.695400000001257E-2</v>
      </c>
      <c r="I364" s="4">
        <f t="shared" si="19"/>
        <v>19.467477999999986</v>
      </c>
      <c r="J364" s="3">
        <v>57.19</v>
      </c>
      <c r="K364" s="3">
        <v>17.5</v>
      </c>
    </row>
    <row r="365" spans="1:11" x14ac:dyDescent="0.35">
      <c r="A365" s="2">
        <v>40322</v>
      </c>
      <c r="B365" s="3">
        <v>119.92543199999999</v>
      </c>
      <c r="C365" s="4">
        <f t="shared" si="20"/>
        <v>-1.3785150000000073</v>
      </c>
      <c r="D365" s="4">
        <f t="shared" si="18"/>
        <v>21.026164999999978</v>
      </c>
      <c r="E365" s="3">
        <v>57.19</v>
      </c>
      <c r="F365" s="3">
        <v>17.5</v>
      </c>
      <c r="G365" s="3">
        <v>121.92259700000001</v>
      </c>
      <c r="H365" s="4">
        <f t="shared" si="21"/>
        <v>-0.91134599999998045</v>
      </c>
      <c r="I365" s="4">
        <f t="shared" si="19"/>
        <v>18.376636000000005</v>
      </c>
      <c r="J365" s="3">
        <v>57.19</v>
      </c>
      <c r="K365" s="3">
        <v>17.5</v>
      </c>
    </row>
    <row r="366" spans="1:11" x14ac:dyDescent="0.35">
      <c r="A366" s="2">
        <v>40329</v>
      </c>
      <c r="B366" s="3">
        <v>118.542993</v>
      </c>
      <c r="C366" s="4">
        <f t="shared" si="20"/>
        <v>-1.3824389999999909</v>
      </c>
      <c r="D366" s="4">
        <f t="shared" si="18"/>
        <v>19.15799100000001</v>
      </c>
      <c r="E366" s="3">
        <v>57.19</v>
      </c>
      <c r="F366" s="3">
        <v>17.5</v>
      </c>
      <c r="G366" s="3">
        <v>120.75644499999999</v>
      </c>
      <c r="H366" s="4">
        <f t="shared" si="21"/>
        <v>-1.1661520000000252</v>
      </c>
      <c r="I366" s="4">
        <f t="shared" si="19"/>
        <v>17.204357999999985</v>
      </c>
      <c r="J366" s="3">
        <v>57.19</v>
      </c>
      <c r="K366" s="3">
        <v>17.5</v>
      </c>
    </row>
    <row r="367" spans="1:11" x14ac:dyDescent="0.35">
      <c r="A367" s="2">
        <v>40336</v>
      </c>
      <c r="B367" s="3">
        <v>118.204835</v>
      </c>
      <c r="C367" s="4">
        <f t="shared" si="20"/>
        <v>-0.33815799999999285</v>
      </c>
      <c r="D367" s="4">
        <f t="shared" si="18"/>
        <v>17.615286999999995</v>
      </c>
      <c r="E367" s="3">
        <v>57.19</v>
      </c>
      <c r="F367" s="3">
        <v>17.5</v>
      </c>
      <c r="G367" s="3">
        <v>120.39722499999999</v>
      </c>
      <c r="H367" s="4">
        <f t="shared" si="21"/>
        <v>-0.35921999999999343</v>
      </c>
      <c r="I367" s="4">
        <f t="shared" si="19"/>
        <v>16.618837999999982</v>
      </c>
      <c r="J367" s="3">
        <v>57.19</v>
      </c>
      <c r="K367" s="3">
        <v>17.5</v>
      </c>
    </row>
    <row r="368" spans="1:11" x14ac:dyDescent="0.35">
      <c r="A368" s="2">
        <v>40343</v>
      </c>
      <c r="B368" s="3">
        <v>117.86583200000001</v>
      </c>
      <c r="C368" s="4">
        <f t="shared" si="20"/>
        <v>-0.33900299999999106</v>
      </c>
      <c r="D368" s="4">
        <f t="shared" si="18"/>
        <v>15.886469000000005</v>
      </c>
      <c r="E368" s="3">
        <v>57.19</v>
      </c>
      <c r="F368" s="3">
        <v>17.5</v>
      </c>
      <c r="G368" s="3">
        <v>120.207196</v>
      </c>
      <c r="H368" s="4">
        <f t="shared" si="21"/>
        <v>-0.19002899999999556</v>
      </c>
      <c r="I368" s="4">
        <f t="shared" si="19"/>
        <v>15.706157000000005</v>
      </c>
      <c r="J368" s="3">
        <v>57.19</v>
      </c>
      <c r="K368" s="3">
        <v>17.5</v>
      </c>
    </row>
    <row r="369" spans="1:11" x14ac:dyDescent="0.35">
      <c r="A369" s="2">
        <v>40350</v>
      </c>
      <c r="B369" s="3">
        <v>117.80199100000002</v>
      </c>
      <c r="C369" s="4">
        <f t="shared" si="20"/>
        <v>-6.3840999999996484E-2</v>
      </c>
      <c r="D369" s="4">
        <f t="shared" si="18"/>
        <v>14.994129000000001</v>
      </c>
      <c r="E369" s="3">
        <v>57.19</v>
      </c>
      <c r="F369" s="3">
        <v>17.5</v>
      </c>
      <c r="G369" s="3">
        <v>120.388271</v>
      </c>
      <c r="H369" s="4">
        <f t="shared" si="21"/>
        <v>0.18107500000000698</v>
      </c>
      <c r="I369" s="4">
        <f t="shared" si="19"/>
        <v>15.471339999999998</v>
      </c>
      <c r="J369" s="3">
        <v>57.19</v>
      </c>
      <c r="K369" s="3">
        <v>17.5</v>
      </c>
    </row>
    <row r="370" spans="1:11" x14ac:dyDescent="0.35">
      <c r="A370" s="2">
        <v>40357</v>
      </c>
      <c r="B370" s="3">
        <v>117.877241</v>
      </c>
      <c r="C370" s="4">
        <f t="shared" si="20"/>
        <v>7.524999999998272E-2</v>
      </c>
      <c r="D370" s="4">
        <f t="shared" si="18"/>
        <v>14.574575999999993</v>
      </c>
      <c r="E370" s="3">
        <v>57.19</v>
      </c>
      <c r="F370" s="3">
        <v>17.5</v>
      </c>
      <c r="G370" s="3">
        <v>120.37993700000001</v>
      </c>
      <c r="H370" s="4">
        <f t="shared" si="21"/>
        <v>-8.3339999999907377E-3</v>
      </c>
      <c r="I370" s="4">
        <f t="shared" si="19"/>
        <v>15.327129000000014</v>
      </c>
      <c r="J370" s="3">
        <v>57.19</v>
      </c>
      <c r="K370" s="3">
        <v>17.5</v>
      </c>
    </row>
    <row r="371" spans="1:11" x14ac:dyDescent="0.35">
      <c r="A371" s="2">
        <v>40364</v>
      </c>
      <c r="B371" s="3">
        <v>117.90912900000001</v>
      </c>
      <c r="C371" s="4">
        <f t="shared" si="20"/>
        <v>3.1888000000009242E-2</v>
      </c>
      <c r="D371" s="4">
        <f t="shared" si="18"/>
        <v>14.342417000000012</v>
      </c>
      <c r="E371" s="3">
        <v>57.19</v>
      </c>
      <c r="F371" s="3">
        <v>17.5</v>
      </c>
      <c r="G371" s="3">
        <v>120.43722799999999</v>
      </c>
      <c r="H371" s="4">
        <f t="shared" si="21"/>
        <v>5.7290999999977998E-2</v>
      </c>
      <c r="I371" s="4">
        <f t="shared" si="19"/>
        <v>15.329184999999981</v>
      </c>
      <c r="J371" s="3">
        <v>57.19</v>
      </c>
      <c r="K371" s="3">
        <v>17.5</v>
      </c>
    </row>
    <row r="372" spans="1:11" x14ac:dyDescent="0.35">
      <c r="A372" s="2">
        <v>40371</v>
      </c>
      <c r="B372" s="3">
        <v>117.39348100000001</v>
      </c>
      <c r="C372" s="4">
        <f t="shared" si="20"/>
        <v>-0.51564799999999877</v>
      </c>
      <c r="D372" s="4">
        <f t="shared" si="18"/>
        <v>14.608939000000007</v>
      </c>
      <c r="E372" s="3">
        <v>57.19</v>
      </c>
      <c r="F372" s="3">
        <v>17.5</v>
      </c>
      <c r="G372" s="3">
        <v>119.782324</v>
      </c>
      <c r="H372" s="4">
        <f t="shared" si="21"/>
        <v>-0.65490399999998772</v>
      </c>
      <c r="I372" s="4">
        <f t="shared" si="19"/>
        <v>15.738352000000006</v>
      </c>
      <c r="J372" s="3">
        <v>57.19</v>
      </c>
      <c r="K372" s="3">
        <v>17.5</v>
      </c>
    </row>
    <row r="373" spans="1:11" x14ac:dyDescent="0.35">
      <c r="A373" s="2">
        <v>40378</v>
      </c>
      <c r="B373" s="3">
        <v>116.84867799999999</v>
      </c>
      <c r="C373" s="4">
        <f t="shared" si="20"/>
        <v>-0.54480300000001591</v>
      </c>
      <c r="D373" s="4">
        <f t="shared" si="18"/>
        <v>14.629241999999991</v>
      </c>
      <c r="E373" s="3">
        <v>57.19</v>
      </c>
      <c r="F373" s="3">
        <v>17.5</v>
      </c>
      <c r="G373" s="3">
        <v>119.23992200000001</v>
      </c>
      <c r="H373" s="4">
        <f t="shared" si="21"/>
        <v>-0.54240199999999561</v>
      </c>
      <c r="I373" s="4">
        <f t="shared" si="19"/>
        <v>16.245138999999995</v>
      </c>
      <c r="J373" s="3">
        <v>57.19</v>
      </c>
      <c r="K373" s="3">
        <v>17.5</v>
      </c>
    </row>
    <row r="374" spans="1:11" x14ac:dyDescent="0.35">
      <c r="A374" s="2">
        <v>40385</v>
      </c>
      <c r="B374" s="3">
        <v>116.61429799999999</v>
      </c>
      <c r="C374" s="4">
        <f t="shared" si="20"/>
        <v>-0.23438000000000159</v>
      </c>
      <c r="D374" s="4">
        <f t="shared" si="18"/>
        <v>14.440365999999983</v>
      </c>
      <c r="E374" s="3">
        <v>57.19</v>
      </c>
      <c r="F374" s="3">
        <v>17.5</v>
      </c>
      <c r="G374" s="3">
        <v>119.025333</v>
      </c>
      <c r="H374" s="4">
        <f t="shared" si="21"/>
        <v>-0.21458900000000369</v>
      </c>
      <c r="I374" s="4">
        <f t="shared" si="19"/>
        <v>16.11953299999999</v>
      </c>
      <c r="J374" s="3">
        <v>57.19</v>
      </c>
      <c r="K374" s="3">
        <v>17.5</v>
      </c>
    </row>
    <row r="375" spans="1:11" x14ac:dyDescent="0.35">
      <c r="A375" s="2">
        <v>40392</v>
      </c>
      <c r="B375" s="3">
        <v>116.50902600000001</v>
      </c>
      <c r="C375" s="4">
        <f t="shared" si="20"/>
        <v>-0.10527199999998516</v>
      </c>
      <c r="D375" s="4">
        <f t="shared" ref="D375:D438" si="22">B375-B323</f>
        <v>14.153695000000013</v>
      </c>
      <c r="E375" s="3">
        <v>57.19</v>
      </c>
      <c r="F375" s="3">
        <v>17.5</v>
      </c>
      <c r="G375" s="3">
        <v>119.028459</v>
      </c>
      <c r="H375" s="4">
        <f t="shared" si="21"/>
        <v>3.1259999999946331E-3</v>
      </c>
      <c r="I375" s="4">
        <f t="shared" ref="I375:I438" si="23">G375-G323</f>
        <v>15.825737000000004</v>
      </c>
      <c r="J375" s="3">
        <v>57.19</v>
      </c>
      <c r="K375" s="3">
        <v>17.5</v>
      </c>
    </row>
    <row r="376" spans="1:11" x14ac:dyDescent="0.35">
      <c r="A376" s="2">
        <v>40399</v>
      </c>
      <c r="B376" s="3">
        <v>116.345645</v>
      </c>
      <c r="C376" s="4">
        <f t="shared" si="20"/>
        <v>-0.16338100000000111</v>
      </c>
      <c r="D376" s="4">
        <f t="shared" si="22"/>
        <v>13.334016000000005</v>
      </c>
      <c r="E376" s="3">
        <v>57.19</v>
      </c>
      <c r="F376" s="3">
        <v>17.5</v>
      </c>
      <c r="G376" s="3">
        <v>118.944106</v>
      </c>
      <c r="H376" s="4">
        <f t="shared" si="21"/>
        <v>-8.4352999999993017E-2</v>
      </c>
      <c r="I376" s="4">
        <f t="shared" si="23"/>
        <v>15.149677999999994</v>
      </c>
      <c r="J376" s="3">
        <v>57.19</v>
      </c>
      <c r="K376" s="3">
        <v>17.5</v>
      </c>
    </row>
    <row r="377" spans="1:11" x14ac:dyDescent="0.35">
      <c r="A377" s="2">
        <v>40406</v>
      </c>
      <c r="B377" s="3">
        <v>116.337238</v>
      </c>
      <c r="C377" s="4">
        <f t="shared" si="20"/>
        <v>-8.4070000000053824E-3</v>
      </c>
      <c r="D377" s="4">
        <f t="shared" si="22"/>
        <v>12.381843000000003</v>
      </c>
      <c r="E377" s="3">
        <v>57.19</v>
      </c>
      <c r="F377" s="3">
        <v>17.5</v>
      </c>
      <c r="G377" s="3">
        <v>118.786676</v>
      </c>
      <c r="H377" s="4">
        <f t="shared" si="21"/>
        <v>-0.15743000000000507</v>
      </c>
      <c r="I377" s="4">
        <f t="shared" si="23"/>
        <v>14.336949000000004</v>
      </c>
      <c r="J377" s="3">
        <v>57.19</v>
      </c>
      <c r="K377" s="3">
        <v>17.5</v>
      </c>
    </row>
    <row r="378" spans="1:11" x14ac:dyDescent="0.35">
      <c r="A378" s="2">
        <v>40413</v>
      </c>
      <c r="B378" s="3">
        <v>115.64259799999999</v>
      </c>
      <c r="C378" s="4">
        <f t="shared" si="20"/>
        <v>-0.69464000000000681</v>
      </c>
      <c r="D378" s="4">
        <f t="shared" si="22"/>
        <v>10.944018</v>
      </c>
      <c r="E378" s="3">
        <v>57.19</v>
      </c>
      <c r="F378" s="3">
        <v>17.5</v>
      </c>
      <c r="G378" s="3">
        <v>117.90044499999999</v>
      </c>
      <c r="H378" s="4">
        <f t="shared" si="21"/>
        <v>-0.88623100000000932</v>
      </c>
      <c r="I378" s="4">
        <f t="shared" si="23"/>
        <v>12.790573999999992</v>
      </c>
      <c r="J378" s="3">
        <v>57.19</v>
      </c>
      <c r="K378" s="3">
        <v>17.5</v>
      </c>
    </row>
    <row r="379" spans="1:11" x14ac:dyDescent="0.35">
      <c r="A379" s="2">
        <v>40420</v>
      </c>
      <c r="B379" s="3">
        <v>114.98343899999999</v>
      </c>
      <c r="C379" s="4">
        <f t="shared" si="20"/>
        <v>-0.65915900000000249</v>
      </c>
      <c r="D379" s="4">
        <f t="shared" si="22"/>
        <v>9.8734829999999789</v>
      </c>
      <c r="E379" s="3">
        <v>57.19</v>
      </c>
      <c r="F379" s="3">
        <v>17.5</v>
      </c>
      <c r="G379" s="3">
        <v>117.370968</v>
      </c>
      <c r="H379" s="4">
        <f t="shared" si="21"/>
        <v>-0.52947699999998576</v>
      </c>
      <c r="I379" s="4">
        <f t="shared" si="23"/>
        <v>11.869940000000014</v>
      </c>
      <c r="J379" s="3">
        <v>57.19</v>
      </c>
      <c r="K379" s="3">
        <v>17.5</v>
      </c>
    </row>
    <row r="380" spans="1:11" x14ac:dyDescent="0.35">
      <c r="A380" s="2">
        <v>40427</v>
      </c>
      <c r="B380" s="3">
        <v>114.59094599999999</v>
      </c>
      <c r="C380" s="4">
        <f t="shared" si="20"/>
        <v>-0.39249300000000176</v>
      </c>
      <c r="D380" s="4">
        <f t="shared" si="22"/>
        <v>7.7407119999999878</v>
      </c>
      <c r="E380" s="3">
        <v>57.19</v>
      </c>
      <c r="F380" s="3">
        <v>17.5</v>
      </c>
      <c r="G380" s="3">
        <v>117.088216</v>
      </c>
      <c r="H380" s="4">
        <f t="shared" si="21"/>
        <v>-0.28275200000000211</v>
      </c>
      <c r="I380" s="4">
        <f t="shared" si="23"/>
        <v>9.7880560000000116</v>
      </c>
      <c r="J380" s="3">
        <v>57.19</v>
      </c>
      <c r="K380" s="3">
        <v>17.5</v>
      </c>
    </row>
    <row r="381" spans="1:11" x14ac:dyDescent="0.35">
      <c r="A381" s="2">
        <v>40434</v>
      </c>
      <c r="B381" s="3">
        <v>114.656544</v>
      </c>
      <c r="C381" s="4">
        <f t="shared" si="20"/>
        <v>6.5598000000008483E-2</v>
      </c>
      <c r="D381" s="4">
        <f t="shared" si="22"/>
        <v>8.2246099999999984</v>
      </c>
      <c r="E381" s="3">
        <v>57.19</v>
      </c>
      <c r="F381" s="3">
        <v>17.5</v>
      </c>
      <c r="G381" s="3">
        <v>117.17352400000001</v>
      </c>
      <c r="H381" s="4">
        <f t="shared" si="21"/>
        <v>8.530800000001193E-2</v>
      </c>
      <c r="I381" s="4">
        <f t="shared" si="23"/>
        <v>10.085645999999997</v>
      </c>
      <c r="J381" s="3">
        <v>57.19</v>
      </c>
      <c r="K381" s="3">
        <v>17.5</v>
      </c>
    </row>
    <row r="382" spans="1:11" x14ac:dyDescent="0.35">
      <c r="A382" s="2">
        <v>40441</v>
      </c>
      <c r="B382" s="3">
        <v>115.06469100000001</v>
      </c>
      <c r="C382" s="4">
        <f t="shared" si="20"/>
        <v>0.4081470000000138</v>
      </c>
      <c r="D382" s="4">
        <f t="shared" si="22"/>
        <v>9.1085669999999936</v>
      </c>
      <c r="E382" s="3">
        <v>57.19</v>
      </c>
      <c r="F382" s="3">
        <v>17.5</v>
      </c>
      <c r="G382" s="3">
        <v>117.719341</v>
      </c>
      <c r="H382" s="4">
        <f t="shared" si="21"/>
        <v>0.54581699999998534</v>
      </c>
      <c r="I382" s="4">
        <f t="shared" si="23"/>
        <v>10.927360999999991</v>
      </c>
      <c r="J382" s="3">
        <v>57.19</v>
      </c>
      <c r="K382" s="3">
        <v>17.5</v>
      </c>
    </row>
    <row r="383" spans="1:11" x14ac:dyDescent="0.35">
      <c r="A383" s="2">
        <v>40448</v>
      </c>
      <c r="B383" s="3">
        <v>115.394465</v>
      </c>
      <c r="C383" s="4">
        <f t="shared" si="20"/>
        <v>0.32977399999998624</v>
      </c>
      <c r="D383" s="4">
        <f t="shared" si="22"/>
        <v>9.957548999999986</v>
      </c>
      <c r="E383" s="3">
        <v>57.19</v>
      </c>
      <c r="F383" s="3">
        <v>17.5</v>
      </c>
      <c r="G383" s="3">
        <v>118.10556099999999</v>
      </c>
      <c r="H383" s="4">
        <f t="shared" si="21"/>
        <v>0.38621999999999446</v>
      </c>
      <c r="I383" s="4">
        <f t="shared" si="23"/>
        <v>11.714479999999995</v>
      </c>
      <c r="J383" s="3">
        <v>57.19</v>
      </c>
      <c r="K383" s="3">
        <v>17.5</v>
      </c>
    </row>
    <row r="384" spans="1:11" x14ac:dyDescent="0.35">
      <c r="A384" s="2">
        <v>40455</v>
      </c>
      <c r="B384" s="3">
        <v>116.01308499999999</v>
      </c>
      <c r="C384" s="4">
        <f t="shared" si="20"/>
        <v>0.61861999999999284</v>
      </c>
      <c r="D384" s="4">
        <f t="shared" si="22"/>
        <v>11.14562699999999</v>
      </c>
      <c r="E384" s="3">
        <v>58.19</v>
      </c>
      <c r="F384" s="3">
        <v>17.5</v>
      </c>
      <c r="G384" s="3">
        <v>118.970308</v>
      </c>
      <c r="H384" s="4">
        <f t="shared" si="21"/>
        <v>0.86474700000000837</v>
      </c>
      <c r="I384" s="4">
        <f t="shared" si="23"/>
        <v>13.122799999999998</v>
      </c>
      <c r="J384" s="3">
        <v>58.19</v>
      </c>
      <c r="K384" s="3">
        <v>17.5</v>
      </c>
    </row>
    <row r="385" spans="1:11" x14ac:dyDescent="0.35">
      <c r="A385" s="2">
        <v>40462</v>
      </c>
      <c r="B385" s="3">
        <v>116.78295899999999</v>
      </c>
      <c r="C385" s="4">
        <f t="shared" si="20"/>
        <v>0.7698740000000015</v>
      </c>
      <c r="D385" s="4">
        <f t="shared" si="22"/>
        <v>12.070257999999981</v>
      </c>
      <c r="E385" s="3">
        <v>58.19</v>
      </c>
      <c r="F385" s="3">
        <v>17.5</v>
      </c>
      <c r="G385" s="3">
        <v>119.773901</v>
      </c>
      <c r="H385" s="4">
        <f t="shared" si="21"/>
        <v>0.80359299999999223</v>
      </c>
      <c r="I385" s="4">
        <f t="shared" si="23"/>
        <v>14.085791</v>
      </c>
      <c r="J385" s="3">
        <v>58.19</v>
      </c>
      <c r="K385" s="3">
        <v>17.5</v>
      </c>
    </row>
    <row r="386" spans="1:11" x14ac:dyDescent="0.35">
      <c r="A386" s="2">
        <v>40469</v>
      </c>
      <c r="B386" s="3">
        <v>117.283602</v>
      </c>
      <c r="C386" s="4">
        <f t="shared" si="20"/>
        <v>0.50064300000001083</v>
      </c>
      <c r="D386" s="4">
        <f t="shared" si="22"/>
        <v>12.199219999999997</v>
      </c>
      <c r="E386" s="3">
        <v>58.19</v>
      </c>
      <c r="F386" s="3">
        <v>17.5</v>
      </c>
      <c r="G386" s="3">
        <v>120.603211</v>
      </c>
      <c r="H386" s="4">
        <f t="shared" si="21"/>
        <v>0.82931000000000665</v>
      </c>
      <c r="I386" s="4">
        <f t="shared" si="23"/>
        <v>14.323317000000017</v>
      </c>
      <c r="J386" s="3">
        <v>58.19</v>
      </c>
      <c r="K386" s="3">
        <v>17.5</v>
      </c>
    </row>
    <row r="387" spans="1:11" x14ac:dyDescent="0.35">
      <c r="A387" s="2">
        <v>40476</v>
      </c>
      <c r="B387" s="3">
        <v>117.73926400000002</v>
      </c>
      <c r="C387" s="4">
        <f t="shared" ref="C387:C450" si="24">B387-B386</f>
        <v>0.455662000000018</v>
      </c>
      <c r="D387" s="4">
        <f t="shared" si="22"/>
        <v>10.983391000000012</v>
      </c>
      <c r="E387" s="3">
        <v>58.19</v>
      </c>
      <c r="F387" s="3">
        <v>17.5</v>
      </c>
      <c r="G387" s="3">
        <v>121.17402199999999</v>
      </c>
      <c r="H387" s="4">
        <f t="shared" ref="H387:H450" si="25">G387-G386</f>
        <v>0.57081099999999196</v>
      </c>
      <c r="I387" s="4">
        <f t="shared" si="23"/>
        <v>13.39561599999999</v>
      </c>
      <c r="J387" s="3">
        <v>58.19</v>
      </c>
      <c r="K387" s="3">
        <v>17.5</v>
      </c>
    </row>
    <row r="388" spans="1:11" x14ac:dyDescent="0.35">
      <c r="A388" s="2">
        <v>40483</v>
      </c>
      <c r="B388" s="3">
        <v>118.17751500000001</v>
      </c>
      <c r="C388" s="4">
        <f t="shared" si="24"/>
        <v>0.43825099999999395</v>
      </c>
      <c r="D388" s="4">
        <f t="shared" si="22"/>
        <v>10.746057000000008</v>
      </c>
      <c r="E388" s="3">
        <v>58.19</v>
      </c>
      <c r="F388" s="3">
        <v>17.5</v>
      </c>
      <c r="G388" s="3">
        <v>121.66444199999999</v>
      </c>
      <c r="H388" s="4">
        <f t="shared" si="25"/>
        <v>0.4904200000000003</v>
      </c>
      <c r="I388" s="4">
        <f t="shared" si="23"/>
        <v>13.154248999999993</v>
      </c>
      <c r="J388" s="3">
        <v>58.19</v>
      </c>
      <c r="K388" s="3">
        <v>17.5</v>
      </c>
    </row>
    <row r="389" spans="1:11" x14ac:dyDescent="0.35">
      <c r="A389" s="2">
        <v>40490</v>
      </c>
      <c r="B389" s="3">
        <v>118.671395</v>
      </c>
      <c r="C389" s="4">
        <f t="shared" si="24"/>
        <v>0.4938799999999901</v>
      </c>
      <c r="D389" s="4">
        <f t="shared" si="22"/>
        <v>10.571316999999993</v>
      </c>
      <c r="E389" s="3">
        <v>58.19</v>
      </c>
      <c r="F389" s="3">
        <v>17.5</v>
      </c>
      <c r="G389" s="3">
        <v>122.19178500000001</v>
      </c>
      <c r="H389" s="4">
        <f t="shared" si="25"/>
        <v>0.5273430000000161</v>
      </c>
      <c r="I389" s="4">
        <f t="shared" si="23"/>
        <v>12.839890000000011</v>
      </c>
      <c r="J389" s="3">
        <v>58.19</v>
      </c>
      <c r="K389" s="3">
        <v>17.5</v>
      </c>
    </row>
    <row r="390" spans="1:11" x14ac:dyDescent="0.35">
      <c r="A390" s="2">
        <v>40497</v>
      </c>
      <c r="B390" s="3">
        <v>118.797061</v>
      </c>
      <c r="C390" s="4">
        <f t="shared" si="24"/>
        <v>0.12566599999999539</v>
      </c>
      <c r="D390" s="4">
        <f t="shared" si="22"/>
        <v>10.313165999999995</v>
      </c>
      <c r="E390" s="3">
        <v>58.19</v>
      </c>
      <c r="F390" s="3">
        <v>17.5</v>
      </c>
      <c r="G390" s="3">
        <v>122.505723</v>
      </c>
      <c r="H390" s="4">
        <f t="shared" si="25"/>
        <v>0.31393799999999317</v>
      </c>
      <c r="I390" s="4">
        <f t="shared" si="23"/>
        <v>12.860366999999997</v>
      </c>
      <c r="J390" s="3">
        <v>58.19</v>
      </c>
      <c r="K390" s="3">
        <v>17.5</v>
      </c>
    </row>
    <row r="391" spans="1:11" x14ac:dyDescent="0.35">
      <c r="A391" s="2">
        <v>40504</v>
      </c>
      <c r="B391" s="3">
        <v>118.98856600000001</v>
      </c>
      <c r="C391" s="4">
        <f t="shared" si="24"/>
        <v>0.19150500000000648</v>
      </c>
      <c r="D391" s="4">
        <f t="shared" si="22"/>
        <v>10.255155999999999</v>
      </c>
      <c r="E391" s="3">
        <v>58.19</v>
      </c>
      <c r="F391" s="3">
        <v>17.5</v>
      </c>
      <c r="G391" s="3">
        <v>122.74464400000001</v>
      </c>
      <c r="H391" s="4">
        <f t="shared" si="25"/>
        <v>0.23892100000000482</v>
      </c>
      <c r="I391" s="4">
        <f t="shared" si="23"/>
        <v>12.872769000000005</v>
      </c>
      <c r="J391" s="3">
        <v>58.19</v>
      </c>
      <c r="K391" s="3">
        <v>17.5</v>
      </c>
    </row>
    <row r="392" spans="1:11" x14ac:dyDescent="0.35">
      <c r="A392" s="2">
        <v>40511</v>
      </c>
      <c r="B392" s="3">
        <v>119.207667</v>
      </c>
      <c r="C392" s="4">
        <f t="shared" si="24"/>
        <v>0.21910099999999488</v>
      </c>
      <c r="D392" s="4">
        <f t="shared" si="22"/>
        <v>10.415506000000008</v>
      </c>
      <c r="E392" s="3">
        <v>58.19</v>
      </c>
      <c r="F392" s="3">
        <v>17.5</v>
      </c>
      <c r="G392" s="3">
        <v>123.200039</v>
      </c>
      <c r="H392" s="4">
        <f t="shared" si="25"/>
        <v>0.45539499999999578</v>
      </c>
      <c r="I392" s="4">
        <f t="shared" si="23"/>
        <v>13.21425099999999</v>
      </c>
      <c r="J392" s="3">
        <v>58.19</v>
      </c>
      <c r="K392" s="3">
        <v>17.5</v>
      </c>
    </row>
    <row r="393" spans="1:11" x14ac:dyDescent="0.35">
      <c r="A393" s="2">
        <v>40518</v>
      </c>
      <c r="B393" s="3">
        <v>120.541506</v>
      </c>
      <c r="C393" s="4">
        <f t="shared" si="24"/>
        <v>1.3338389999999976</v>
      </c>
      <c r="D393" s="4">
        <f t="shared" si="22"/>
        <v>11.904077000000001</v>
      </c>
      <c r="E393" s="3">
        <v>58.19</v>
      </c>
      <c r="F393" s="3">
        <v>17.5</v>
      </c>
      <c r="G393" s="3">
        <v>124.61784</v>
      </c>
      <c r="H393" s="4">
        <f t="shared" si="25"/>
        <v>1.4178009999999972</v>
      </c>
      <c r="I393" s="4">
        <f t="shared" si="23"/>
        <v>14.745857999999998</v>
      </c>
      <c r="J393" s="3">
        <v>58.19</v>
      </c>
      <c r="K393" s="3">
        <v>17.5</v>
      </c>
    </row>
    <row r="394" spans="1:11" x14ac:dyDescent="0.35">
      <c r="A394" s="2">
        <v>40525</v>
      </c>
      <c r="B394" s="3">
        <v>121.681916</v>
      </c>
      <c r="C394" s="4">
        <f t="shared" si="24"/>
        <v>1.1404100000000028</v>
      </c>
      <c r="D394" s="4">
        <f t="shared" si="22"/>
        <v>13.184547000000009</v>
      </c>
      <c r="E394" s="3">
        <v>58.19</v>
      </c>
      <c r="F394" s="3">
        <v>17.5</v>
      </c>
      <c r="G394" s="3">
        <v>125.774781</v>
      </c>
      <c r="H394" s="4">
        <f t="shared" si="25"/>
        <v>1.1569410000000033</v>
      </c>
      <c r="I394" s="4">
        <f t="shared" si="23"/>
        <v>16.206495000000004</v>
      </c>
      <c r="J394" s="3">
        <v>58.19</v>
      </c>
      <c r="K394" s="3">
        <v>17.5</v>
      </c>
    </row>
    <row r="395" spans="1:11" x14ac:dyDescent="0.35">
      <c r="A395" s="2">
        <v>40532</v>
      </c>
      <c r="B395" s="3">
        <v>122.309134</v>
      </c>
      <c r="C395" s="4">
        <f t="shared" si="24"/>
        <v>0.62721799999999917</v>
      </c>
      <c r="D395" s="4">
        <f t="shared" si="22"/>
        <v>14.843063000000001</v>
      </c>
      <c r="E395" s="3">
        <v>58.19</v>
      </c>
      <c r="F395" s="3">
        <v>17.5</v>
      </c>
      <c r="G395" s="3">
        <v>126.52223799999999</v>
      </c>
      <c r="H395" s="4">
        <f t="shared" si="25"/>
        <v>0.74745699999998294</v>
      </c>
      <c r="I395" s="4">
        <f t="shared" si="23"/>
        <v>17.395864999999986</v>
      </c>
      <c r="J395" s="3">
        <v>58.19</v>
      </c>
      <c r="K395" s="3">
        <v>17.5</v>
      </c>
    </row>
    <row r="396" spans="1:11" x14ac:dyDescent="0.35">
      <c r="A396" s="2">
        <v>40539</v>
      </c>
      <c r="B396" s="3">
        <v>123.441238</v>
      </c>
      <c r="C396" s="4">
        <f t="shared" si="24"/>
        <v>1.1321039999999982</v>
      </c>
      <c r="D396" s="4">
        <f t="shared" si="22"/>
        <v>15.998196000000007</v>
      </c>
      <c r="E396" s="3">
        <v>58.19</v>
      </c>
      <c r="F396" s="3">
        <v>17.5</v>
      </c>
      <c r="G396" s="3">
        <v>127.68028</v>
      </c>
      <c r="H396" s="4">
        <f t="shared" si="25"/>
        <v>1.1580420000000089</v>
      </c>
      <c r="I396" s="4">
        <f t="shared" si="23"/>
        <v>18.508398999999997</v>
      </c>
      <c r="J396" s="3">
        <v>58.19</v>
      </c>
      <c r="K396" s="3">
        <v>17.5</v>
      </c>
    </row>
    <row r="397" spans="1:11" x14ac:dyDescent="0.35">
      <c r="A397" s="2">
        <v>40546</v>
      </c>
      <c r="B397" s="3">
        <v>124.85238899999999</v>
      </c>
      <c r="C397" s="4">
        <f t="shared" si="24"/>
        <v>1.4111509999999896</v>
      </c>
      <c r="D397" s="4">
        <f t="shared" si="22"/>
        <v>15.511944999999997</v>
      </c>
      <c r="E397" s="3">
        <v>58.95</v>
      </c>
      <c r="F397" s="3">
        <v>17.5</v>
      </c>
      <c r="G397" s="3">
        <v>129.111593</v>
      </c>
      <c r="H397" s="4">
        <f t="shared" si="25"/>
        <v>1.4313130000000029</v>
      </c>
      <c r="I397" s="4">
        <f t="shared" si="23"/>
        <v>18.035855999999995</v>
      </c>
      <c r="J397" s="3">
        <v>58.95</v>
      </c>
      <c r="K397" s="3">
        <v>17.5</v>
      </c>
    </row>
    <row r="398" spans="1:11" x14ac:dyDescent="0.35">
      <c r="A398" s="2">
        <v>40553</v>
      </c>
      <c r="B398" s="3">
        <v>127.398126</v>
      </c>
      <c r="C398" s="4">
        <f t="shared" si="24"/>
        <v>2.5457370000000168</v>
      </c>
      <c r="D398" s="4">
        <f t="shared" si="22"/>
        <v>16.675804999999997</v>
      </c>
      <c r="E398" s="3">
        <v>58.95</v>
      </c>
      <c r="F398" s="3">
        <v>20</v>
      </c>
      <c r="G398" s="3">
        <v>131.59642199999999</v>
      </c>
      <c r="H398" s="4">
        <f t="shared" si="25"/>
        <v>2.4848289999999906</v>
      </c>
      <c r="I398" s="4">
        <f t="shared" si="23"/>
        <v>19.003277999999995</v>
      </c>
      <c r="J398" s="3">
        <v>58.95</v>
      </c>
      <c r="K398" s="3">
        <v>20</v>
      </c>
    </row>
    <row r="399" spans="1:11" x14ac:dyDescent="0.35">
      <c r="A399" s="2">
        <v>40560</v>
      </c>
      <c r="B399" s="3">
        <v>127.87220300000001</v>
      </c>
      <c r="C399" s="4">
        <f t="shared" si="24"/>
        <v>0.4740770000000083</v>
      </c>
      <c r="D399" s="4">
        <f t="shared" si="22"/>
        <v>16.27033800000001</v>
      </c>
      <c r="E399" s="3">
        <v>58.95</v>
      </c>
      <c r="F399" s="3">
        <v>20</v>
      </c>
      <c r="G399" s="3">
        <v>132.32541749999999</v>
      </c>
      <c r="H399" s="4">
        <f t="shared" si="25"/>
        <v>0.72899549999999635</v>
      </c>
      <c r="I399" s="4">
        <f t="shared" si="23"/>
        <v>18.936306500000001</v>
      </c>
      <c r="J399" s="3">
        <v>58.95</v>
      </c>
      <c r="K399" s="3">
        <v>20</v>
      </c>
    </row>
    <row r="400" spans="1:11" x14ac:dyDescent="0.35">
      <c r="A400" s="2">
        <v>40567</v>
      </c>
      <c r="B400" s="3">
        <v>128.352261</v>
      </c>
      <c r="C400" s="4">
        <f t="shared" si="24"/>
        <v>0.48005799999998544</v>
      </c>
      <c r="D400" s="4">
        <f t="shared" si="22"/>
        <v>16.486606999999978</v>
      </c>
      <c r="E400" s="3">
        <v>58.95</v>
      </c>
      <c r="F400" s="3">
        <v>20</v>
      </c>
      <c r="G400" s="3">
        <v>132.997274</v>
      </c>
      <c r="H400" s="4">
        <f t="shared" si="25"/>
        <v>0.67185650000001829</v>
      </c>
      <c r="I400" s="4">
        <f t="shared" si="23"/>
        <v>19.286138000000008</v>
      </c>
      <c r="J400" s="3">
        <v>58.95</v>
      </c>
      <c r="K400" s="3">
        <v>20</v>
      </c>
    </row>
    <row r="401" spans="1:11" x14ac:dyDescent="0.35">
      <c r="A401" s="2">
        <v>40574</v>
      </c>
      <c r="B401" s="3">
        <v>128.547955</v>
      </c>
      <c r="C401" s="4">
        <f t="shared" si="24"/>
        <v>0.19569400000000314</v>
      </c>
      <c r="D401" s="4">
        <f t="shared" si="22"/>
        <v>16.642333000000008</v>
      </c>
      <c r="E401" s="3">
        <v>58.95</v>
      </c>
      <c r="F401" s="3">
        <v>20</v>
      </c>
      <c r="G401" s="3">
        <v>133.25377850000001</v>
      </c>
      <c r="H401" s="4">
        <f t="shared" si="25"/>
        <v>0.25650450000000546</v>
      </c>
      <c r="I401" s="4">
        <f t="shared" si="23"/>
        <v>19.504814499999995</v>
      </c>
      <c r="J401" s="3">
        <v>58.95</v>
      </c>
      <c r="K401" s="3">
        <v>20</v>
      </c>
    </row>
    <row r="402" spans="1:11" x14ac:dyDescent="0.35">
      <c r="A402" s="2">
        <v>40581</v>
      </c>
      <c r="B402" s="3">
        <v>128.63559800000002</v>
      </c>
      <c r="C402" s="4">
        <f t="shared" si="24"/>
        <v>8.7643000000014126E-2</v>
      </c>
      <c r="D402" s="4">
        <f t="shared" si="22"/>
        <v>16.685457000000028</v>
      </c>
      <c r="E402" s="3">
        <v>58.95</v>
      </c>
      <c r="F402" s="3">
        <v>20</v>
      </c>
      <c r="G402" s="3">
        <v>133.47334549999999</v>
      </c>
      <c r="H402" s="4">
        <f t="shared" si="25"/>
        <v>0.21956699999998364</v>
      </c>
      <c r="I402" s="4">
        <f t="shared" si="23"/>
        <v>19.683071499999997</v>
      </c>
      <c r="J402" s="3">
        <v>58.95</v>
      </c>
      <c r="K402" s="3">
        <v>20</v>
      </c>
    </row>
    <row r="403" spans="1:11" x14ac:dyDescent="0.35">
      <c r="A403" s="2">
        <v>40588</v>
      </c>
      <c r="B403" s="3">
        <v>128.725403</v>
      </c>
      <c r="C403" s="4">
        <f t="shared" si="24"/>
        <v>8.9804999999984148E-2</v>
      </c>
      <c r="D403" s="4">
        <f t="shared" si="22"/>
        <v>16.832499999999996</v>
      </c>
      <c r="E403" s="3">
        <v>58.95</v>
      </c>
      <c r="F403" s="3">
        <v>20</v>
      </c>
      <c r="G403" s="3">
        <v>133.71364250000002</v>
      </c>
      <c r="H403" s="4">
        <f t="shared" si="25"/>
        <v>0.24029700000002663</v>
      </c>
      <c r="I403" s="4">
        <f t="shared" si="23"/>
        <v>20.034718500000025</v>
      </c>
      <c r="J403" s="3">
        <v>58.95</v>
      </c>
      <c r="K403" s="3">
        <v>20</v>
      </c>
    </row>
    <row r="404" spans="1:11" x14ac:dyDescent="0.35">
      <c r="A404" s="2">
        <v>40595</v>
      </c>
      <c r="B404" s="3">
        <v>128.91914499999999</v>
      </c>
      <c r="C404" s="4">
        <f t="shared" si="24"/>
        <v>0.19374199999998609</v>
      </c>
      <c r="D404" s="4">
        <f t="shared" si="22"/>
        <v>17.35428899999998</v>
      </c>
      <c r="E404" s="3">
        <v>58.95</v>
      </c>
      <c r="F404" s="3">
        <v>20</v>
      </c>
      <c r="G404" s="3">
        <v>134.04030500000002</v>
      </c>
      <c r="H404" s="4">
        <f t="shared" si="25"/>
        <v>0.32666249999999764</v>
      </c>
      <c r="I404" s="4">
        <f t="shared" si="23"/>
        <v>21.282058000000006</v>
      </c>
      <c r="J404" s="3">
        <v>58.95</v>
      </c>
      <c r="K404" s="3">
        <v>20</v>
      </c>
    </row>
    <row r="405" spans="1:11" x14ac:dyDescent="0.35">
      <c r="A405" s="2">
        <v>40602</v>
      </c>
      <c r="B405" s="3">
        <v>129.724965</v>
      </c>
      <c r="C405" s="4">
        <f t="shared" si="24"/>
        <v>0.80582000000001131</v>
      </c>
      <c r="D405" s="4">
        <f t="shared" si="22"/>
        <v>17.307622000000009</v>
      </c>
      <c r="E405" s="3">
        <v>58.95</v>
      </c>
      <c r="F405" s="3">
        <v>20</v>
      </c>
      <c r="G405" s="3">
        <v>135.05562849999998</v>
      </c>
      <c r="H405" s="4">
        <f t="shared" si="25"/>
        <v>1.0153234999999654</v>
      </c>
      <c r="I405" s="4">
        <f t="shared" si="23"/>
        <v>21.648280499999984</v>
      </c>
      <c r="J405" s="3">
        <v>58.95</v>
      </c>
      <c r="K405" s="3">
        <v>20</v>
      </c>
    </row>
    <row r="406" spans="1:11" x14ac:dyDescent="0.35">
      <c r="A406" s="2">
        <v>40609</v>
      </c>
      <c r="B406" s="3">
        <v>131.28181700000002</v>
      </c>
      <c r="C406" s="4">
        <f t="shared" si="24"/>
        <v>1.5568520000000206</v>
      </c>
      <c r="D406" s="4">
        <f t="shared" si="22"/>
        <v>17.570072999999994</v>
      </c>
      <c r="E406" s="3">
        <v>58.95</v>
      </c>
      <c r="F406" s="3">
        <v>20</v>
      </c>
      <c r="G406" s="3">
        <v>136.89818500000001</v>
      </c>
      <c r="H406" s="4">
        <f t="shared" si="25"/>
        <v>1.842556500000029</v>
      </c>
      <c r="I406" s="4">
        <f t="shared" si="23"/>
        <v>22.214569000000012</v>
      </c>
      <c r="J406" s="3">
        <v>58.95</v>
      </c>
      <c r="K406" s="3">
        <v>20</v>
      </c>
    </row>
    <row r="407" spans="1:11" x14ac:dyDescent="0.35">
      <c r="A407" s="2">
        <v>40616</v>
      </c>
      <c r="B407" s="3">
        <v>132.17616599999997</v>
      </c>
      <c r="C407" s="4">
        <f t="shared" si="24"/>
        <v>0.89434899999994855</v>
      </c>
      <c r="D407" s="4">
        <f t="shared" si="22"/>
        <v>16.717978999999971</v>
      </c>
      <c r="E407" s="3">
        <v>58.95</v>
      </c>
      <c r="F407" s="3">
        <v>20</v>
      </c>
      <c r="G407" s="3">
        <v>138.24864149999999</v>
      </c>
      <c r="H407" s="4">
        <f t="shared" si="25"/>
        <v>1.3504564999999786</v>
      </c>
      <c r="I407" s="4">
        <f t="shared" si="23"/>
        <v>22.038759499999998</v>
      </c>
      <c r="J407" s="3">
        <v>58.95</v>
      </c>
      <c r="K407" s="3">
        <v>20</v>
      </c>
    </row>
    <row r="408" spans="1:11" x14ac:dyDescent="0.35">
      <c r="A408" s="2">
        <v>40623</v>
      </c>
      <c r="B408" s="3">
        <v>133.10945899999999</v>
      </c>
      <c r="C408" s="4">
        <f t="shared" si="24"/>
        <v>0.93329300000002036</v>
      </c>
      <c r="D408" s="4">
        <f t="shared" si="22"/>
        <v>16.518500999999986</v>
      </c>
      <c r="E408" s="3">
        <v>58.95</v>
      </c>
      <c r="F408" s="3">
        <v>20</v>
      </c>
      <c r="G408" s="3">
        <v>139.53348099999999</v>
      </c>
      <c r="H408" s="4">
        <f t="shared" si="25"/>
        <v>1.2848395000000039</v>
      </c>
      <c r="I408" s="4">
        <f t="shared" si="23"/>
        <v>22.250492999999992</v>
      </c>
      <c r="J408" s="3">
        <v>58.95</v>
      </c>
      <c r="K408" s="3">
        <v>20</v>
      </c>
    </row>
    <row r="409" spans="1:11" x14ac:dyDescent="0.35">
      <c r="A409" s="2">
        <v>40630</v>
      </c>
      <c r="B409" s="3">
        <v>132.43715099999997</v>
      </c>
      <c r="C409" s="4">
        <f t="shared" si="24"/>
        <v>-0.67230800000001523</v>
      </c>
      <c r="D409" s="4">
        <f t="shared" si="22"/>
        <v>15.155299999999954</v>
      </c>
      <c r="E409" s="3">
        <v>57.95</v>
      </c>
      <c r="F409" s="3">
        <v>20</v>
      </c>
      <c r="G409" s="3">
        <v>139.03752600000001</v>
      </c>
      <c r="H409" s="4">
        <f t="shared" si="25"/>
        <v>-0.49595499999998083</v>
      </c>
      <c r="I409" s="4">
        <f t="shared" si="23"/>
        <v>20.830960000000019</v>
      </c>
      <c r="J409" s="3">
        <v>57.95</v>
      </c>
      <c r="K409" s="3">
        <v>20</v>
      </c>
    </row>
    <row r="410" spans="1:11" x14ac:dyDescent="0.35">
      <c r="A410" s="2">
        <v>40637</v>
      </c>
      <c r="B410" s="3">
        <v>132.80587599999998</v>
      </c>
      <c r="C410" s="4">
        <f t="shared" si="24"/>
        <v>0.36872500000001196</v>
      </c>
      <c r="D410" s="4">
        <f t="shared" si="22"/>
        <v>13.519822999999988</v>
      </c>
      <c r="E410" s="3">
        <v>57.95</v>
      </c>
      <c r="F410" s="3">
        <v>20</v>
      </c>
      <c r="G410" s="3">
        <v>139.45921099999998</v>
      </c>
      <c r="H410" s="4">
        <f t="shared" si="25"/>
        <v>0.42168499999996811</v>
      </c>
      <c r="I410" s="4">
        <f t="shared" si="23"/>
        <v>19.369723999999977</v>
      </c>
      <c r="J410" s="3">
        <v>57.95</v>
      </c>
      <c r="K410" s="3">
        <v>20</v>
      </c>
    </row>
    <row r="411" spans="1:11" x14ac:dyDescent="0.35">
      <c r="A411" s="2">
        <v>40644</v>
      </c>
      <c r="B411" s="3">
        <v>133.68282400000001</v>
      </c>
      <c r="C411" s="4">
        <f t="shared" si="24"/>
        <v>0.87694800000002715</v>
      </c>
      <c r="D411" s="4">
        <f t="shared" si="22"/>
        <v>13.740528999999995</v>
      </c>
      <c r="E411" s="3">
        <v>57.95</v>
      </c>
      <c r="F411" s="3">
        <v>20</v>
      </c>
      <c r="G411" s="3">
        <v>140.33065300000001</v>
      </c>
      <c r="H411" s="4">
        <f t="shared" si="25"/>
        <v>0.87144200000003025</v>
      </c>
      <c r="I411" s="4">
        <f t="shared" si="23"/>
        <v>19.217559000000023</v>
      </c>
      <c r="J411" s="3">
        <v>57.95</v>
      </c>
      <c r="K411" s="3">
        <v>20</v>
      </c>
    </row>
    <row r="412" spans="1:11" x14ac:dyDescent="0.35">
      <c r="A412" s="2">
        <v>40651</v>
      </c>
      <c r="B412" s="3">
        <v>135.06098600000001</v>
      </c>
      <c r="C412" s="4">
        <f t="shared" si="24"/>
        <v>1.3781620000000032</v>
      </c>
      <c r="D412" s="4">
        <f t="shared" si="22"/>
        <v>14.50603000000001</v>
      </c>
      <c r="E412" s="3">
        <v>57.95</v>
      </c>
      <c r="F412" s="3">
        <v>20</v>
      </c>
      <c r="G412" s="3">
        <v>141.33983350000003</v>
      </c>
      <c r="H412" s="4">
        <f t="shared" si="25"/>
        <v>1.0091805000000136</v>
      </c>
      <c r="I412" s="4">
        <f t="shared" si="23"/>
        <v>19.596441500000026</v>
      </c>
      <c r="J412" s="3">
        <v>57.95</v>
      </c>
      <c r="K412" s="3">
        <v>20</v>
      </c>
    </row>
    <row r="413" spans="1:11" x14ac:dyDescent="0.35">
      <c r="A413" s="2">
        <v>40658</v>
      </c>
      <c r="B413" s="3">
        <v>135.62120900000002</v>
      </c>
      <c r="C413" s="4">
        <f t="shared" si="24"/>
        <v>0.56022300000000769</v>
      </c>
      <c r="D413" s="4">
        <f t="shared" si="22"/>
        <v>14.634207000000018</v>
      </c>
      <c r="E413" s="3">
        <v>57.95</v>
      </c>
      <c r="F413" s="3">
        <v>20</v>
      </c>
      <c r="G413" s="3">
        <v>142.11112699999998</v>
      </c>
      <c r="H413" s="4">
        <f t="shared" si="25"/>
        <v>0.77129349999995611</v>
      </c>
      <c r="I413" s="4">
        <f t="shared" si="23"/>
        <v>19.802614999999975</v>
      </c>
      <c r="J413" s="3">
        <v>57.95</v>
      </c>
      <c r="K413" s="3">
        <v>20</v>
      </c>
    </row>
    <row r="414" spans="1:11" x14ac:dyDescent="0.35">
      <c r="A414" s="2">
        <v>40665</v>
      </c>
      <c r="B414" s="3">
        <v>136.29419899999999</v>
      </c>
      <c r="C414" s="4">
        <f t="shared" si="24"/>
        <v>0.67298999999997022</v>
      </c>
      <c r="D414" s="4">
        <f t="shared" si="22"/>
        <v>15.110465999999974</v>
      </c>
      <c r="E414" s="3">
        <v>57.95</v>
      </c>
      <c r="F414" s="3">
        <v>20</v>
      </c>
      <c r="G414" s="3">
        <v>142.526949</v>
      </c>
      <c r="H414" s="4">
        <f t="shared" si="25"/>
        <v>0.4158220000000199</v>
      </c>
      <c r="I414" s="4">
        <f t="shared" si="23"/>
        <v>19.845326</v>
      </c>
      <c r="J414" s="3">
        <v>57.95</v>
      </c>
      <c r="K414" s="3">
        <v>20</v>
      </c>
    </row>
    <row r="415" spans="1:11" x14ac:dyDescent="0.35">
      <c r="A415" s="2">
        <v>40672</v>
      </c>
      <c r="B415" s="3">
        <v>137.05266399999999</v>
      </c>
      <c r="C415" s="4">
        <f t="shared" si="24"/>
        <v>0.75846500000000106</v>
      </c>
      <c r="D415" s="4">
        <f t="shared" si="22"/>
        <v>15.742352999999994</v>
      </c>
      <c r="E415" s="3">
        <v>57.95</v>
      </c>
      <c r="F415" s="3">
        <v>20</v>
      </c>
      <c r="G415" s="3">
        <v>143.0594055</v>
      </c>
      <c r="H415" s="4">
        <f t="shared" si="25"/>
        <v>0.532456499999995</v>
      </c>
      <c r="I415" s="4">
        <f t="shared" si="23"/>
        <v>20.242416500000019</v>
      </c>
      <c r="J415" s="3">
        <v>57.95</v>
      </c>
      <c r="K415" s="3">
        <v>20</v>
      </c>
    </row>
    <row r="416" spans="1:11" x14ac:dyDescent="0.35">
      <c r="A416" s="2">
        <v>40679</v>
      </c>
      <c r="B416" s="3">
        <v>136.39863600000001</v>
      </c>
      <c r="C416" s="4">
        <f t="shared" si="24"/>
        <v>-0.65402799999998251</v>
      </c>
      <c r="D416" s="4">
        <f t="shared" si="22"/>
        <v>15.094689000000017</v>
      </c>
      <c r="E416" s="3">
        <v>57.95</v>
      </c>
      <c r="F416" s="3">
        <v>20</v>
      </c>
      <c r="G416" s="3">
        <v>141.49889200000001</v>
      </c>
      <c r="H416" s="4">
        <f t="shared" si="25"/>
        <v>-1.5605134999999848</v>
      </c>
      <c r="I416" s="4">
        <f t="shared" si="23"/>
        <v>18.664949000000021</v>
      </c>
      <c r="J416" s="3">
        <v>57.95</v>
      </c>
      <c r="K416" s="3">
        <v>20</v>
      </c>
    </row>
    <row r="417" spans="1:11" x14ac:dyDescent="0.35">
      <c r="A417" s="2">
        <v>40686</v>
      </c>
      <c r="B417" s="3">
        <v>136.112764</v>
      </c>
      <c r="C417" s="4">
        <f t="shared" si="24"/>
        <v>-0.28587200000001189</v>
      </c>
      <c r="D417" s="4">
        <f t="shared" si="22"/>
        <v>16.187332000000012</v>
      </c>
      <c r="E417" s="3">
        <v>57.95</v>
      </c>
      <c r="F417" s="3">
        <v>20</v>
      </c>
      <c r="G417" s="3">
        <v>140.76737299999999</v>
      </c>
      <c r="H417" s="4">
        <f t="shared" si="25"/>
        <v>-0.73151900000002001</v>
      </c>
      <c r="I417" s="4">
        <f t="shared" si="23"/>
        <v>18.844775999999982</v>
      </c>
      <c r="J417" s="3">
        <v>57.95</v>
      </c>
      <c r="K417" s="3">
        <v>20</v>
      </c>
    </row>
    <row r="418" spans="1:11" x14ac:dyDescent="0.35">
      <c r="A418" s="2">
        <v>40693</v>
      </c>
      <c r="B418" s="3">
        <v>135.56812200000002</v>
      </c>
      <c r="C418" s="4">
        <f t="shared" si="24"/>
        <v>-0.54464199999998186</v>
      </c>
      <c r="D418" s="4">
        <f t="shared" si="22"/>
        <v>17.025129000000021</v>
      </c>
      <c r="E418" s="3">
        <v>57.95</v>
      </c>
      <c r="F418" s="3">
        <v>20</v>
      </c>
      <c r="G418" s="3">
        <v>139.81403599999999</v>
      </c>
      <c r="H418" s="4">
        <f t="shared" si="25"/>
        <v>-0.95333700000000476</v>
      </c>
      <c r="I418" s="4">
        <f t="shared" si="23"/>
        <v>19.057591000000002</v>
      </c>
      <c r="J418" s="3">
        <v>57.95</v>
      </c>
      <c r="K418" s="3">
        <v>20</v>
      </c>
    </row>
    <row r="419" spans="1:11" x14ac:dyDescent="0.35">
      <c r="A419" s="2">
        <v>40700</v>
      </c>
      <c r="B419" s="3">
        <v>135.61502400000001</v>
      </c>
      <c r="C419" s="4">
        <f t="shared" si="24"/>
        <v>4.6901999999988675E-2</v>
      </c>
      <c r="D419" s="4">
        <f t="shared" si="22"/>
        <v>17.410189000000003</v>
      </c>
      <c r="E419" s="3">
        <v>57.95</v>
      </c>
      <c r="F419" s="3">
        <v>20</v>
      </c>
      <c r="G419" s="3">
        <v>139.58264399999999</v>
      </c>
      <c r="H419" s="4">
        <f t="shared" si="25"/>
        <v>-0.2313919999999996</v>
      </c>
      <c r="I419" s="4">
        <f t="shared" si="23"/>
        <v>19.185418999999996</v>
      </c>
      <c r="J419" s="3">
        <v>57.95</v>
      </c>
      <c r="K419" s="3">
        <v>20</v>
      </c>
    </row>
    <row r="420" spans="1:11" x14ac:dyDescent="0.35">
      <c r="A420" s="2">
        <v>40707</v>
      </c>
      <c r="B420" s="3">
        <v>135.85587599999999</v>
      </c>
      <c r="C420" s="4">
        <f t="shared" si="24"/>
        <v>0.24085199999998963</v>
      </c>
      <c r="D420" s="4">
        <f t="shared" si="22"/>
        <v>17.990043999999983</v>
      </c>
      <c r="E420" s="3">
        <v>57.95</v>
      </c>
      <c r="F420" s="3">
        <v>20</v>
      </c>
      <c r="G420" s="3">
        <v>139.7712425</v>
      </c>
      <c r="H420" s="4">
        <f t="shared" si="25"/>
        <v>0.18859850000001188</v>
      </c>
      <c r="I420" s="4">
        <f t="shared" si="23"/>
        <v>19.564046500000003</v>
      </c>
      <c r="J420" s="3">
        <v>57.95</v>
      </c>
      <c r="K420" s="3">
        <v>20</v>
      </c>
    </row>
    <row r="421" spans="1:11" x14ac:dyDescent="0.35">
      <c r="A421" s="2">
        <v>40714</v>
      </c>
      <c r="B421" s="3">
        <v>136.026138</v>
      </c>
      <c r="C421" s="4">
        <f t="shared" si="24"/>
        <v>0.17026200000000813</v>
      </c>
      <c r="D421" s="4">
        <f t="shared" si="22"/>
        <v>18.224146999999988</v>
      </c>
      <c r="E421" s="3">
        <v>57.95</v>
      </c>
      <c r="F421" s="3">
        <v>20</v>
      </c>
      <c r="G421" s="3">
        <v>140.0541035</v>
      </c>
      <c r="H421" s="4">
        <f t="shared" si="25"/>
        <v>0.28286099999999692</v>
      </c>
      <c r="I421" s="4">
        <f t="shared" si="23"/>
        <v>19.665832499999993</v>
      </c>
      <c r="J421" s="3">
        <v>57.95</v>
      </c>
      <c r="K421" s="3">
        <v>20</v>
      </c>
    </row>
    <row r="422" spans="1:11" x14ac:dyDescent="0.35">
      <c r="A422" s="2">
        <v>40721</v>
      </c>
      <c r="B422" s="3">
        <v>134.86316600000001</v>
      </c>
      <c r="C422" s="4">
        <f t="shared" si="24"/>
        <v>-1.1629719999999963</v>
      </c>
      <c r="D422" s="4">
        <f t="shared" si="22"/>
        <v>16.985925000000009</v>
      </c>
      <c r="E422" s="3">
        <v>57.95</v>
      </c>
      <c r="F422" s="3">
        <v>20</v>
      </c>
      <c r="G422" s="3">
        <v>138.76678850000002</v>
      </c>
      <c r="H422" s="4">
        <f t="shared" si="25"/>
        <v>-1.2873149999999782</v>
      </c>
      <c r="I422" s="4">
        <f t="shared" si="23"/>
        <v>18.386851500000006</v>
      </c>
      <c r="J422" s="3">
        <v>57.95</v>
      </c>
      <c r="K422" s="3">
        <v>20</v>
      </c>
    </row>
    <row r="423" spans="1:11" x14ac:dyDescent="0.35">
      <c r="A423" s="2">
        <v>40728</v>
      </c>
      <c r="B423" s="3">
        <v>133.42817600000001</v>
      </c>
      <c r="C423" s="4">
        <f t="shared" si="24"/>
        <v>-1.4349899999999991</v>
      </c>
      <c r="D423" s="4">
        <f t="shared" si="22"/>
        <v>15.519047</v>
      </c>
      <c r="E423" s="3">
        <v>57.95</v>
      </c>
      <c r="F423" s="3">
        <v>20</v>
      </c>
      <c r="G423" s="3">
        <v>137.70202950000001</v>
      </c>
      <c r="H423" s="4">
        <f t="shared" si="25"/>
        <v>-1.0647590000000093</v>
      </c>
      <c r="I423" s="4">
        <f t="shared" si="23"/>
        <v>17.264801500000019</v>
      </c>
      <c r="J423" s="3">
        <v>57.95</v>
      </c>
      <c r="K423" s="3">
        <v>20</v>
      </c>
    </row>
    <row r="424" spans="1:11" x14ac:dyDescent="0.35">
      <c r="A424" s="2">
        <v>40735</v>
      </c>
      <c r="B424" s="3">
        <v>134.17549000000002</v>
      </c>
      <c r="C424" s="4">
        <f t="shared" si="24"/>
        <v>0.74731400000001713</v>
      </c>
      <c r="D424" s="4">
        <f t="shared" si="22"/>
        <v>16.782009000000016</v>
      </c>
      <c r="E424" s="3">
        <v>57.95</v>
      </c>
      <c r="F424" s="3">
        <v>20</v>
      </c>
      <c r="G424" s="3">
        <v>138.39607999999998</v>
      </c>
      <c r="H424" s="4">
        <f t="shared" si="25"/>
        <v>0.69405049999997459</v>
      </c>
      <c r="I424" s="4">
        <f t="shared" si="23"/>
        <v>18.613755999999981</v>
      </c>
      <c r="J424" s="3">
        <v>57.95</v>
      </c>
      <c r="K424" s="3">
        <v>20</v>
      </c>
    </row>
    <row r="425" spans="1:11" x14ac:dyDescent="0.35">
      <c r="A425" s="2">
        <v>40742</v>
      </c>
      <c r="B425" s="3">
        <v>134.97344799999999</v>
      </c>
      <c r="C425" s="4">
        <f t="shared" si="24"/>
        <v>0.79795799999996575</v>
      </c>
      <c r="D425" s="4">
        <f t="shared" si="22"/>
        <v>18.124769999999998</v>
      </c>
      <c r="E425" s="3">
        <v>57.95</v>
      </c>
      <c r="F425" s="3">
        <v>20</v>
      </c>
      <c r="G425" s="3">
        <v>139.36052650000002</v>
      </c>
      <c r="H425" s="4">
        <f t="shared" si="25"/>
        <v>0.96444650000003662</v>
      </c>
      <c r="I425" s="4">
        <f t="shared" si="23"/>
        <v>20.120604500000013</v>
      </c>
      <c r="J425" s="3">
        <v>57.95</v>
      </c>
      <c r="K425" s="3">
        <v>20</v>
      </c>
    </row>
    <row r="426" spans="1:11" x14ac:dyDescent="0.35">
      <c r="A426" s="2">
        <v>40749</v>
      </c>
      <c r="B426" s="3">
        <v>135.66107599999998</v>
      </c>
      <c r="C426" s="4">
        <f t="shared" si="24"/>
        <v>0.68762799999998947</v>
      </c>
      <c r="D426" s="4">
        <f t="shared" si="22"/>
        <v>19.046777999999989</v>
      </c>
      <c r="E426" s="3">
        <v>57.95</v>
      </c>
      <c r="F426" s="3">
        <v>20</v>
      </c>
      <c r="G426" s="3">
        <v>139.954891</v>
      </c>
      <c r="H426" s="4">
        <f t="shared" si="25"/>
        <v>0.59436449999998331</v>
      </c>
      <c r="I426" s="4">
        <f t="shared" si="23"/>
        <v>20.929558</v>
      </c>
      <c r="J426" s="3">
        <v>57.95</v>
      </c>
      <c r="K426" s="3">
        <v>20</v>
      </c>
    </row>
    <row r="427" spans="1:11" x14ac:dyDescent="0.35">
      <c r="A427" s="2">
        <v>40756</v>
      </c>
      <c r="B427" s="3">
        <v>136.066812</v>
      </c>
      <c r="C427" s="4">
        <f t="shared" si="24"/>
        <v>0.40573600000001875</v>
      </c>
      <c r="D427" s="4">
        <f t="shared" si="22"/>
        <v>19.557785999999993</v>
      </c>
      <c r="E427" s="3">
        <v>57.95</v>
      </c>
      <c r="F427" s="3">
        <v>20</v>
      </c>
      <c r="G427" s="3">
        <v>140.55483950000001</v>
      </c>
      <c r="H427" s="4">
        <f t="shared" si="25"/>
        <v>0.59994850000001065</v>
      </c>
      <c r="I427" s="4">
        <f t="shared" si="23"/>
        <v>21.526380500000016</v>
      </c>
      <c r="J427" s="3">
        <v>57.95</v>
      </c>
      <c r="K427" s="3">
        <v>20</v>
      </c>
    </row>
    <row r="428" spans="1:11" x14ac:dyDescent="0.35">
      <c r="A428" s="2">
        <v>40763</v>
      </c>
      <c r="B428" s="3">
        <v>136.46350199999998</v>
      </c>
      <c r="C428" s="4">
        <f t="shared" si="24"/>
        <v>0.39668999999997823</v>
      </c>
      <c r="D428" s="4">
        <f t="shared" si="22"/>
        <v>20.117856999999972</v>
      </c>
      <c r="E428" s="3">
        <v>57.95</v>
      </c>
      <c r="F428" s="3">
        <v>20</v>
      </c>
      <c r="G428" s="3">
        <v>140.83914050000001</v>
      </c>
      <c r="H428" s="4">
        <f t="shared" si="25"/>
        <v>0.28430099999999925</v>
      </c>
      <c r="I428" s="4">
        <f t="shared" si="23"/>
        <v>21.895034500000008</v>
      </c>
      <c r="J428" s="3">
        <v>57.95</v>
      </c>
      <c r="K428" s="3">
        <v>20</v>
      </c>
    </row>
    <row r="429" spans="1:11" x14ac:dyDescent="0.35">
      <c r="A429" s="2">
        <v>40770</v>
      </c>
      <c r="B429" s="3">
        <v>135.947734</v>
      </c>
      <c r="C429" s="4">
        <f t="shared" si="24"/>
        <v>-0.51576799999998002</v>
      </c>
      <c r="D429" s="4">
        <f t="shared" si="22"/>
        <v>19.610495999999998</v>
      </c>
      <c r="E429" s="3">
        <v>57.95</v>
      </c>
      <c r="F429" s="3">
        <v>20</v>
      </c>
      <c r="G429" s="3">
        <v>140.35692399999999</v>
      </c>
      <c r="H429" s="4">
        <f t="shared" si="25"/>
        <v>-0.48221650000002114</v>
      </c>
      <c r="I429" s="4">
        <f t="shared" si="23"/>
        <v>21.570247999999992</v>
      </c>
      <c r="J429" s="3">
        <v>57.95</v>
      </c>
      <c r="K429" s="3">
        <v>20</v>
      </c>
    </row>
    <row r="430" spans="1:11" x14ac:dyDescent="0.35">
      <c r="A430" s="2">
        <v>40777</v>
      </c>
      <c r="B430" s="3">
        <v>134.55921599999999</v>
      </c>
      <c r="C430" s="4">
        <f t="shared" si="24"/>
        <v>-1.3885180000000048</v>
      </c>
      <c r="D430" s="4">
        <f t="shared" si="22"/>
        <v>18.916618</v>
      </c>
      <c r="E430" s="3">
        <v>57.95</v>
      </c>
      <c r="F430" s="3">
        <v>20</v>
      </c>
      <c r="G430" s="3">
        <v>139.04476099999999</v>
      </c>
      <c r="H430" s="4">
        <f t="shared" si="25"/>
        <v>-1.3121629999999982</v>
      </c>
      <c r="I430" s="4">
        <f t="shared" si="23"/>
        <v>21.144316000000003</v>
      </c>
      <c r="J430" s="3">
        <v>57.95</v>
      </c>
      <c r="K430" s="3">
        <v>20</v>
      </c>
    </row>
    <row r="431" spans="1:11" x14ac:dyDescent="0.35">
      <c r="A431" s="2">
        <v>40784</v>
      </c>
      <c r="B431" s="3">
        <v>134.317576</v>
      </c>
      <c r="C431" s="4">
        <f t="shared" si="24"/>
        <v>-0.24163999999998964</v>
      </c>
      <c r="D431" s="4">
        <f t="shared" si="22"/>
        <v>19.334137000000013</v>
      </c>
      <c r="E431" s="3">
        <v>57.95</v>
      </c>
      <c r="F431" s="3">
        <v>20</v>
      </c>
      <c r="G431" s="3">
        <v>138.715473</v>
      </c>
      <c r="H431" s="4">
        <f t="shared" si="25"/>
        <v>-0.32928799999999114</v>
      </c>
      <c r="I431" s="4">
        <f t="shared" si="23"/>
        <v>21.344504999999998</v>
      </c>
      <c r="J431" s="3">
        <v>57.95</v>
      </c>
      <c r="K431" s="3">
        <v>20</v>
      </c>
    </row>
    <row r="432" spans="1:11" x14ac:dyDescent="0.35">
      <c r="A432" s="2">
        <v>40791</v>
      </c>
      <c r="B432" s="3">
        <v>134.619426</v>
      </c>
      <c r="C432" s="4">
        <f t="shared" si="24"/>
        <v>0.30185000000000173</v>
      </c>
      <c r="D432" s="4">
        <f t="shared" si="22"/>
        <v>20.028480000000016</v>
      </c>
      <c r="E432" s="3">
        <v>57.95</v>
      </c>
      <c r="F432" s="3">
        <v>20</v>
      </c>
      <c r="G432" s="3">
        <v>138.95617799999999</v>
      </c>
      <c r="H432" s="4">
        <f t="shared" si="25"/>
        <v>0.24070499999999129</v>
      </c>
      <c r="I432" s="4">
        <f t="shared" si="23"/>
        <v>21.867961999999991</v>
      </c>
      <c r="J432" s="3">
        <v>57.95</v>
      </c>
      <c r="K432" s="3">
        <v>20</v>
      </c>
    </row>
    <row r="433" spans="1:11" x14ac:dyDescent="0.35">
      <c r="A433" s="2">
        <v>40798</v>
      </c>
      <c r="B433" s="3">
        <v>135.003197</v>
      </c>
      <c r="C433" s="4">
        <f t="shared" si="24"/>
        <v>0.38377099999999587</v>
      </c>
      <c r="D433" s="4">
        <f t="shared" si="22"/>
        <v>20.346653000000003</v>
      </c>
      <c r="E433" s="3">
        <v>57.95</v>
      </c>
      <c r="F433" s="3">
        <v>20</v>
      </c>
      <c r="G433" s="3">
        <v>139.3984595</v>
      </c>
      <c r="H433" s="4">
        <f t="shared" si="25"/>
        <v>0.4422815000000071</v>
      </c>
      <c r="I433" s="4">
        <f t="shared" si="23"/>
        <v>22.224935499999987</v>
      </c>
      <c r="J433" s="3">
        <v>57.95</v>
      </c>
      <c r="K433" s="3">
        <v>20</v>
      </c>
    </row>
    <row r="434" spans="1:11" x14ac:dyDescent="0.35">
      <c r="A434" s="2">
        <v>40805</v>
      </c>
      <c r="B434" s="3">
        <v>135.40180799999999</v>
      </c>
      <c r="C434" s="4">
        <f t="shared" si="24"/>
        <v>0.39861099999998828</v>
      </c>
      <c r="D434" s="4">
        <f t="shared" si="22"/>
        <v>20.337116999999978</v>
      </c>
      <c r="E434" s="3">
        <v>57.95</v>
      </c>
      <c r="F434" s="3">
        <v>20</v>
      </c>
      <c r="G434" s="3">
        <v>139.86153999999999</v>
      </c>
      <c r="H434" s="4">
        <f t="shared" si="25"/>
        <v>0.46308049999998957</v>
      </c>
      <c r="I434" s="4">
        <f t="shared" si="23"/>
        <v>22.142198999999991</v>
      </c>
      <c r="J434" s="3">
        <v>57.95</v>
      </c>
      <c r="K434" s="3">
        <v>20</v>
      </c>
    </row>
    <row r="435" spans="1:11" x14ac:dyDescent="0.35">
      <c r="A435" s="2">
        <v>40812</v>
      </c>
      <c r="B435" s="3">
        <v>135.65406400000001</v>
      </c>
      <c r="C435" s="4">
        <f t="shared" si="24"/>
        <v>0.25225600000001691</v>
      </c>
      <c r="D435" s="4">
        <f t="shared" si="22"/>
        <v>20.259599000000009</v>
      </c>
      <c r="E435" s="3">
        <v>57.95</v>
      </c>
      <c r="F435" s="3">
        <v>20</v>
      </c>
      <c r="G435" s="3">
        <v>140.14028250000001</v>
      </c>
      <c r="H435" s="4">
        <f t="shared" si="25"/>
        <v>0.27874250000002121</v>
      </c>
      <c r="I435" s="4">
        <f t="shared" si="23"/>
        <v>22.034721500000018</v>
      </c>
      <c r="J435" s="3">
        <v>57.95</v>
      </c>
      <c r="K435" s="3">
        <v>20</v>
      </c>
    </row>
    <row r="436" spans="1:11" x14ac:dyDescent="0.35">
      <c r="A436" s="2">
        <v>40819</v>
      </c>
      <c r="B436" s="3">
        <v>135.02150800000001</v>
      </c>
      <c r="C436" s="4">
        <f t="shared" si="24"/>
        <v>-0.6325559999999939</v>
      </c>
      <c r="D436" s="4">
        <f t="shared" si="22"/>
        <v>19.008423000000022</v>
      </c>
      <c r="E436" s="3">
        <v>57.95</v>
      </c>
      <c r="F436" s="3">
        <v>20</v>
      </c>
      <c r="G436" s="3">
        <v>139.76582050000002</v>
      </c>
      <c r="H436" s="4">
        <f t="shared" si="25"/>
        <v>-0.37446199999999408</v>
      </c>
      <c r="I436" s="4">
        <f t="shared" si="23"/>
        <v>20.795512500000015</v>
      </c>
      <c r="J436" s="3">
        <v>57.95</v>
      </c>
      <c r="K436" s="3">
        <v>20</v>
      </c>
    </row>
    <row r="437" spans="1:11" x14ac:dyDescent="0.35">
      <c r="A437" s="2">
        <v>40826</v>
      </c>
      <c r="B437" s="3">
        <v>134.47208999999998</v>
      </c>
      <c r="C437" s="4">
        <f t="shared" si="24"/>
        <v>-0.54941800000003127</v>
      </c>
      <c r="D437" s="4">
        <f t="shared" si="22"/>
        <v>17.689130999999989</v>
      </c>
      <c r="E437" s="3">
        <v>57.95</v>
      </c>
      <c r="F437" s="3">
        <v>20</v>
      </c>
      <c r="G437" s="3">
        <v>139.5203975</v>
      </c>
      <c r="H437" s="4">
        <f t="shared" si="25"/>
        <v>-0.2454230000000166</v>
      </c>
      <c r="I437" s="4">
        <f t="shared" si="23"/>
        <v>19.746496500000006</v>
      </c>
      <c r="J437" s="3">
        <v>57.95</v>
      </c>
      <c r="K437" s="3">
        <v>20</v>
      </c>
    </row>
    <row r="438" spans="1:11" x14ac:dyDescent="0.35">
      <c r="A438" s="2">
        <v>40833</v>
      </c>
      <c r="B438" s="3">
        <v>134.48864399999999</v>
      </c>
      <c r="C438" s="4">
        <f t="shared" si="24"/>
        <v>1.6554000000013502E-2</v>
      </c>
      <c r="D438" s="4">
        <f t="shared" si="22"/>
        <v>17.205041999999992</v>
      </c>
      <c r="E438" s="3">
        <v>57.95</v>
      </c>
      <c r="F438" s="3">
        <v>20</v>
      </c>
      <c r="G438" s="3">
        <v>139.725461</v>
      </c>
      <c r="H438" s="4">
        <f t="shared" si="25"/>
        <v>0.20506349999999429</v>
      </c>
      <c r="I438" s="4">
        <f t="shared" si="23"/>
        <v>19.122249999999994</v>
      </c>
      <c r="J438" s="3">
        <v>57.95</v>
      </c>
      <c r="K438" s="3">
        <v>20</v>
      </c>
    </row>
    <row r="439" spans="1:11" x14ac:dyDescent="0.35">
      <c r="A439" s="2">
        <v>40840</v>
      </c>
      <c r="B439" s="3">
        <v>134.65919600000001</v>
      </c>
      <c r="C439" s="4">
        <f t="shared" si="24"/>
        <v>0.17055200000001491</v>
      </c>
      <c r="D439" s="4">
        <f t="shared" ref="D439:D502" si="26">B439-B387</f>
        <v>16.919931999999989</v>
      </c>
      <c r="E439" s="3">
        <v>57.95</v>
      </c>
      <c r="F439" s="3">
        <v>20</v>
      </c>
      <c r="G439" s="3">
        <v>140.19426700000002</v>
      </c>
      <c r="H439" s="4">
        <f t="shared" si="25"/>
        <v>0.46880600000002914</v>
      </c>
      <c r="I439" s="4">
        <f t="shared" ref="I439:I502" si="27">G439-G387</f>
        <v>19.020245000000031</v>
      </c>
      <c r="J439" s="3">
        <v>57.95</v>
      </c>
      <c r="K439" s="3">
        <v>20</v>
      </c>
    </row>
    <row r="440" spans="1:11" x14ac:dyDescent="0.35">
      <c r="A440" s="2">
        <v>40847</v>
      </c>
      <c r="B440" s="3">
        <v>134.73461600000002</v>
      </c>
      <c r="C440" s="4">
        <f t="shared" si="24"/>
        <v>7.5420000000008258E-2</v>
      </c>
      <c r="D440" s="4">
        <f t="shared" si="26"/>
        <v>16.557101000000003</v>
      </c>
      <c r="E440" s="3">
        <v>57.95</v>
      </c>
      <c r="F440" s="3">
        <v>20</v>
      </c>
      <c r="G440" s="3">
        <v>140.27105</v>
      </c>
      <c r="H440" s="4">
        <f t="shared" si="25"/>
        <v>7.6782999999977619E-2</v>
      </c>
      <c r="I440" s="4">
        <f t="shared" si="27"/>
        <v>18.606608000000008</v>
      </c>
      <c r="J440" s="3">
        <v>57.95</v>
      </c>
      <c r="K440" s="3">
        <v>20</v>
      </c>
    </row>
    <row r="441" spans="1:11" x14ac:dyDescent="0.35">
      <c r="A441" s="2">
        <v>40854</v>
      </c>
      <c r="B441" s="3">
        <v>134.40536799999998</v>
      </c>
      <c r="C441" s="4">
        <f t="shared" si="24"/>
        <v>-0.32924800000003529</v>
      </c>
      <c r="D441" s="4">
        <f t="shared" si="26"/>
        <v>15.733972999999978</v>
      </c>
      <c r="E441" s="3">
        <v>57.95</v>
      </c>
      <c r="F441" s="3">
        <v>20</v>
      </c>
      <c r="G441" s="3">
        <v>140.41673449999999</v>
      </c>
      <c r="H441" s="4">
        <f t="shared" si="25"/>
        <v>0.14568449999998734</v>
      </c>
      <c r="I441" s="4">
        <f t="shared" si="27"/>
        <v>18.22494949999998</v>
      </c>
      <c r="J441" s="3">
        <v>57.95</v>
      </c>
      <c r="K441" s="3">
        <v>20</v>
      </c>
    </row>
    <row r="442" spans="1:11" x14ac:dyDescent="0.35">
      <c r="A442" s="2">
        <v>40861</v>
      </c>
      <c r="B442" s="3">
        <v>133.67629999999997</v>
      </c>
      <c r="C442" s="4">
        <f t="shared" si="24"/>
        <v>-0.72906800000001226</v>
      </c>
      <c r="D442" s="4">
        <f t="shared" si="26"/>
        <v>14.87923899999997</v>
      </c>
      <c r="E442" s="3">
        <v>57.95</v>
      </c>
      <c r="F442" s="3">
        <v>20</v>
      </c>
      <c r="G442" s="3">
        <v>140.53224349999999</v>
      </c>
      <c r="H442" s="4">
        <f t="shared" si="25"/>
        <v>0.11550900000000297</v>
      </c>
      <c r="I442" s="4">
        <f t="shared" si="27"/>
        <v>18.02652049999999</v>
      </c>
      <c r="J442" s="3">
        <v>57.95</v>
      </c>
      <c r="K442" s="3">
        <v>20</v>
      </c>
    </row>
    <row r="443" spans="1:11" x14ac:dyDescent="0.35">
      <c r="A443" s="2">
        <v>40868</v>
      </c>
      <c r="B443" s="3">
        <v>133.37502000000001</v>
      </c>
      <c r="C443" s="4">
        <f t="shared" si="24"/>
        <v>-0.30127999999996291</v>
      </c>
      <c r="D443" s="4">
        <f t="shared" si="26"/>
        <v>14.386454000000001</v>
      </c>
      <c r="E443" s="3">
        <v>57.95</v>
      </c>
      <c r="F443" s="3">
        <v>20</v>
      </c>
      <c r="G443" s="3">
        <v>141.06371350000001</v>
      </c>
      <c r="H443" s="4">
        <f t="shared" si="25"/>
        <v>0.53147000000001299</v>
      </c>
      <c r="I443" s="4">
        <f t="shared" si="27"/>
        <v>18.319069499999998</v>
      </c>
      <c r="J443" s="3">
        <v>57.95</v>
      </c>
      <c r="K443" s="3">
        <v>20</v>
      </c>
    </row>
    <row r="444" spans="1:11" x14ac:dyDescent="0.35">
      <c r="A444" s="2">
        <v>40875</v>
      </c>
      <c r="B444" s="3">
        <v>133.167687</v>
      </c>
      <c r="C444" s="4">
        <f t="shared" si="24"/>
        <v>-0.20733300000000554</v>
      </c>
      <c r="D444" s="4">
        <f t="shared" si="26"/>
        <v>13.96002</v>
      </c>
      <c r="E444" s="3">
        <v>57.95</v>
      </c>
      <c r="F444" s="3">
        <v>20</v>
      </c>
      <c r="G444" s="3">
        <v>141.09594250000001</v>
      </c>
      <c r="H444" s="4">
        <f t="shared" si="25"/>
        <v>3.2229000000000951E-2</v>
      </c>
      <c r="I444" s="4">
        <f t="shared" si="27"/>
        <v>17.895903500000003</v>
      </c>
      <c r="J444" s="3">
        <v>57.95</v>
      </c>
      <c r="K444" s="3">
        <v>20</v>
      </c>
    </row>
    <row r="445" spans="1:11" x14ac:dyDescent="0.35">
      <c r="A445" s="2">
        <v>40882</v>
      </c>
      <c r="B445" s="3">
        <v>132.777108</v>
      </c>
      <c r="C445" s="4">
        <f t="shared" si="24"/>
        <v>-0.39057900000000245</v>
      </c>
      <c r="D445" s="4">
        <f t="shared" si="26"/>
        <v>12.235602</v>
      </c>
      <c r="E445" s="3">
        <v>57.95</v>
      </c>
      <c r="F445" s="3">
        <v>20</v>
      </c>
      <c r="G445" s="3">
        <v>140.99401</v>
      </c>
      <c r="H445" s="4">
        <f t="shared" si="25"/>
        <v>-0.10193250000000376</v>
      </c>
      <c r="I445" s="4">
        <f t="shared" si="27"/>
        <v>16.376170000000002</v>
      </c>
      <c r="J445" s="3">
        <v>57.95</v>
      </c>
      <c r="K445" s="3">
        <v>20</v>
      </c>
    </row>
    <row r="446" spans="1:11" x14ac:dyDescent="0.35">
      <c r="A446" s="2">
        <v>40889</v>
      </c>
      <c r="B446" s="3">
        <v>132.52799199999998</v>
      </c>
      <c r="C446" s="4">
        <f t="shared" si="24"/>
        <v>-0.24911600000001499</v>
      </c>
      <c r="D446" s="4">
        <f t="shared" si="26"/>
        <v>10.846075999999982</v>
      </c>
      <c r="E446" s="3">
        <v>57.95</v>
      </c>
      <c r="F446" s="3">
        <v>20</v>
      </c>
      <c r="G446" s="3">
        <v>140.9523045</v>
      </c>
      <c r="H446" s="4">
        <f t="shared" si="25"/>
        <v>-4.1705500000006168E-2</v>
      </c>
      <c r="I446" s="4">
        <f t="shared" si="27"/>
        <v>15.177523499999992</v>
      </c>
      <c r="J446" s="3">
        <v>57.95</v>
      </c>
      <c r="K446" s="3">
        <v>20</v>
      </c>
    </row>
    <row r="447" spans="1:11" x14ac:dyDescent="0.35">
      <c r="A447" s="2">
        <v>40896</v>
      </c>
      <c r="B447" s="3">
        <v>132.48720599999999</v>
      </c>
      <c r="C447" s="4">
        <f t="shared" si="24"/>
        <v>-4.0785999999997102E-2</v>
      </c>
      <c r="D447" s="4">
        <f t="shared" si="26"/>
        <v>10.178071999999986</v>
      </c>
      <c r="E447" s="3">
        <v>57.95</v>
      </c>
      <c r="F447" s="3">
        <v>20</v>
      </c>
      <c r="G447" s="3">
        <v>140.92594400000002</v>
      </c>
      <c r="H447" s="4">
        <f t="shared" si="25"/>
        <v>-2.6360499999981357E-2</v>
      </c>
      <c r="I447" s="4">
        <f t="shared" si="27"/>
        <v>14.403706000000028</v>
      </c>
      <c r="J447" s="3">
        <v>57.95</v>
      </c>
      <c r="K447" s="3">
        <v>20</v>
      </c>
    </row>
    <row r="448" spans="1:11" x14ac:dyDescent="0.35">
      <c r="A448" s="2">
        <v>40903</v>
      </c>
      <c r="B448" s="3">
        <v>132.40984500000002</v>
      </c>
      <c r="C448" s="4">
        <f t="shared" si="24"/>
        <v>-7.7360999999967817E-2</v>
      </c>
      <c r="D448" s="4">
        <f t="shared" si="26"/>
        <v>8.96860700000002</v>
      </c>
      <c r="E448" s="3">
        <v>57.95</v>
      </c>
      <c r="F448" s="3">
        <v>20</v>
      </c>
      <c r="G448" s="3">
        <v>140.77337500000002</v>
      </c>
      <c r="H448" s="4">
        <f t="shared" si="25"/>
        <v>-0.15256899999999973</v>
      </c>
      <c r="I448" s="4">
        <f t="shared" si="27"/>
        <v>13.093095000000019</v>
      </c>
      <c r="J448" s="3">
        <v>57.95</v>
      </c>
      <c r="K448" s="3">
        <v>20</v>
      </c>
    </row>
    <row r="449" spans="1:11" x14ac:dyDescent="0.35">
      <c r="A449" s="2">
        <v>40910</v>
      </c>
      <c r="B449" s="3">
        <v>132.40250900000001</v>
      </c>
      <c r="C449" s="4">
        <f t="shared" si="24"/>
        <v>-7.3360000000093351E-3</v>
      </c>
      <c r="D449" s="4">
        <f t="shared" si="26"/>
        <v>7.550120000000021</v>
      </c>
      <c r="E449" s="3">
        <v>57.95</v>
      </c>
      <c r="F449" s="3">
        <v>20</v>
      </c>
      <c r="G449" s="3">
        <v>140.83631</v>
      </c>
      <c r="H449" s="4">
        <f t="shared" si="25"/>
        <v>6.2934999999981756E-2</v>
      </c>
      <c r="I449" s="4">
        <f t="shared" si="27"/>
        <v>11.724716999999998</v>
      </c>
      <c r="J449" s="3">
        <v>57.95</v>
      </c>
      <c r="K449" s="3">
        <v>20</v>
      </c>
    </row>
    <row r="450" spans="1:11" x14ac:dyDescent="0.35">
      <c r="A450" s="2">
        <v>40917</v>
      </c>
      <c r="B450" s="3">
        <v>132.68147999999999</v>
      </c>
      <c r="C450" s="4">
        <f t="shared" si="24"/>
        <v>0.27897099999998431</v>
      </c>
      <c r="D450" s="4">
        <f t="shared" si="26"/>
        <v>5.2833539999999886</v>
      </c>
      <c r="E450" s="3">
        <v>57.95</v>
      </c>
      <c r="F450" s="3">
        <v>20</v>
      </c>
      <c r="G450" s="3">
        <v>141.00463500000001</v>
      </c>
      <c r="H450" s="4">
        <f t="shared" si="25"/>
        <v>0.16832500000001005</v>
      </c>
      <c r="I450" s="4">
        <f t="shared" si="27"/>
        <v>9.4082130000000177</v>
      </c>
      <c r="J450" s="3">
        <v>57.95</v>
      </c>
      <c r="K450" s="3">
        <v>20</v>
      </c>
    </row>
    <row r="451" spans="1:11" x14ac:dyDescent="0.35">
      <c r="A451" s="2">
        <v>40924</v>
      </c>
      <c r="B451" s="3">
        <v>133.29412600000001</v>
      </c>
      <c r="C451" s="4">
        <f t="shared" ref="C451:C514" si="28">B451-B450</f>
        <v>0.61264600000001224</v>
      </c>
      <c r="D451" s="4">
        <f t="shared" si="26"/>
        <v>5.4219229999999925</v>
      </c>
      <c r="E451" s="3">
        <v>57.95</v>
      </c>
      <c r="F451" s="3">
        <v>20</v>
      </c>
      <c r="G451" s="3">
        <v>141.6858805</v>
      </c>
      <c r="H451" s="4">
        <f t="shared" ref="H451:H514" si="29">G451-G450</f>
        <v>0.68124549999998862</v>
      </c>
      <c r="I451" s="4">
        <f t="shared" si="27"/>
        <v>9.36046300000001</v>
      </c>
      <c r="J451" s="3">
        <v>57.95</v>
      </c>
      <c r="K451" s="3">
        <v>20</v>
      </c>
    </row>
    <row r="452" spans="1:11" x14ac:dyDescent="0.35">
      <c r="A452" s="2">
        <v>40931</v>
      </c>
      <c r="B452" s="3">
        <v>133.72112100000001</v>
      </c>
      <c r="C452" s="4">
        <f t="shared" si="28"/>
        <v>0.42699500000000512</v>
      </c>
      <c r="D452" s="4">
        <f t="shared" si="26"/>
        <v>5.3688600000000122</v>
      </c>
      <c r="E452" s="3">
        <v>57.95</v>
      </c>
      <c r="F452" s="3">
        <v>20</v>
      </c>
      <c r="G452" s="3">
        <v>142.06083399999997</v>
      </c>
      <c r="H452" s="4">
        <f t="shared" si="29"/>
        <v>0.37495349999997529</v>
      </c>
      <c r="I452" s="4">
        <f t="shared" si="27"/>
        <v>9.063559999999967</v>
      </c>
      <c r="J452" s="3">
        <v>57.95</v>
      </c>
      <c r="K452" s="3">
        <v>20</v>
      </c>
    </row>
    <row r="453" spans="1:11" x14ac:dyDescent="0.35">
      <c r="A453" s="2">
        <v>40938</v>
      </c>
      <c r="B453" s="3">
        <v>134.101384</v>
      </c>
      <c r="C453" s="4">
        <f t="shared" si="28"/>
        <v>0.38026299999998514</v>
      </c>
      <c r="D453" s="4">
        <f t="shared" si="26"/>
        <v>5.5534289999999942</v>
      </c>
      <c r="E453" s="3">
        <v>57.95</v>
      </c>
      <c r="F453" s="3">
        <v>20</v>
      </c>
      <c r="G453" s="3">
        <v>142.44726200000002</v>
      </c>
      <c r="H453" s="4">
        <f t="shared" si="29"/>
        <v>0.38642800000005195</v>
      </c>
      <c r="I453" s="4">
        <f t="shared" si="27"/>
        <v>9.1934835000000135</v>
      </c>
      <c r="J453" s="3">
        <v>57.95</v>
      </c>
      <c r="K453" s="3">
        <v>20</v>
      </c>
    </row>
    <row r="454" spans="1:11" x14ac:dyDescent="0.35">
      <c r="A454" s="2">
        <v>40945</v>
      </c>
      <c r="B454" s="3">
        <v>134.253016</v>
      </c>
      <c r="C454" s="4">
        <f t="shared" si="28"/>
        <v>0.15163200000000643</v>
      </c>
      <c r="D454" s="4">
        <f t="shared" si="26"/>
        <v>5.6174179999999865</v>
      </c>
      <c r="E454" s="3">
        <v>57.95</v>
      </c>
      <c r="F454" s="3">
        <v>20</v>
      </c>
      <c r="G454" s="3">
        <v>142.23780000000002</v>
      </c>
      <c r="H454" s="4">
        <f t="shared" si="29"/>
        <v>-0.20946200000000204</v>
      </c>
      <c r="I454" s="4">
        <f t="shared" si="27"/>
        <v>8.7644545000000278</v>
      </c>
      <c r="J454" s="3">
        <v>57.95</v>
      </c>
      <c r="K454" s="3">
        <v>20</v>
      </c>
    </row>
    <row r="455" spans="1:11" x14ac:dyDescent="0.35">
      <c r="A455" s="2">
        <v>40952</v>
      </c>
      <c r="B455" s="3">
        <v>134.89741099999998</v>
      </c>
      <c r="C455" s="4">
        <f t="shared" si="28"/>
        <v>0.64439499999997452</v>
      </c>
      <c r="D455" s="4">
        <f t="shared" si="26"/>
        <v>6.1720079999999768</v>
      </c>
      <c r="E455" s="3">
        <v>57.95</v>
      </c>
      <c r="F455" s="3">
        <v>20</v>
      </c>
      <c r="G455" s="3">
        <v>142.8253785</v>
      </c>
      <c r="H455" s="4">
        <f t="shared" si="29"/>
        <v>0.58757849999997802</v>
      </c>
      <c r="I455" s="4">
        <f t="shared" si="27"/>
        <v>9.1117359999999792</v>
      </c>
      <c r="J455" s="3">
        <v>57.95</v>
      </c>
      <c r="K455" s="3">
        <v>20</v>
      </c>
    </row>
    <row r="456" spans="1:11" x14ac:dyDescent="0.35">
      <c r="A456" s="2">
        <v>40959</v>
      </c>
      <c r="B456" s="3">
        <v>135.211436268</v>
      </c>
      <c r="C456" s="4">
        <f t="shared" si="28"/>
        <v>0.31402526800002306</v>
      </c>
      <c r="D456" s="4">
        <f t="shared" si="26"/>
        <v>6.2922912680000138</v>
      </c>
      <c r="E456" s="3">
        <v>57.95</v>
      </c>
      <c r="F456" s="3">
        <v>20</v>
      </c>
      <c r="G456" s="3">
        <v>143.15210815500001</v>
      </c>
      <c r="H456" s="4">
        <f t="shared" si="29"/>
        <v>0.32672965500000828</v>
      </c>
      <c r="I456" s="4">
        <f t="shared" si="27"/>
        <v>9.1118031549999898</v>
      </c>
      <c r="J456" s="3">
        <v>57.95</v>
      </c>
      <c r="K456" s="3">
        <v>20</v>
      </c>
    </row>
    <row r="457" spans="1:11" x14ac:dyDescent="0.35">
      <c r="A457" s="2">
        <v>40966</v>
      </c>
      <c r="B457" s="3">
        <v>136.21234999999999</v>
      </c>
      <c r="C457" s="4">
        <f t="shared" si="28"/>
        <v>1.0009137319999866</v>
      </c>
      <c r="D457" s="4">
        <f t="shared" si="26"/>
        <v>6.4873849999999891</v>
      </c>
      <c r="E457" s="3">
        <v>57.95</v>
      </c>
      <c r="F457" s="3">
        <v>20</v>
      </c>
      <c r="G457" s="3">
        <v>143.92049050000003</v>
      </c>
      <c r="H457" s="4">
        <f t="shared" si="29"/>
        <v>0.76838234500002045</v>
      </c>
      <c r="I457" s="4">
        <f t="shared" si="27"/>
        <v>8.8648620000000449</v>
      </c>
      <c r="J457" s="3">
        <v>57.95</v>
      </c>
      <c r="K457" s="3">
        <v>20</v>
      </c>
    </row>
    <row r="458" spans="1:11" x14ac:dyDescent="0.35">
      <c r="A458" s="2">
        <v>40973</v>
      </c>
      <c r="B458" s="3">
        <v>137.30326199999999</v>
      </c>
      <c r="C458" s="4">
        <f t="shared" si="28"/>
        <v>1.090912000000003</v>
      </c>
      <c r="D458" s="4">
        <f t="shared" si="26"/>
        <v>6.0214449999999715</v>
      </c>
      <c r="E458" s="3">
        <v>57.95</v>
      </c>
      <c r="F458" s="3">
        <v>20</v>
      </c>
      <c r="G458" s="3">
        <v>144.71150549999999</v>
      </c>
      <c r="H458" s="4">
        <f t="shared" si="29"/>
        <v>0.79101499999995895</v>
      </c>
      <c r="I458" s="4">
        <f t="shared" si="27"/>
        <v>7.8133204999999748</v>
      </c>
      <c r="J458" s="3">
        <v>57.95</v>
      </c>
      <c r="K458" s="3">
        <v>20</v>
      </c>
    </row>
    <row r="459" spans="1:11" x14ac:dyDescent="0.35">
      <c r="A459" s="2">
        <v>40980</v>
      </c>
      <c r="B459" s="3">
        <v>137.90142400000002</v>
      </c>
      <c r="C459" s="4">
        <f t="shared" si="28"/>
        <v>0.5981620000000305</v>
      </c>
      <c r="D459" s="4">
        <f t="shared" si="26"/>
        <v>5.7252580000000535</v>
      </c>
      <c r="E459" s="3">
        <v>57.95</v>
      </c>
      <c r="F459" s="3">
        <v>20</v>
      </c>
      <c r="G459" s="3">
        <v>145.146128</v>
      </c>
      <c r="H459" s="4">
        <f t="shared" si="29"/>
        <v>0.43462250000001745</v>
      </c>
      <c r="I459" s="4">
        <f t="shared" si="27"/>
        <v>6.8974865000000136</v>
      </c>
      <c r="J459" s="3">
        <v>57.95</v>
      </c>
      <c r="K459" s="3">
        <v>20</v>
      </c>
    </row>
    <row r="460" spans="1:11" x14ac:dyDescent="0.35">
      <c r="A460" s="2">
        <v>40987</v>
      </c>
      <c r="B460" s="3">
        <v>138.95736600000001</v>
      </c>
      <c r="C460" s="4">
        <f t="shared" si="28"/>
        <v>1.0559419999999875</v>
      </c>
      <c r="D460" s="4">
        <f t="shared" si="26"/>
        <v>5.8479070000000206</v>
      </c>
      <c r="E460" s="3">
        <v>57.95</v>
      </c>
      <c r="F460" s="3">
        <v>20</v>
      </c>
      <c r="G460" s="3">
        <v>146.16103549999997</v>
      </c>
      <c r="H460" s="4">
        <f t="shared" si="29"/>
        <v>1.0149074999999641</v>
      </c>
      <c r="I460" s="4">
        <f t="shared" si="27"/>
        <v>6.6275544999999738</v>
      </c>
      <c r="J460" s="3">
        <v>57.95</v>
      </c>
      <c r="K460" s="3">
        <v>20</v>
      </c>
    </row>
    <row r="461" spans="1:11" x14ac:dyDescent="0.35">
      <c r="A461" s="2">
        <v>40994</v>
      </c>
      <c r="B461" s="3">
        <v>139.480164</v>
      </c>
      <c r="C461" s="4">
        <f t="shared" si="28"/>
        <v>0.52279799999999454</v>
      </c>
      <c r="D461" s="4">
        <f t="shared" si="26"/>
        <v>7.0430130000000304</v>
      </c>
      <c r="E461" s="3">
        <v>57.95</v>
      </c>
      <c r="F461" s="3">
        <v>20</v>
      </c>
      <c r="G461" s="3">
        <v>146.5582655</v>
      </c>
      <c r="H461" s="4">
        <f t="shared" si="29"/>
        <v>0.39723000000003594</v>
      </c>
      <c r="I461" s="4">
        <f t="shared" si="27"/>
        <v>7.5207394999999906</v>
      </c>
      <c r="J461" s="3">
        <v>57.95</v>
      </c>
      <c r="K461" s="3">
        <v>20</v>
      </c>
    </row>
    <row r="462" spans="1:11" x14ac:dyDescent="0.35">
      <c r="A462" s="2">
        <v>41001</v>
      </c>
      <c r="B462" s="3">
        <v>140.99301899999998</v>
      </c>
      <c r="C462" s="4">
        <f t="shared" si="28"/>
        <v>1.5128549999999734</v>
      </c>
      <c r="D462" s="4">
        <f t="shared" si="26"/>
        <v>8.1871429999999918</v>
      </c>
      <c r="E462" s="3">
        <v>57.95</v>
      </c>
      <c r="F462" s="3">
        <v>20</v>
      </c>
      <c r="G462" s="3">
        <v>147.67977500000001</v>
      </c>
      <c r="H462" s="4">
        <f t="shared" si="29"/>
        <v>1.1215095000000019</v>
      </c>
      <c r="I462" s="4">
        <f t="shared" si="27"/>
        <v>8.2205640000000244</v>
      </c>
      <c r="J462" s="3">
        <v>57.95</v>
      </c>
      <c r="K462" s="3">
        <v>20</v>
      </c>
    </row>
    <row r="463" spans="1:11" x14ac:dyDescent="0.35">
      <c r="A463" s="2">
        <v>41008</v>
      </c>
      <c r="B463" s="3">
        <v>141.97154399999999</v>
      </c>
      <c r="C463" s="4">
        <f t="shared" si="28"/>
        <v>0.97852500000001896</v>
      </c>
      <c r="D463" s="4">
        <f t="shared" si="26"/>
        <v>8.2887199999999837</v>
      </c>
      <c r="E463" s="3">
        <v>57.95</v>
      </c>
      <c r="F463" s="3">
        <v>20</v>
      </c>
      <c r="G463" s="3">
        <v>148.00345150000001</v>
      </c>
      <c r="H463" s="4">
        <f t="shared" si="29"/>
        <v>0.32367650000000481</v>
      </c>
      <c r="I463" s="4">
        <f t="shared" si="27"/>
        <v>7.672798499999999</v>
      </c>
      <c r="J463" s="3">
        <v>57.95</v>
      </c>
      <c r="K463" s="3">
        <v>20</v>
      </c>
    </row>
    <row r="464" spans="1:11" x14ac:dyDescent="0.35">
      <c r="A464" s="2">
        <v>41015</v>
      </c>
      <c r="B464" s="3">
        <v>142.172754</v>
      </c>
      <c r="C464" s="4">
        <f t="shared" si="28"/>
        <v>0.20121000000000322</v>
      </c>
      <c r="D464" s="4">
        <f t="shared" si="26"/>
        <v>7.1117679999999837</v>
      </c>
      <c r="E464" s="3">
        <v>57.95</v>
      </c>
      <c r="F464" s="3">
        <v>20</v>
      </c>
      <c r="G464" s="3">
        <v>148.03770950000001</v>
      </c>
      <c r="H464" s="4">
        <f t="shared" si="29"/>
        <v>3.4257999999994126E-2</v>
      </c>
      <c r="I464" s="4">
        <f t="shared" si="27"/>
        <v>6.6978759999999795</v>
      </c>
      <c r="J464" s="3">
        <v>57.95</v>
      </c>
      <c r="K464" s="3">
        <v>20</v>
      </c>
    </row>
    <row r="465" spans="1:11" x14ac:dyDescent="0.35">
      <c r="A465" s="2">
        <v>41022</v>
      </c>
      <c r="B465" s="3">
        <v>141.75901999999999</v>
      </c>
      <c r="C465" s="4">
        <f t="shared" si="28"/>
        <v>-0.41373400000000515</v>
      </c>
      <c r="D465" s="4">
        <f t="shared" si="26"/>
        <v>6.1378109999999708</v>
      </c>
      <c r="E465" s="3">
        <v>57.95</v>
      </c>
      <c r="F465" s="3">
        <v>20</v>
      </c>
      <c r="G465" s="3">
        <v>147.96124350000002</v>
      </c>
      <c r="H465" s="4">
        <f t="shared" si="29"/>
        <v>-7.6465999999982159E-2</v>
      </c>
      <c r="I465" s="4">
        <f t="shared" si="27"/>
        <v>5.8501165000000412</v>
      </c>
      <c r="J465" s="3">
        <v>57.95</v>
      </c>
      <c r="K465" s="3">
        <v>20</v>
      </c>
    </row>
    <row r="466" spans="1:11" x14ac:dyDescent="0.35">
      <c r="A466" s="2">
        <v>41029</v>
      </c>
      <c r="B466" s="3">
        <v>141.004212</v>
      </c>
      <c r="C466" s="4">
        <f t="shared" si="28"/>
        <v>-0.75480799999999704</v>
      </c>
      <c r="D466" s="4">
        <f t="shared" si="26"/>
        <v>4.7100130000000036</v>
      </c>
      <c r="E466" s="3">
        <v>57.95</v>
      </c>
      <c r="F466" s="3">
        <v>20</v>
      </c>
      <c r="G466" s="3">
        <v>147.0520665</v>
      </c>
      <c r="H466" s="4">
        <f t="shared" si="29"/>
        <v>-0.9091770000000281</v>
      </c>
      <c r="I466" s="4">
        <f t="shared" si="27"/>
        <v>4.5251174999999932</v>
      </c>
      <c r="J466" s="3">
        <v>57.95</v>
      </c>
      <c r="K466" s="3">
        <v>20</v>
      </c>
    </row>
    <row r="467" spans="1:11" x14ac:dyDescent="0.35">
      <c r="A467" s="2">
        <v>41036</v>
      </c>
      <c r="B467" s="3">
        <v>140.13650200000001</v>
      </c>
      <c r="C467" s="4">
        <f t="shared" si="28"/>
        <v>-0.86770999999998821</v>
      </c>
      <c r="D467" s="4">
        <f t="shared" si="26"/>
        <v>3.0838380000000143</v>
      </c>
      <c r="E467" s="3">
        <v>57.95</v>
      </c>
      <c r="F467" s="3">
        <v>20</v>
      </c>
      <c r="G467" s="3">
        <v>146.39621200000002</v>
      </c>
      <c r="H467" s="4">
        <f t="shared" si="29"/>
        <v>-0.65585449999997536</v>
      </c>
      <c r="I467" s="4">
        <f t="shared" si="27"/>
        <v>3.3368065000000229</v>
      </c>
      <c r="J467" s="3">
        <v>57.95</v>
      </c>
      <c r="K467" s="3">
        <v>20</v>
      </c>
    </row>
    <row r="468" spans="1:11" x14ac:dyDescent="0.35">
      <c r="A468" s="2">
        <v>41043</v>
      </c>
      <c r="B468" s="3">
        <v>138.28657399999997</v>
      </c>
      <c r="C468" s="4">
        <f t="shared" si="28"/>
        <v>-1.849928000000034</v>
      </c>
      <c r="D468" s="4">
        <f t="shared" si="26"/>
        <v>1.8879379999999628</v>
      </c>
      <c r="E468" s="3">
        <v>57.95</v>
      </c>
      <c r="F468" s="3">
        <v>20</v>
      </c>
      <c r="G468" s="3">
        <v>144.51881</v>
      </c>
      <c r="H468" s="4">
        <f t="shared" si="29"/>
        <v>-1.8774020000000178</v>
      </c>
      <c r="I468" s="4">
        <f t="shared" si="27"/>
        <v>3.0199179999999899</v>
      </c>
      <c r="J468" s="3">
        <v>57.95</v>
      </c>
      <c r="K468" s="3">
        <v>20</v>
      </c>
    </row>
    <row r="469" spans="1:11" x14ac:dyDescent="0.35">
      <c r="A469" s="2">
        <v>41050</v>
      </c>
      <c r="B469" s="3">
        <v>135.77142000000001</v>
      </c>
      <c r="C469" s="4">
        <f t="shared" si="28"/>
        <v>-2.515153999999967</v>
      </c>
      <c r="D469" s="4">
        <f t="shared" si="26"/>
        <v>-0.34134399999999232</v>
      </c>
      <c r="E469" s="3">
        <v>57.95</v>
      </c>
      <c r="F469" s="3">
        <v>20</v>
      </c>
      <c r="G469" s="3">
        <v>141.746612</v>
      </c>
      <c r="H469" s="4">
        <f t="shared" si="29"/>
        <v>-2.772198000000003</v>
      </c>
      <c r="I469" s="4">
        <f t="shared" si="27"/>
        <v>0.97923900000000685</v>
      </c>
      <c r="J469" s="3">
        <v>57.95</v>
      </c>
      <c r="K469" s="3">
        <v>20</v>
      </c>
    </row>
    <row r="470" spans="1:11" x14ac:dyDescent="0.35">
      <c r="A470" s="2">
        <v>41057</v>
      </c>
      <c r="B470" s="3">
        <v>134.37459400000003</v>
      </c>
      <c r="C470" s="4">
        <f t="shared" si="28"/>
        <v>-1.3968259999999759</v>
      </c>
      <c r="D470" s="4">
        <f t="shared" si="26"/>
        <v>-1.1935279999999864</v>
      </c>
      <c r="E470" s="3">
        <v>57.95</v>
      </c>
      <c r="F470" s="3">
        <v>20</v>
      </c>
      <c r="G470" s="3">
        <v>140.49399399999999</v>
      </c>
      <c r="H470" s="4">
        <f t="shared" si="29"/>
        <v>-1.2526180000000124</v>
      </c>
      <c r="I470" s="4">
        <f t="shared" si="27"/>
        <v>0.67995799999999917</v>
      </c>
      <c r="J470" s="3">
        <v>57.95</v>
      </c>
      <c r="K470" s="3">
        <v>20</v>
      </c>
    </row>
    <row r="471" spans="1:11" x14ac:dyDescent="0.35">
      <c r="A471" s="2">
        <v>41064</v>
      </c>
      <c r="B471" s="3">
        <v>134.05828600000001</v>
      </c>
      <c r="C471" s="4">
        <f t="shared" si="28"/>
        <v>-0.31630800000002068</v>
      </c>
      <c r="D471" s="4">
        <f t="shared" si="26"/>
        <v>-1.5567379999999957</v>
      </c>
      <c r="E471" s="3">
        <v>57.95</v>
      </c>
      <c r="F471" s="3">
        <v>20</v>
      </c>
      <c r="G471" s="3">
        <v>139.958044</v>
      </c>
      <c r="H471" s="4">
        <f t="shared" si="29"/>
        <v>-0.53594999999998549</v>
      </c>
      <c r="I471" s="4">
        <f t="shared" si="27"/>
        <v>0.37540000000001328</v>
      </c>
      <c r="J471" s="3">
        <v>57.95</v>
      </c>
      <c r="K471" s="3">
        <v>20</v>
      </c>
    </row>
    <row r="472" spans="1:11" x14ac:dyDescent="0.35">
      <c r="A472" s="2">
        <v>41071</v>
      </c>
      <c r="B472" s="3">
        <v>133.66761399999999</v>
      </c>
      <c r="C472" s="4">
        <f t="shared" si="28"/>
        <v>-0.39067200000002344</v>
      </c>
      <c r="D472" s="4">
        <f t="shared" si="26"/>
        <v>-2.1882620000000088</v>
      </c>
      <c r="E472" s="3">
        <v>57.95</v>
      </c>
      <c r="F472" s="3">
        <v>20</v>
      </c>
      <c r="G472" s="3">
        <v>139.582426</v>
      </c>
      <c r="H472" s="4">
        <f t="shared" si="29"/>
        <v>-0.37561800000000289</v>
      </c>
      <c r="I472" s="4">
        <f t="shared" si="27"/>
        <v>-0.1888165000000015</v>
      </c>
      <c r="J472" s="3">
        <v>57.95</v>
      </c>
      <c r="K472" s="3">
        <v>20</v>
      </c>
    </row>
    <row r="473" spans="1:11" x14ac:dyDescent="0.35">
      <c r="A473" s="2">
        <v>41078</v>
      </c>
      <c r="B473" s="3">
        <v>131.99095</v>
      </c>
      <c r="C473" s="4">
        <f t="shared" si="28"/>
        <v>-1.6766639999999882</v>
      </c>
      <c r="D473" s="4">
        <f t="shared" si="26"/>
        <v>-4.0351880000000051</v>
      </c>
      <c r="E473" s="3">
        <v>57.95</v>
      </c>
      <c r="F473" s="3">
        <v>20</v>
      </c>
      <c r="G473" s="3">
        <v>137.710644</v>
      </c>
      <c r="H473" s="4">
        <f t="shared" si="29"/>
        <v>-1.8717819999999961</v>
      </c>
      <c r="I473" s="4">
        <f t="shared" si="27"/>
        <v>-2.3434594999999945</v>
      </c>
      <c r="J473" s="3">
        <v>57.95</v>
      </c>
      <c r="K473" s="3">
        <v>20</v>
      </c>
    </row>
    <row r="474" spans="1:11" x14ac:dyDescent="0.35">
      <c r="A474" s="2">
        <v>41085</v>
      </c>
      <c r="B474" s="3">
        <v>131.54592000000002</v>
      </c>
      <c r="C474" s="4">
        <f t="shared" si="28"/>
        <v>-0.44502999999997428</v>
      </c>
      <c r="D474" s="4">
        <f t="shared" si="26"/>
        <v>-3.317245999999983</v>
      </c>
      <c r="E474" s="3">
        <v>57.95</v>
      </c>
      <c r="F474" s="3">
        <v>20</v>
      </c>
      <c r="G474" s="3">
        <v>137.20447600000003</v>
      </c>
      <c r="H474" s="4">
        <f t="shared" si="29"/>
        <v>-0.50616799999997397</v>
      </c>
      <c r="I474" s="4">
        <f t="shared" si="27"/>
        <v>-1.5623124999999902</v>
      </c>
      <c r="J474" s="3">
        <v>57.95</v>
      </c>
      <c r="K474" s="3">
        <v>20</v>
      </c>
    </row>
    <row r="475" spans="1:11" x14ac:dyDescent="0.35">
      <c r="A475" s="2">
        <v>41092</v>
      </c>
      <c r="B475" s="3">
        <v>130.49736200000001</v>
      </c>
      <c r="C475" s="4">
        <f t="shared" si="28"/>
        <v>-1.0485580000000141</v>
      </c>
      <c r="D475" s="4">
        <f t="shared" si="26"/>
        <v>-2.930813999999998</v>
      </c>
      <c r="E475" s="3">
        <v>57.95</v>
      </c>
      <c r="F475" s="3">
        <v>20</v>
      </c>
      <c r="G475" s="3">
        <v>135.90737000000001</v>
      </c>
      <c r="H475" s="4">
        <f t="shared" si="29"/>
        <v>-1.2971060000000136</v>
      </c>
      <c r="I475" s="4">
        <f t="shared" si="27"/>
        <v>-1.7946594999999945</v>
      </c>
      <c r="J475" s="3">
        <v>57.95</v>
      </c>
      <c r="K475" s="3">
        <v>20</v>
      </c>
    </row>
    <row r="476" spans="1:11" x14ac:dyDescent="0.35">
      <c r="A476" s="2">
        <v>41099</v>
      </c>
      <c r="B476" s="3">
        <v>131.05671599999999</v>
      </c>
      <c r="C476" s="4">
        <f t="shared" si="28"/>
        <v>0.55935399999998481</v>
      </c>
      <c r="D476" s="4">
        <f t="shared" si="26"/>
        <v>-3.1187740000000304</v>
      </c>
      <c r="E476" s="3">
        <v>57.95</v>
      </c>
      <c r="F476" s="3">
        <v>20</v>
      </c>
      <c r="G476" s="3">
        <v>136.43673799999999</v>
      </c>
      <c r="H476" s="4">
        <f t="shared" si="29"/>
        <v>0.52936799999997675</v>
      </c>
      <c r="I476" s="4">
        <f t="shared" si="27"/>
        <v>-1.9593419999999924</v>
      </c>
      <c r="J476" s="3">
        <v>57.95</v>
      </c>
      <c r="K476" s="3">
        <v>20</v>
      </c>
    </row>
    <row r="477" spans="1:11" x14ac:dyDescent="0.35">
      <c r="A477" s="2">
        <v>41106</v>
      </c>
      <c r="B477" s="3">
        <v>131.490128</v>
      </c>
      <c r="C477" s="4">
        <f t="shared" si="28"/>
        <v>0.43341200000000413</v>
      </c>
      <c r="D477" s="4">
        <f t="shared" si="26"/>
        <v>-3.483319999999992</v>
      </c>
      <c r="E477" s="3">
        <v>57.95</v>
      </c>
      <c r="F477" s="3">
        <v>20</v>
      </c>
      <c r="G477" s="3">
        <v>136.84723399999999</v>
      </c>
      <c r="H477" s="4">
        <f t="shared" si="29"/>
        <v>0.41049599999999486</v>
      </c>
      <c r="I477" s="4">
        <f t="shared" si="27"/>
        <v>-2.5132925000000341</v>
      </c>
      <c r="J477" s="3">
        <v>57.95</v>
      </c>
      <c r="K477" s="3">
        <v>20</v>
      </c>
    </row>
    <row r="478" spans="1:11" x14ac:dyDescent="0.35">
      <c r="A478" s="2">
        <v>41113</v>
      </c>
      <c r="B478" s="3">
        <v>132.21420599999999</v>
      </c>
      <c r="C478" s="4">
        <f t="shared" si="28"/>
        <v>0.72407799999999156</v>
      </c>
      <c r="D478" s="4">
        <f t="shared" si="26"/>
        <v>-3.4468699999999899</v>
      </c>
      <c r="E478" s="3">
        <v>57.95</v>
      </c>
      <c r="F478" s="3">
        <v>20</v>
      </c>
      <c r="G478" s="3">
        <v>137.72045800000001</v>
      </c>
      <c r="H478" s="4">
        <f t="shared" si="29"/>
        <v>0.87322400000002176</v>
      </c>
      <c r="I478" s="4">
        <f t="shared" si="27"/>
        <v>-2.2344329999999957</v>
      </c>
      <c r="J478" s="3">
        <v>57.95</v>
      </c>
      <c r="K478" s="3">
        <v>20</v>
      </c>
    </row>
    <row r="479" spans="1:11" x14ac:dyDescent="0.35">
      <c r="A479" s="2">
        <v>41120</v>
      </c>
      <c r="B479" s="3">
        <v>132.77736899999999</v>
      </c>
      <c r="C479" s="4">
        <f t="shared" si="28"/>
        <v>0.56316300000000297</v>
      </c>
      <c r="D479" s="4">
        <f t="shared" si="26"/>
        <v>-3.2894430000000057</v>
      </c>
      <c r="E479" s="3">
        <v>57.95</v>
      </c>
      <c r="F479" s="3">
        <v>20</v>
      </c>
      <c r="G479" s="3">
        <v>138.251048</v>
      </c>
      <c r="H479" s="4">
        <f t="shared" si="29"/>
        <v>0.53058999999998946</v>
      </c>
      <c r="I479" s="4">
        <f t="shared" si="27"/>
        <v>-2.3037915000000169</v>
      </c>
      <c r="J479" s="3">
        <v>57.95</v>
      </c>
      <c r="K479" s="3">
        <v>20</v>
      </c>
    </row>
    <row r="480" spans="1:11" x14ac:dyDescent="0.35">
      <c r="A480" s="2">
        <v>41127</v>
      </c>
      <c r="B480" s="3">
        <v>133.38968599999998</v>
      </c>
      <c r="C480" s="4">
        <f t="shared" si="28"/>
        <v>0.61231699999999023</v>
      </c>
      <c r="D480" s="4">
        <f t="shared" si="26"/>
        <v>-3.0738159999999937</v>
      </c>
      <c r="E480" s="3">
        <v>57.95</v>
      </c>
      <c r="F480" s="3">
        <v>20</v>
      </c>
      <c r="G480" s="3">
        <v>138.7893</v>
      </c>
      <c r="H480" s="4">
        <f t="shared" si="29"/>
        <v>0.53825199999999995</v>
      </c>
      <c r="I480" s="4">
        <f t="shared" si="27"/>
        <v>-2.0498405000000162</v>
      </c>
      <c r="J480" s="3">
        <v>57.95</v>
      </c>
      <c r="K480" s="3">
        <v>20</v>
      </c>
    </row>
    <row r="481" spans="1:11" x14ac:dyDescent="0.35">
      <c r="A481" s="2">
        <v>41134</v>
      </c>
      <c r="B481" s="3">
        <v>134.268494</v>
      </c>
      <c r="C481" s="4">
        <f t="shared" si="28"/>
        <v>0.87880800000002068</v>
      </c>
      <c r="D481" s="4">
        <f t="shared" si="26"/>
        <v>-1.679239999999993</v>
      </c>
      <c r="E481" s="3">
        <v>57.95</v>
      </c>
      <c r="F481" s="3">
        <v>20</v>
      </c>
      <c r="G481" s="3">
        <v>139.46056200000001</v>
      </c>
      <c r="H481" s="4">
        <f t="shared" si="29"/>
        <v>0.6712620000000129</v>
      </c>
      <c r="I481" s="4">
        <f t="shared" si="27"/>
        <v>-0.89636199999998212</v>
      </c>
      <c r="J481" s="3">
        <v>57.95</v>
      </c>
      <c r="K481" s="3">
        <v>20</v>
      </c>
    </row>
    <row r="482" spans="1:11" x14ac:dyDescent="0.35">
      <c r="A482" s="2">
        <v>41141</v>
      </c>
      <c r="B482" s="3">
        <v>135.72391199999998</v>
      </c>
      <c r="C482" s="4">
        <f t="shared" si="28"/>
        <v>1.4554179999999803</v>
      </c>
      <c r="D482" s="4">
        <f t="shared" si="26"/>
        <v>1.1646959999999922</v>
      </c>
      <c r="E482" s="3">
        <v>57.95</v>
      </c>
      <c r="F482" s="3">
        <v>20</v>
      </c>
      <c r="G482" s="3">
        <v>140.78570600000003</v>
      </c>
      <c r="H482" s="4">
        <f t="shared" si="29"/>
        <v>1.325144000000023</v>
      </c>
      <c r="I482" s="4">
        <f t="shared" si="27"/>
        <v>1.740945000000039</v>
      </c>
      <c r="J482" s="3">
        <v>57.95</v>
      </c>
      <c r="K482" s="3">
        <v>20</v>
      </c>
    </row>
    <row r="483" spans="1:11" x14ac:dyDescent="0.35">
      <c r="A483" s="2">
        <v>41148</v>
      </c>
      <c r="B483" s="3">
        <v>137.09820200000001</v>
      </c>
      <c r="C483" s="4">
        <f t="shared" si="28"/>
        <v>1.3742900000000304</v>
      </c>
      <c r="D483" s="4">
        <f t="shared" si="26"/>
        <v>2.7806260000000123</v>
      </c>
      <c r="E483" s="3">
        <v>57.95</v>
      </c>
      <c r="F483" s="3">
        <v>20</v>
      </c>
      <c r="G483" s="3">
        <v>142.168836</v>
      </c>
      <c r="H483" s="4">
        <f t="shared" si="29"/>
        <v>1.3831299999999658</v>
      </c>
      <c r="I483" s="4">
        <f t="shared" si="27"/>
        <v>3.453362999999996</v>
      </c>
      <c r="J483" s="3">
        <v>57.95</v>
      </c>
      <c r="K483" s="3">
        <v>20</v>
      </c>
    </row>
    <row r="484" spans="1:11" x14ac:dyDescent="0.35">
      <c r="A484" s="2">
        <v>41155</v>
      </c>
      <c r="B484" s="3">
        <v>138.02894799999999</v>
      </c>
      <c r="C484" s="4">
        <f t="shared" si="28"/>
        <v>0.93074599999997076</v>
      </c>
      <c r="D484" s="4">
        <f t="shared" si="26"/>
        <v>3.4095219999999813</v>
      </c>
      <c r="E484" s="3">
        <v>57.95</v>
      </c>
      <c r="F484" s="3">
        <v>20</v>
      </c>
      <c r="G484" s="3">
        <v>142.87187200000002</v>
      </c>
      <c r="H484" s="4">
        <f t="shared" si="29"/>
        <v>0.70303600000002575</v>
      </c>
      <c r="I484" s="4">
        <f t="shared" si="27"/>
        <v>3.9156940000000304</v>
      </c>
      <c r="J484" s="3">
        <v>57.95</v>
      </c>
      <c r="K484" s="3">
        <v>20</v>
      </c>
    </row>
    <row r="485" spans="1:11" x14ac:dyDescent="0.35">
      <c r="A485" s="2">
        <v>41162</v>
      </c>
      <c r="B485" s="3">
        <v>138.90583600000002</v>
      </c>
      <c r="C485" s="4">
        <f t="shared" si="28"/>
        <v>0.87688800000003653</v>
      </c>
      <c r="D485" s="4">
        <f t="shared" si="26"/>
        <v>3.902639000000022</v>
      </c>
      <c r="E485" s="3">
        <v>57.95</v>
      </c>
      <c r="F485" s="3">
        <v>20</v>
      </c>
      <c r="G485" s="3">
        <v>143.655124</v>
      </c>
      <c r="H485" s="4">
        <f t="shared" si="29"/>
        <v>0.78325199999997608</v>
      </c>
      <c r="I485" s="4">
        <f t="shared" si="27"/>
        <v>4.2566644999999994</v>
      </c>
      <c r="J485" s="3">
        <v>57.95</v>
      </c>
      <c r="K485" s="3">
        <v>20</v>
      </c>
    </row>
    <row r="486" spans="1:11" x14ac:dyDescent="0.35">
      <c r="A486" s="2">
        <v>41169</v>
      </c>
      <c r="B486" s="3">
        <v>139.42084</v>
      </c>
      <c r="C486" s="4">
        <f t="shared" si="28"/>
        <v>0.51500399999997626</v>
      </c>
      <c r="D486" s="4">
        <f t="shared" si="26"/>
        <v>4.0190320000000099</v>
      </c>
      <c r="E486" s="3">
        <v>57.95</v>
      </c>
      <c r="F486" s="3">
        <v>20</v>
      </c>
      <c r="G486" s="3">
        <v>144.17528600000003</v>
      </c>
      <c r="H486" s="4">
        <f t="shared" si="29"/>
        <v>0.52016200000002755</v>
      </c>
      <c r="I486" s="4">
        <f t="shared" si="27"/>
        <v>4.3137460000000374</v>
      </c>
      <c r="J486" s="3">
        <v>57.95</v>
      </c>
      <c r="K486" s="3">
        <v>20</v>
      </c>
    </row>
    <row r="487" spans="1:11" x14ac:dyDescent="0.35">
      <c r="A487" s="2">
        <v>41176</v>
      </c>
      <c r="B487" s="3">
        <v>139.53570199999999</v>
      </c>
      <c r="C487" s="4">
        <f t="shared" si="28"/>
        <v>0.11486199999998803</v>
      </c>
      <c r="D487" s="4">
        <f t="shared" si="26"/>
        <v>3.881637999999981</v>
      </c>
      <c r="E487" s="3">
        <v>57.95</v>
      </c>
      <c r="F487" s="3">
        <v>20</v>
      </c>
      <c r="G487" s="3">
        <v>144.35665399999999</v>
      </c>
      <c r="H487" s="4">
        <f t="shared" si="29"/>
        <v>0.18136799999996356</v>
      </c>
      <c r="I487" s="4">
        <f t="shared" si="27"/>
        <v>4.2163714999999797</v>
      </c>
      <c r="J487" s="3">
        <v>57.95</v>
      </c>
      <c r="K487" s="3">
        <v>20</v>
      </c>
    </row>
    <row r="488" spans="1:11" x14ac:dyDescent="0.35">
      <c r="A488" s="2">
        <v>41183</v>
      </c>
      <c r="B488" s="3">
        <v>138.432863</v>
      </c>
      <c r="C488" s="4">
        <f t="shared" si="28"/>
        <v>-1.1028389999999888</v>
      </c>
      <c r="D488" s="4">
        <f t="shared" si="26"/>
        <v>3.4113549999999861</v>
      </c>
      <c r="E488" s="3">
        <v>57.95</v>
      </c>
      <c r="F488" s="3">
        <v>20</v>
      </c>
      <c r="G488" s="3">
        <v>143.28373400000001</v>
      </c>
      <c r="H488" s="4">
        <f t="shared" si="29"/>
        <v>-1.0729199999999821</v>
      </c>
      <c r="I488" s="4">
        <f t="shared" si="27"/>
        <v>3.5179134999999917</v>
      </c>
      <c r="J488" s="3">
        <v>57.95</v>
      </c>
      <c r="K488" s="3">
        <v>20</v>
      </c>
    </row>
    <row r="489" spans="1:11" x14ac:dyDescent="0.35">
      <c r="A489" s="2">
        <v>41190</v>
      </c>
      <c r="B489" s="3">
        <v>138.236786</v>
      </c>
      <c r="C489" s="4">
        <f t="shared" si="28"/>
        <v>-0.1960770000000025</v>
      </c>
      <c r="D489" s="4">
        <f t="shared" si="26"/>
        <v>3.7646960000000149</v>
      </c>
      <c r="E489" s="3">
        <v>57.95</v>
      </c>
      <c r="F489" s="3">
        <v>20</v>
      </c>
      <c r="G489" s="3">
        <v>143.04659800000002</v>
      </c>
      <c r="H489" s="4">
        <f t="shared" si="29"/>
        <v>-0.23713599999999246</v>
      </c>
      <c r="I489" s="4">
        <f t="shared" si="27"/>
        <v>3.5262005000000158</v>
      </c>
      <c r="J489" s="3">
        <v>57.95</v>
      </c>
      <c r="K489" s="3">
        <v>20</v>
      </c>
    </row>
    <row r="490" spans="1:11" x14ac:dyDescent="0.35">
      <c r="A490" s="2">
        <v>41197</v>
      </c>
      <c r="B490" s="3">
        <v>138.34782000000001</v>
      </c>
      <c r="C490" s="4">
        <f t="shared" si="28"/>
        <v>0.11103400000001784</v>
      </c>
      <c r="D490" s="4">
        <f t="shared" si="26"/>
        <v>3.8591760000000193</v>
      </c>
      <c r="E490" s="3">
        <v>57.95</v>
      </c>
      <c r="F490" s="3">
        <v>20</v>
      </c>
      <c r="G490" s="3">
        <v>143.23495600000001</v>
      </c>
      <c r="H490" s="4">
        <f t="shared" si="29"/>
        <v>0.18835799999999381</v>
      </c>
      <c r="I490" s="4">
        <f t="shared" si="27"/>
        <v>3.5094950000000154</v>
      </c>
      <c r="J490" s="3">
        <v>57.95</v>
      </c>
      <c r="K490" s="3">
        <v>20</v>
      </c>
    </row>
    <row r="491" spans="1:11" x14ac:dyDescent="0.35">
      <c r="A491" s="2">
        <v>41204</v>
      </c>
      <c r="B491" s="3">
        <v>138.29239100000001</v>
      </c>
      <c r="C491" s="4">
        <f t="shared" si="28"/>
        <v>-5.5429000000003725E-2</v>
      </c>
      <c r="D491" s="4">
        <f t="shared" si="26"/>
        <v>3.6331950000000006</v>
      </c>
      <c r="E491" s="3">
        <v>57.95</v>
      </c>
      <c r="F491" s="3">
        <v>20</v>
      </c>
      <c r="G491" s="3">
        <v>143.226978</v>
      </c>
      <c r="H491" s="4">
        <f t="shared" si="29"/>
        <v>-7.9780000000084783E-3</v>
      </c>
      <c r="I491" s="4">
        <f t="shared" si="27"/>
        <v>3.0327109999999777</v>
      </c>
      <c r="J491" s="3">
        <v>57.95</v>
      </c>
      <c r="K491" s="3">
        <v>20</v>
      </c>
    </row>
    <row r="492" spans="1:11" x14ac:dyDescent="0.35">
      <c r="A492" s="2">
        <v>41211</v>
      </c>
      <c r="B492" s="3">
        <v>136.983599</v>
      </c>
      <c r="C492" s="4">
        <f t="shared" si="28"/>
        <v>-1.3087920000000111</v>
      </c>
      <c r="D492" s="4">
        <f t="shared" si="26"/>
        <v>2.2489829999999813</v>
      </c>
      <c r="E492" s="3">
        <v>57.95</v>
      </c>
      <c r="F492" s="3">
        <v>20</v>
      </c>
      <c r="G492" s="3">
        <v>142.99806599999999</v>
      </c>
      <c r="H492" s="4">
        <f t="shared" si="29"/>
        <v>-0.22891200000000822</v>
      </c>
      <c r="I492" s="4">
        <f t="shared" si="27"/>
        <v>2.7270159999999919</v>
      </c>
      <c r="J492" s="3">
        <v>57.95</v>
      </c>
      <c r="K492" s="3">
        <v>20</v>
      </c>
    </row>
    <row r="493" spans="1:11" x14ac:dyDescent="0.35">
      <c r="A493" s="2">
        <v>41218</v>
      </c>
      <c r="B493" s="3">
        <v>136.43301499999998</v>
      </c>
      <c r="C493" s="4">
        <f t="shared" si="28"/>
        <v>-0.55058400000001484</v>
      </c>
      <c r="D493" s="4">
        <f t="shared" si="26"/>
        <v>2.0276470000000018</v>
      </c>
      <c r="E493" s="3">
        <v>57.95</v>
      </c>
      <c r="F493" s="3">
        <v>20</v>
      </c>
      <c r="G493" s="3">
        <v>142.753433</v>
      </c>
      <c r="H493" s="4">
        <f t="shared" si="29"/>
        <v>-0.24463299999999322</v>
      </c>
      <c r="I493" s="4">
        <f t="shared" si="27"/>
        <v>2.3366985000000113</v>
      </c>
      <c r="J493" s="3">
        <v>57.95</v>
      </c>
      <c r="K493" s="3">
        <v>20</v>
      </c>
    </row>
    <row r="494" spans="1:11" x14ac:dyDescent="0.35">
      <c r="A494" s="2">
        <v>41225</v>
      </c>
      <c r="B494" s="3">
        <v>135.086015</v>
      </c>
      <c r="C494" s="4">
        <f t="shared" si="28"/>
        <v>-1.34699999999998</v>
      </c>
      <c r="D494" s="4">
        <f t="shared" si="26"/>
        <v>1.409715000000034</v>
      </c>
      <c r="E494" s="3">
        <v>57.95</v>
      </c>
      <c r="F494" s="3">
        <v>20</v>
      </c>
      <c r="G494" s="3">
        <v>141.74304000000001</v>
      </c>
      <c r="H494" s="4">
        <f t="shared" si="29"/>
        <v>-1.0103929999999934</v>
      </c>
      <c r="I494" s="4">
        <f t="shared" si="27"/>
        <v>1.2107965000000149</v>
      </c>
      <c r="J494" s="3">
        <v>57.95</v>
      </c>
      <c r="K494" s="3">
        <v>20</v>
      </c>
    </row>
    <row r="495" spans="1:11" x14ac:dyDescent="0.35">
      <c r="A495" s="2">
        <v>41232</v>
      </c>
      <c r="B495" s="3">
        <v>134.561207</v>
      </c>
      <c r="C495" s="4">
        <f t="shared" si="28"/>
        <v>-0.52480800000000727</v>
      </c>
      <c r="D495" s="4">
        <f t="shared" si="26"/>
        <v>1.1861869999999897</v>
      </c>
      <c r="E495" s="3">
        <v>57.95</v>
      </c>
      <c r="F495" s="3">
        <v>20</v>
      </c>
      <c r="G495" s="3">
        <v>141.32775599999999</v>
      </c>
      <c r="H495" s="4">
        <f t="shared" si="29"/>
        <v>-0.41528400000001398</v>
      </c>
      <c r="I495" s="4">
        <f t="shared" si="27"/>
        <v>0.26404249999998797</v>
      </c>
      <c r="J495" s="3">
        <v>57.95</v>
      </c>
      <c r="K495" s="3">
        <v>20</v>
      </c>
    </row>
    <row r="496" spans="1:11" x14ac:dyDescent="0.35">
      <c r="A496" s="2">
        <v>41239</v>
      </c>
      <c r="B496" s="3">
        <v>134.37590900000001</v>
      </c>
      <c r="C496" s="4">
        <f t="shared" si="28"/>
        <v>-0.18529799999998886</v>
      </c>
      <c r="D496" s="4">
        <f t="shared" si="26"/>
        <v>1.2082220000000063</v>
      </c>
      <c r="E496" s="3">
        <v>57.95</v>
      </c>
      <c r="F496" s="3">
        <v>20</v>
      </c>
      <c r="G496" s="3">
        <v>141.12770800000001</v>
      </c>
      <c r="H496" s="4">
        <f t="shared" si="29"/>
        <v>-0.20004799999998113</v>
      </c>
      <c r="I496" s="4">
        <f t="shared" si="27"/>
        <v>3.1765500000005886E-2</v>
      </c>
      <c r="J496" s="3">
        <v>57.95</v>
      </c>
      <c r="K496" s="3">
        <v>20</v>
      </c>
    </row>
    <row r="497" spans="1:11" x14ac:dyDescent="0.35">
      <c r="A497" s="2">
        <v>41246</v>
      </c>
      <c r="B497" s="3">
        <v>133.049633</v>
      </c>
      <c r="C497" s="4">
        <f t="shared" si="28"/>
        <v>-1.3262760000000071</v>
      </c>
      <c r="D497" s="4">
        <f t="shared" si="26"/>
        <v>0.27252500000000168</v>
      </c>
      <c r="E497" s="3">
        <v>57.95</v>
      </c>
      <c r="F497" s="3">
        <v>20</v>
      </c>
      <c r="G497" s="3">
        <v>140.90526399999999</v>
      </c>
      <c r="H497" s="4">
        <f t="shared" si="29"/>
        <v>-0.22244400000002429</v>
      </c>
      <c r="I497" s="4">
        <f t="shared" si="27"/>
        <v>-8.8746000000014647E-2</v>
      </c>
      <c r="J497" s="3">
        <v>57.95</v>
      </c>
      <c r="K497" s="3">
        <v>20</v>
      </c>
    </row>
    <row r="498" spans="1:11" x14ac:dyDescent="0.35">
      <c r="A498" s="2">
        <v>41253</v>
      </c>
      <c r="B498" s="3">
        <v>132.548633</v>
      </c>
      <c r="C498" s="4">
        <f t="shared" si="28"/>
        <v>-0.50100000000000477</v>
      </c>
      <c r="D498" s="4">
        <f t="shared" si="26"/>
        <v>2.06410000000119E-2</v>
      </c>
      <c r="E498" s="3">
        <v>57.95</v>
      </c>
      <c r="F498" s="3">
        <v>20</v>
      </c>
      <c r="G498" s="3">
        <v>140.76424</v>
      </c>
      <c r="H498" s="4">
        <f t="shared" si="29"/>
        <v>-0.14102399999998738</v>
      </c>
      <c r="I498" s="4">
        <f t="shared" si="27"/>
        <v>-0.18806449999999586</v>
      </c>
      <c r="J498" s="3">
        <v>57.95</v>
      </c>
      <c r="K498" s="3">
        <v>20</v>
      </c>
    </row>
    <row r="499" spans="1:11" x14ac:dyDescent="0.35">
      <c r="A499" s="2">
        <v>41260</v>
      </c>
      <c r="B499" s="3">
        <v>131.97664700000001</v>
      </c>
      <c r="C499" s="4">
        <f t="shared" si="28"/>
        <v>-0.57198599999998123</v>
      </c>
      <c r="D499" s="4">
        <f t="shared" si="26"/>
        <v>-0.51055899999997223</v>
      </c>
      <c r="E499" s="3">
        <v>57.95</v>
      </c>
      <c r="F499" s="3">
        <v>20</v>
      </c>
      <c r="G499" s="3">
        <v>140.07936999999998</v>
      </c>
      <c r="H499" s="4">
        <f t="shared" si="29"/>
        <v>-0.68487000000001785</v>
      </c>
      <c r="I499" s="4">
        <f t="shared" si="27"/>
        <v>-0.84657400000003236</v>
      </c>
      <c r="J499" s="3">
        <v>57.95</v>
      </c>
      <c r="K499" s="3">
        <v>20</v>
      </c>
    </row>
    <row r="500" spans="1:11" x14ac:dyDescent="0.35">
      <c r="A500" s="2">
        <v>41267</v>
      </c>
      <c r="B500" s="3">
        <v>131.95196300000001</v>
      </c>
      <c r="C500" s="4">
        <f t="shared" si="28"/>
        <v>-2.46840000000077E-2</v>
      </c>
      <c r="D500" s="4">
        <f t="shared" si="26"/>
        <v>-0.45788200000001211</v>
      </c>
      <c r="E500" s="3">
        <v>57.95</v>
      </c>
      <c r="F500" s="3">
        <v>20</v>
      </c>
      <c r="G500" s="3">
        <v>139.838594</v>
      </c>
      <c r="H500" s="4">
        <f t="shared" si="29"/>
        <v>-0.24077599999998256</v>
      </c>
      <c r="I500" s="4">
        <f t="shared" si="27"/>
        <v>-0.93478100000001518</v>
      </c>
      <c r="J500" s="3">
        <v>57.95</v>
      </c>
      <c r="K500" s="3">
        <v>20</v>
      </c>
    </row>
    <row r="501" spans="1:11" x14ac:dyDescent="0.35">
      <c r="A501" s="2">
        <v>41274</v>
      </c>
      <c r="B501" s="3">
        <v>131.91955799999999</v>
      </c>
      <c r="C501" s="4">
        <f t="shared" si="28"/>
        <v>-3.2405000000011341E-2</v>
      </c>
      <c r="D501" s="4">
        <f t="shared" si="26"/>
        <v>-0.48295100000001412</v>
      </c>
      <c r="E501" s="3">
        <v>57.95</v>
      </c>
      <c r="F501" s="3">
        <v>20</v>
      </c>
      <c r="G501" s="3">
        <v>139.81163000000001</v>
      </c>
      <c r="H501" s="4">
        <f t="shared" si="29"/>
        <v>-2.6963999999992438E-2</v>
      </c>
      <c r="I501" s="4">
        <f t="shared" si="27"/>
        <v>-1.0246799999999894</v>
      </c>
      <c r="J501" s="3">
        <v>57.95</v>
      </c>
      <c r="K501" s="3">
        <v>20</v>
      </c>
    </row>
    <row r="502" spans="1:11" x14ac:dyDescent="0.35">
      <c r="A502" s="2">
        <v>41281</v>
      </c>
      <c r="B502" s="3">
        <v>131.86071500000003</v>
      </c>
      <c r="C502" s="4">
        <f t="shared" si="28"/>
        <v>-5.884299999996756E-2</v>
      </c>
      <c r="D502" s="4">
        <f t="shared" si="26"/>
        <v>-0.82076499999996599</v>
      </c>
      <c r="E502" s="3">
        <v>57.95</v>
      </c>
      <c r="F502" s="3">
        <v>20</v>
      </c>
      <c r="G502" s="3">
        <v>139.75267300000002</v>
      </c>
      <c r="H502" s="4">
        <f t="shared" si="29"/>
        <v>-5.8956999999992377E-2</v>
      </c>
      <c r="I502" s="4">
        <f t="shared" si="27"/>
        <v>-1.2519619999999918</v>
      </c>
      <c r="J502" s="3">
        <v>57.95</v>
      </c>
      <c r="K502" s="3">
        <v>20</v>
      </c>
    </row>
    <row r="503" spans="1:11" x14ac:dyDescent="0.35">
      <c r="A503" s="2">
        <v>41288</v>
      </c>
      <c r="B503" s="3">
        <v>132.000415</v>
      </c>
      <c r="C503" s="4">
        <f t="shared" si="28"/>
        <v>0.1396999999999764</v>
      </c>
      <c r="D503" s="4">
        <f t="shared" ref="D503:D566" si="30">B503-B451</f>
        <v>-1.2937110000000018</v>
      </c>
      <c r="E503" s="3">
        <v>57.95</v>
      </c>
      <c r="F503" s="3">
        <v>20</v>
      </c>
      <c r="G503" s="3">
        <v>139.67838</v>
      </c>
      <c r="H503" s="4">
        <f t="shared" si="29"/>
        <v>-7.4293000000011489E-2</v>
      </c>
      <c r="I503" s="4">
        <f t="shared" ref="I503:I566" si="31">G503-G451</f>
        <v>-2.0075004999999919</v>
      </c>
      <c r="J503" s="3">
        <v>57.95</v>
      </c>
      <c r="K503" s="3">
        <v>20</v>
      </c>
    </row>
    <row r="504" spans="1:11" x14ac:dyDescent="0.35">
      <c r="A504" s="2">
        <v>41295</v>
      </c>
      <c r="B504" s="3">
        <v>132.21391</v>
      </c>
      <c r="C504" s="4">
        <f t="shared" si="28"/>
        <v>0.21349499999999466</v>
      </c>
      <c r="D504" s="4">
        <f t="shared" si="30"/>
        <v>-1.5072110000000123</v>
      </c>
      <c r="E504" s="3">
        <v>57.95</v>
      </c>
      <c r="F504" s="3">
        <v>20</v>
      </c>
      <c r="G504" s="3">
        <v>139.952684</v>
      </c>
      <c r="H504" s="4">
        <f t="shared" si="29"/>
        <v>0.27430400000000077</v>
      </c>
      <c r="I504" s="4">
        <f t="shared" si="31"/>
        <v>-2.1081499999999664</v>
      </c>
      <c r="J504" s="3">
        <v>57.95</v>
      </c>
      <c r="K504" s="3">
        <v>20</v>
      </c>
    </row>
    <row r="505" spans="1:11" x14ac:dyDescent="0.35">
      <c r="A505" s="2">
        <v>41302</v>
      </c>
      <c r="B505" s="3">
        <v>132.9495</v>
      </c>
      <c r="C505" s="4">
        <f t="shared" si="28"/>
        <v>0.73559000000000196</v>
      </c>
      <c r="D505" s="4">
        <f t="shared" si="30"/>
        <v>-1.1518839999999955</v>
      </c>
      <c r="E505" s="3">
        <v>57.95</v>
      </c>
      <c r="F505" s="3">
        <v>20</v>
      </c>
      <c r="G505" s="3">
        <v>140.766412</v>
      </c>
      <c r="H505" s="4">
        <f t="shared" si="29"/>
        <v>0.81372799999999756</v>
      </c>
      <c r="I505" s="4">
        <f t="shared" si="31"/>
        <v>-1.6808500000000208</v>
      </c>
      <c r="J505" s="3">
        <v>57.95</v>
      </c>
      <c r="K505" s="3">
        <v>20</v>
      </c>
    </row>
    <row r="506" spans="1:11" x14ac:dyDescent="0.35">
      <c r="A506" s="2">
        <v>41309</v>
      </c>
      <c r="B506" s="3">
        <v>134.380516</v>
      </c>
      <c r="C506" s="4">
        <f t="shared" si="28"/>
        <v>1.4310159999999996</v>
      </c>
      <c r="D506" s="4">
        <f t="shared" si="30"/>
        <v>0.12749999999999773</v>
      </c>
      <c r="E506" s="3">
        <v>57.95</v>
      </c>
      <c r="F506" s="3">
        <v>20</v>
      </c>
      <c r="G506" s="3">
        <v>141.91007200000001</v>
      </c>
      <c r="H506" s="4">
        <f t="shared" si="29"/>
        <v>1.1436600000000112</v>
      </c>
      <c r="I506" s="4">
        <f t="shared" si="31"/>
        <v>-0.32772800000000757</v>
      </c>
      <c r="J506" s="3">
        <v>57.95</v>
      </c>
      <c r="K506" s="3">
        <v>20</v>
      </c>
    </row>
    <row r="507" spans="1:11" x14ac:dyDescent="0.35">
      <c r="A507" s="2">
        <v>41316</v>
      </c>
      <c r="B507" s="3">
        <v>135.560969</v>
      </c>
      <c r="C507" s="4">
        <f t="shared" si="28"/>
        <v>1.180453</v>
      </c>
      <c r="D507" s="4">
        <f t="shared" si="30"/>
        <v>0.66355800000002318</v>
      </c>
      <c r="E507" s="3">
        <v>57.95</v>
      </c>
      <c r="F507" s="3">
        <v>20</v>
      </c>
      <c r="G507" s="3">
        <v>143.02667200000002</v>
      </c>
      <c r="H507" s="4">
        <f t="shared" si="29"/>
        <v>1.1166000000000054</v>
      </c>
      <c r="I507" s="4">
        <f t="shared" si="31"/>
        <v>0.20129350000001978</v>
      </c>
      <c r="J507" s="3">
        <v>57.95</v>
      </c>
      <c r="K507" s="3">
        <v>20</v>
      </c>
    </row>
    <row r="508" spans="1:11" x14ac:dyDescent="0.35">
      <c r="A508" s="2">
        <v>41323</v>
      </c>
      <c r="B508" s="3">
        <v>136.858936</v>
      </c>
      <c r="C508" s="4">
        <f t="shared" si="28"/>
        <v>1.2979669999999999</v>
      </c>
      <c r="D508" s="4">
        <f t="shared" si="30"/>
        <v>1.647499732</v>
      </c>
      <c r="E508" s="3">
        <v>57.95</v>
      </c>
      <c r="F508" s="3">
        <v>20</v>
      </c>
      <c r="G508" s="3">
        <v>144.170064</v>
      </c>
      <c r="H508" s="4">
        <f t="shared" si="29"/>
        <v>1.1433919999999773</v>
      </c>
      <c r="I508" s="4">
        <f t="shared" si="31"/>
        <v>1.0179558449999888</v>
      </c>
      <c r="J508" s="3">
        <v>57.95</v>
      </c>
      <c r="K508" s="3">
        <v>20</v>
      </c>
    </row>
    <row r="509" spans="1:11" x14ac:dyDescent="0.35">
      <c r="A509" s="2">
        <v>41330</v>
      </c>
      <c r="B509" s="3">
        <v>138.49662400000003</v>
      </c>
      <c r="C509" s="4">
        <f t="shared" si="28"/>
        <v>1.6376880000000256</v>
      </c>
      <c r="D509" s="4">
        <f t="shared" si="30"/>
        <v>2.284274000000039</v>
      </c>
      <c r="E509" s="3">
        <v>57.95</v>
      </c>
      <c r="F509" s="3">
        <v>20</v>
      </c>
      <c r="G509" s="3">
        <v>145.54502000000002</v>
      </c>
      <c r="H509" s="4">
        <f t="shared" si="29"/>
        <v>1.3749560000000258</v>
      </c>
      <c r="I509" s="4">
        <f t="shared" si="31"/>
        <v>1.6245294999999942</v>
      </c>
      <c r="J509" s="3">
        <v>57.95</v>
      </c>
      <c r="K509" s="3">
        <v>20</v>
      </c>
    </row>
    <row r="510" spans="1:11" x14ac:dyDescent="0.35">
      <c r="A510" s="2">
        <v>41337</v>
      </c>
      <c r="B510" s="3">
        <v>139.47330600000001</v>
      </c>
      <c r="C510" s="4">
        <f t="shared" si="28"/>
        <v>0.97668199999998251</v>
      </c>
      <c r="D510" s="4">
        <f t="shared" si="30"/>
        <v>2.1700440000000185</v>
      </c>
      <c r="E510" s="3">
        <v>57.95</v>
      </c>
      <c r="F510" s="3">
        <v>20</v>
      </c>
      <c r="G510" s="3">
        <v>146.34438</v>
      </c>
      <c r="H510" s="4">
        <f t="shared" si="29"/>
        <v>0.79935999999997875</v>
      </c>
      <c r="I510" s="4">
        <f t="shared" si="31"/>
        <v>1.632874500000014</v>
      </c>
      <c r="J510" s="3">
        <v>57.95</v>
      </c>
      <c r="K510" s="3">
        <v>20</v>
      </c>
    </row>
    <row r="511" spans="1:11" x14ac:dyDescent="0.35">
      <c r="A511" s="2">
        <v>41344</v>
      </c>
      <c r="B511" s="3">
        <v>139.99731299999999</v>
      </c>
      <c r="C511" s="4">
        <f t="shared" si="28"/>
        <v>0.52400699999998324</v>
      </c>
      <c r="D511" s="4">
        <f t="shared" si="30"/>
        <v>2.0958889999999712</v>
      </c>
      <c r="E511" s="3">
        <v>57.95</v>
      </c>
      <c r="F511" s="3">
        <v>20</v>
      </c>
      <c r="G511" s="3">
        <v>146.71072000000001</v>
      </c>
      <c r="H511" s="4">
        <f t="shared" si="29"/>
        <v>0.3663400000000081</v>
      </c>
      <c r="I511" s="4">
        <f t="shared" si="31"/>
        <v>1.5645920000000046</v>
      </c>
      <c r="J511" s="3">
        <v>57.95</v>
      </c>
      <c r="K511" s="3">
        <v>20</v>
      </c>
    </row>
    <row r="512" spans="1:11" x14ac:dyDescent="0.35">
      <c r="A512" s="2">
        <v>41351</v>
      </c>
      <c r="B512" s="3">
        <v>137.58264399999999</v>
      </c>
      <c r="C512" s="4">
        <f t="shared" si="28"/>
        <v>-2.4146690000000035</v>
      </c>
      <c r="D512" s="4">
        <f t="shared" si="30"/>
        <v>-1.3747220000000198</v>
      </c>
      <c r="E512" s="3">
        <v>57.95</v>
      </c>
      <c r="F512" s="3">
        <v>20</v>
      </c>
      <c r="G512" s="3">
        <v>144.84169600000001</v>
      </c>
      <c r="H512" s="4">
        <f t="shared" si="29"/>
        <v>-1.869023999999996</v>
      </c>
      <c r="I512" s="4">
        <f t="shared" si="31"/>
        <v>-1.3193394999999555</v>
      </c>
      <c r="J512" s="3">
        <v>57.95</v>
      </c>
      <c r="K512" s="3">
        <v>20</v>
      </c>
    </row>
    <row r="513" spans="1:11" x14ac:dyDescent="0.35">
      <c r="A513" s="2">
        <v>41358</v>
      </c>
      <c r="B513" s="3">
        <v>137.08594400000001</v>
      </c>
      <c r="C513" s="4">
        <f t="shared" si="28"/>
        <v>-0.49669999999997572</v>
      </c>
      <c r="D513" s="4">
        <f t="shared" si="30"/>
        <v>-2.39421999999999</v>
      </c>
      <c r="E513" s="3">
        <v>57.95</v>
      </c>
      <c r="F513" s="3">
        <v>20</v>
      </c>
      <c r="G513" s="3">
        <v>144.33430200000001</v>
      </c>
      <c r="H513" s="4">
        <f t="shared" si="29"/>
        <v>-0.50739400000000501</v>
      </c>
      <c r="I513" s="4">
        <f t="shared" si="31"/>
        <v>-2.2239634999999964</v>
      </c>
      <c r="J513" s="3">
        <v>57.95</v>
      </c>
      <c r="K513" s="3">
        <v>20</v>
      </c>
    </row>
    <row r="514" spans="1:11" x14ac:dyDescent="0.35">
      <c r="A514" s="2">
        <v>41365</v>
      </c>
      <c r="B514" s="3">
        <v>137.29717400000001</v>
      </c>
      <c r="C514" s="4">
        <f t="shared" si="28"/>
        <v>0.21123000000000047</v>
      </c>
      <c r="D514" s="4">
        <f t="shared" si="30"/>
        <v>-3.695844999999963</v>
      </c>
      <c r="E514" s="3">
        <v>57.95</v>
      </c>
      <c r="F514" s="3">
        <v>20</v>
      </c>
      <c r="G514" s="3">
        <v>143.506238</v>
      </c>
      <c r="H514" s="4">
        <f t="shared" si="29"/>
        <v>-0.8280640000000119</v>
      </c>
      <c r="I514" s="4">
        <f t="shared" si="31"/>
        <v>-4.1735370000000103</v>
      </c>
      <c r="J514" s="3">
        <v>57.95</v>
      </c>
      <c r="K514" s="3">
        <v>20</v>
      </c>
    </row>
    <row r="515" spans="1:11" x14ac:dyDescent="0.35">
      <c r="A515" s="2">
        <v>41372</v>
      </c>
      <c r="B515" s="3">
        <v>137.30526600000002</v>
      </c>
      <c r="C515" s="4">
        <f t="shared" ref="C515:C578" si="32">B515-B514</f>
        <v>8.0920000000048731E-3</v>
      </c>
      <c r="D515" s="4">
        <f t="shared" si="30"/>
        <v>-4.6662779999999771</v>
      </c>
      <c r="E515" s="3">
        <v>57.95</v>
      </c>
      <c r="F515" s="3">
        <v>20</v>
      </c>
      <c r="G515" s="3">
        <v>143.13313399999998</v>
      </c>
      <c r="H515" s="4">
        <f t="shared" ref="H515:H578" si="33">G515-G514</f>
        <v>-0.37310400000001209</v>
      </c>
      <c r="I515" s="4">
        <f t="shared" si="31"/>
        <v>-4.8703175000000272</v>
      </c>
      <c r="J515" s="3">
        <v>57.95</v>
      </c>
      <c r="K515" s="3">
        <v>20</v>
      </c>
    </row>
    <row r="516" spans="1:11" x14ac:dyDescent="0.35">
      <c r="A516" s="2">
        <v>41379</v>
      </c>
      <c r="B516" s="3">
        <v>137.10880200000003</v>
      </c>
      <c r="C516" s="4">
        <f t="shared" si="32"/>
        <v>-0.19646399999999176</v>
      </c>
      <c r="D516" s="4">
        <f t="shared" si="30"/>
        <v>-5.063951999999972</v>
      </c>
      <c r="E516" s="3">
        <v>57.95</v>
      </c>
      <c r="F516" s="3">
        <v>20</v>
      </c>
      <c r="G516" s="3">
        <v>141.66509600000001</v>
      </c>
      <c r="H516" s="4">
        <f t="shared" si="33"/>
        <v>-1.4680379999999786</v>
      </c>
      <c r="I516" s="4">
        <f t="shared" si="31"/>
        <v>-6.3726134999999999</v>
      </c>
      <c r="J516" s="3">
        <v>57.95</v>
      </c>
      <c r="K516" s="3">
        <v>20</v>
      </c>
    </row>
    <row r="517" spans="1:11" x14ac:dyDescent="0.35">
      <c r="A517" s="2">
        <v>41386</v>
      </c>
      <c r="B517" s="3">
        <v>135.680712</v>
      </c>
      <c r="C517" s="4">
        <f t="shared" si="32"/>
        <v>-1.4280900000000258</v>
      </c>
      <c r="D517" s="4">
        <f t="shared" si="30"/>
        <v>-6.0783079999999927</v>
      </c>
      <c r="E517" s="3">
        <v>57.95</v>
      </c>
      <c r="F517" s="3">
        <v>20</v>
      </c>
      <c r="G517" s="3">
        <v>140.63922599999998</v>
      </c>
      <c r="H517" s="4">
        <f t="shared" si="33"/>
        <v>-1.025870000000026</v>
      </c>
      <c r="I517" s="4">
        <f t="shared" si="31"/>
        <v>-7.3220175000000438</v>
      </c>
      <c r="J517" s="3">
        <v>57.95</v>
      </c>
      <c r="K517" s="3">
        <v>20</v>
      </c>
    </row>
    <row r="518" spans="1:11" x14ac:dyDescent="0.35">
      <c r="A518" s="2">
        <v>41393</v>
      </c>
      <c r="B518" s="3">
        <v>134.66240100000002</v>
      </c>
      <c r="C518" s="4">
        <f t="shared" si="32"/>
        <v>-1.0183109999999829</v>
      </c>
      <c r="D518" s="4">
        <f t="shared" si="30"/>
        <v>-6.3418109999999785</v>
      </c>
      <c r="E518" s="3">
        <v>57.95</v>
      </c>
      <c r="F518" s="3">
        <v>20</v>
      </c>
      <c r="G518" s="3">
        <v>139.59394400000002</v>
      </c>
      <c r="H518" s="4">
        <f t="shared" si="33"/>
        <v>-1.0452819999999576</v>
      </c>
      <c r="I518" s="4">
        <f t="shared" si="31"/>
        <v>-7.4581224999999733</v>
      </c>
      <c r="J518" s="3">
        <v>57.95</v>
      </c>
      <c r="K518" s="3">
        <v>20</v>
      </c>
    </row>
    <row r="519" spans="1:11" x14ac:dyDescent="0.35">
      <c r="A519" s="2">
        <v>41400</v>
      </c>
      <c r="B519" s="3">
        <v>133.41651199999998</v>
      </c>
      <c r="C519" s="4">
        <f t="shared" si="32"/>
        <v>-1.2458890000000338</v>
      </c>
      <c r="D519" s="4">
        <f t="shared" si="30"/>
        <v>-6.7199900000000241</v>
      </c>
      <c r="E519" s="3">
        <v>57.95</v>
      </c>
      <c r="F519" s="3">
        <v>20</v>
      </c>
      <c r="G519" s="3">
        <v>138.54057800000001</v>
      </c>
      <c r="H519" s="4">
        <f t="shared" si="33"/>
        <v>-1.0533660000000111</v>
      </c>
      <c r="I519" s="4">
        <f t="shared" si="31"/>
        <v>-7.8556340000000091</v>
      </c>
      <c r="J519" s="3">
        <v>57.95</v>
      </c>
      <c r="K519" s="3">
        <v>20</v>
      </c>
    </row>
    <row r="520" spans="1:11" x14ac:dyDescent="0.35">
      <c r="A520" s="2">
        <v>41407</v>
      </c>
      <c r="B520" s="3">
        <v>133.11905999999999</v>
      </c>
      <c r="C520" s="4">
        <f t="shared" si="32"/>
        <v>-0.29745199999999272</v>
      </c>
      <c r="D520" s="4">
        <f t="shared" si="30"/>
        <v>-5.1675139999999828</v>
      </c>
      <c r="E520" s="3">
        <v>57.95</v>
      </c>
      <c r="F520" s="3">
        <v>20</v>
      </c>
      <c r="G520" s="3">
        <v>138.26707199999998</v>
      </c>
      <c r="H520" s="4">
        <f t="shared" si="33"/>
        <v>-0.27350600000002601</v>
      </c>
      <c r="I520" s="4">
        <f t="shared" si="31"/>
        <v>-6.2517380000000173</v>
      </c>
      <c r="J520" s="3">
        <v>57.95</v>
      </c>
      <c r="K520" s="3">
        <v>20</v>
      </c>
    </row>
    <row r="521" spans="1:11" x14ac:dyDescent="0.35">
      <c r="A521" s="2">
        <v>41414</v>
      </c>
      <c r="B521" s="3">
        <v>133.17174200000002</v>
      </c>
      <c r="C521" s="4">
        <f t="shared" si="32"/>
        <v>5.2682000000032758E-2</v>
      </c>
      <c r="D521" s="4">
        <f t="shared" si="30"/>
        <v>-2.5996779999999831</v>
      </c>
      <c r="E521" s="3">
        <v>57.95</v>
      </c>
      <c r="F521" s="3">
        <v>20</v>
      </c>
      <c r="G521" s="3">
        <v>138.424342</v>
      </c>
      <c r="H521" s="4">
        <f t="shared" si="33"/>
        <v>0.15727000000001112</v>
      </c>
      <c r="I521" s="4">
        <f t="shared" si="31"/>
        <v>-3.3222700000000032</v>
      </c>
      <c r="J521" s="3">
        <v>57.95</v>
      </c>
      <c r="K521" s="3">
        <v>20</v>
      </c>
    </row>
    <row r="522" spans="1:11" x14ac:dyDescent="0.35">
      <c r="A522" s="2">
        <v>41421</v>
      </c>
      <c r="B522" s="3">
        <v>133.63792799999999</v>
      </c>
      <c r="C522" s="4">
        <f t="shared" si="32"/>
        <v>0.46618599999996491</v>
      </c>
      <c r="D522" s="4">
        <f t="shared" si="30"/>
        <v>-0.73666600000004223</v>
      </c>
      <c r="E522" s="3">
        <v>57.95</v>
      </c>
      <c r="F522" s="3">
        <v>20</v>
      </c>
      <c r="G522" s="3">
        <v>138.81604299999998</v>
      </c>
      <c r="H522" s="4">
        <f t="shared" si="33"/>
        <v>0.39170099999998342</v>
      </c>
      <c r="I522" s="4">
        <f t="shared" si="31"/>
        <v>-1.6779510000000073</v>
      </c>
      <c r="J522" s="3">
        <v>57.95</v>
      </c>
      <c r="K522" s="3">
        <v>20</v>
      </c>
    </row>
    <row r="523" spans="1:11" x14ac:dyDescent="0.35">
      <c r="A523" s="2">
        <v>41428</v>
      </c>
      <c r="B523" s="3">
        <v>134.04443800000001</v>
      </c>
      <c r="C523" s="4">
        <f t="shared" si="32"/>
        <v>0.40651000000002568</v>
      </c>
      <c r="D523" s="4">
        <f t="shared" si="30"/>
        <v>-1.3847999999995864E-2</v>
      </c>
      <c r="E523" s="3">
        <v>57.95</v>
      </c>
      <c r="F523" s="3">
        <v>20</v>
      </c>
      <c r="G523" s="3">
        <v>139.17138699999998</v>
      </c>
      <c r="H523" s="4">
        <f t="shared" si="33"/>
        <v>0.35534400000000232</v>
      </c>
      <c r="I523" s="4">
        <f t="shared" si="31"/>
        <v>-0.78665700000001948</v>
      </c>
      <c r="J523" s="3">
        <v>57.95</v>
      </c>
      <c r="K523" s="3">
        <v>20</v>
      </c>
    </row>
    <row r="524" spans="1:11" x14ac:dyDescent="0.35">
      <c r="A524" s="2">
        <v>41435</v>
      </c>
      <c r="B524" s="3">
        <v>134.29900899999998</v>
      </c>
      <c r="C524" s="4">
        <f t="shared" si="32"/>
        <v>0.25457099999997013</v>
      </c>
      <c r="D524" s="4">
        <f t="shared" si="30"/>
        <v>0.63139499999999771</v>
      </c>
      <c r="E524" s="3">
        <v>57.95</v>
      </c>
      <c r="F524" s="3">
        <v>20</v>
      </c>
      <c r="G524" s="3">
        <v>139.433402</v>
      </c>
      <c r="H524" s="4">
        <f t="shared" si="33"/>
        <v>0.26201500000001943</v>
      </c>
      <c r="I524" s="4">
        <f t="shared" si="31"/>
        <v>-0.14902399999999716</v>
      </c>
      <c r="J524" s="3">
        <v>57.95</v>
      </c>
      <c r="K524" s="3">
        <v>20</v>
      </c>
    </row>
    <row r="525" spans="1:11" x14ac:dyDescent="0.35">
      <c r="A525" s="2">
        <v>41442</v>
      </c>
      <c r="B525" s="3">
        <v>134.45768799999999</v>
      </c>
      <c r="C525" s="4">
        <f t="shared" si="32"/>
        <v>0.15867900000000645</v>
      </c>
      <c r="D525" s="4">
        <f t="shared" si="30"/>
        <v>2.4667379999999923</v>
      </c>
      <c r="E525" s="3">
        <v>57.95</v>
      </c>
      <c r="F525" s="3">
        <v>20</v>
      </c>
      <c r="G525" s="3">
        <v>139.536798</v>
      </c>
      <c r="H525" s="4">
        <f t="shared" si="33"/>
        <v>0.1033960000000036</v>
      </c>
      <c r="I525" s="4">
        <f t="shared" si="31"/>
        <v>1.8261540000000025</v>
      </c>
      <c r="J525" s="3">
        <v>57.95</v>
      </c>
      <c r="K525" s="3">
        <v>20</v>
      </c>
    </row>
    <row r="526" spans="1:11" x14ac:dyDescent="0.35">
      <c r="A526" s="2">
        <v>41449</v>
      </c>
      <c r="B526" s="3">
        <v>134.52005800000001</v>
      </c>
      <c r="C526" s="4">
        <f t="shared" si="32"/>
        <v>6.237000000001558E-2</v>
      </c>
      <c r="D526" s="4">
        <f t="shared" si="30"/>
        <v>2.9741379999999822</v>
      </c>
      <c r="E526" s="3">
        <v>57.95</v>
      </c>
      <c r="F526" s="3">
        <v>20</v>
      </c>
      <c r="G526" s="3">
        <v>139.636392</v>
      </c>
      <c r="H526" s="4">
        <f t="shared" si="33"/>
        <v>9.9593999999996186E-2</v>
      </c>
      <c r="I526" s="4">
        <f t="shared" si="31"/>
        <v>2.4319159999999727</v>
      </c>
      <c r="J526" s="3">
        <v>57.95</v>
      </c>
      <c r="K526" s="3">
        <v>20</v>
      </c>
    </row>
    <row r="527" spans="1:11" x14ac:dyDescent="0.35">
      <c r="A527" s="2">
        <v>41456</v>
      </c>
      <c r="B527" s="3">
        <v>133.44030800000002</v>
      </c>
      <c r="C527" s="4">
        <f t="shared" si="32"/>
        <v>-1.07974999999999</v>
      </c>
      <c r="D527" s="4">
        <f t="shared" si="30"/>
        <v>2.9429460000000063</v>
      </c>
      <c r="E527" s="3">
        <v>57.95</v>
      </c>
      <c r="F527" s="3">
        <v>20</v>
      </c>
      <c r="G527" s="3">
        <v>138.514228</v>
      </c>
      <c r="H527" s="4">
        <f t="shared" si="33"/>
        <v>-1.1221639999999979</v>
      </c>
      <c r="I527" s="4">
        <f t="shared" si="31"/>
        <v>2.6068579999999884</v>
      </c>
      <c r="J527" s="3">
        <v>57.95</v>
      </c>
      <c r="K527" s="3">
        <v>20</v>
      </c>
    </row>
    <row r="528" spans="1:11" x14ac:dyDescent="0.35">
      <c r="A528" s="2">
        <v>41463</v>
      </c>
      <c r="B528" s="3">
        <v>133.76930400000001</v>
      </c>
      <c r="C528" s="4">
        <f t="shared" si="32"/>
        <v>0.32899599999998941</v>
      </c>
      <c r="D528" s="4">
        <f t="shared" si="30"/>
        <v>2.7125880000000109</v>
      </c>
      <c r="E528" s="3">
        <v>57.95</v>
      </c>
      <c r="F528" s="3">
        <v>20</v>
      </c>
      <c r="G528" s="3">
        <v>138.730852</v>
      </c>
      <c r="H528" s="4">
        <f t="shared" si="33"/>
        <v>0.21662399999999593</v>
      </c>
      <c r="I528" s="4">
        <f t="shared" si="31"/>
        <v>2.2941140000000075</v>
      </c>
      <c r="J528" s="3">
        <v>57.95</v>
      </c>
      <c r="K528" s="3">
        <v>20</v>
      </c>
    </row>
    <row r="529" spans="1:11" x14ac:dyDescent="0.35">
      <c r="A529" s="2">
        <v>41470</v>
      </c>
      <c r="B529" s="3">
        <v>134.94647799999998</v>
      </c>
      <c r="C529" s="4">
        <f t="shared" si="32"/>
        <v>1.1771739999999795</v>
      </c>
      <c r="D529" s="4">
        <f t="shared" si="30"/>
        <v>3.4563499999999863</v>
      </c>
      <c r="E529" s="3">
        <v>57.95</v>
      </c>
      <c r="F529" s="3">
        <v>20</v>
      </c>
      <c r="G529" s="3">
        <v>139.83587</v>
      </c>
      <c r="H529" s="4">
        <f t="shared" si="33"/>
        <v>1.1050180000000012</v>
      </c>
      <c r="I529" s="4">
        <f t="shared" si="31"/>
        <v>2.9886360000000138</v>
      </c>
      <c r="J529" s="3">
        <v>57.95</v>
      </c>
      <c r="K529" s="3">
        <v>20</v>
      </c>
    </row>
    <row r="530" spans="1:11" x14ac:dyDescent="0.35">
      <c r="A530" s="2">
        <v>41477</v>
      </c>
      <c r="B530" s="3">
        <v>136.036168</v>
      </c>
      <c r="C530" s="4">
        <f t="shared" si="32"/>
        <v>1.0896900000000187</v>
      </c>
      <c r="D530" s="4">
        <f t="shared" si="30"/>
        <v>3.8219620000000134</v>
      </c>
      <c r="E530" s="3">
        <v>57.95</v>
      </c>
      <c r="F530" s="3">
        <v>20</v>
      </c>
      <c r="G530" s="3">
        <v>140.72110600000002</v>
      </c>
      <c r="H530" s="4">
        <f t="shared" si="33"/>
        <v>0.88523600000002034</v>
      </c>
      <c r="I530" s="4">
        <f t="shared" si="31"/>
        <v>3.0006480000000124</v>
      </c>
      <c r="J530" s="3">
        <v>57.95</v>
      </c>
      <c r="K530" s="3">
        <v>20</v>
      </c>
    </row>
    <row r="531" spans="1:11" x14ac:dyDescent="0.35">
      <c r="A531" s="2">
        <v>41484</v>
      </c>
      <c r="B531" s="3">
        <v>136.86846699999998</v>
      </c>
      <c r="C531" s="4">
        <f t="shared" si="32"/>
        <v>0.8322989999999777</v>
      </c>
      <c r="D531" s="4">
        <f t="shared" si="30"/>
        <v>4.0910979999999881</v>
      </c>
      <c r="E531" s="3">
        <v>57.95</v>
      </c>
      <c r="F531" s="3">
        <v>20</v>
      </c>
      <c r="G531" s="3">
        <v>141.4359</v>
      </c>
      <c r="H531" s="4">
        <f t="shared" si="33"/>
        <v>0.7147939999999835</v>
      </c>
      <c r="I531" s="4">
        <f t="shared" si="31"/>
        <v>3.1848520000000065</v>
      </c>
      <c r="J531" s="3">
        <v>57.95</v>
      </c>
      <c r="K531" s="3">
        <v>20</v>
      </c>
    </row>
    <row r="532" spans="1:11" x14ac:dyDescent="0.35">
      <c r="A532" s="2">
        <v>41491</v>
      </c>
      <c r="B532" s="3">
        <v>137.015534</v>
      </c>
      <c r="C532" s="4">
        <f t="shared" si="32"/>
        <v>0.14706700000002115</v>
      </c>
      <c r="D532" s="4">
        <f t="shared" si="30"/>
        <v>3.6258480000000191</v>
      </c>
      <c r="E532" s="3">
        <v>57.95</v>
      </c>
      <c r="F532" s="3">
        <v>20</v>
      </c>
      <c r="G532" s="3">
        <v>141.67454000000001</v>
      </c>
      <c r="H532" s="4">
        <f t="shared" si="33"/>
        <v>0.23864000000000374</v>
      </c>
      <c r="I532" s="4">
        <f t="shared" si="31"/>
        <v>2.8852400000000102</v>
      </c>
      <c r="J532" s="3">
        <v>57.95</v>
      </c>
      <c r="K532" s="3">
        <v>20</v>
      </c>
    </row>
    <row r="533" spans="1:11" x14ac:dyDescent="0.35">
      <c r="A533" s="2">
        <v>41498</v>
      </c>
      <c r="B533" s="3">
        <v>137.13020200000003</v>
      </c>
      <c r="C533" s="4">
        <f t="shared" si="32"/>
        <v>0.11466800000002308</v>
      </c>
      <c r="D533" s="4">
        <f t="shared" si="30"/>
        <v>2.8617080000000215</v>
      </c>
      <c r="E533" s="3">
        <v>57.95</v>
      </c>
      <c r="F533" s="3">
        <v>20</v>
      </c>
      <c r="G533" s="3">
        <v>141.822056</v>
      </c>
      <c r="H533" s="4">
        <f t="shared" si="33"/>
        <v>0.14751599999999598</v>
      </c>
      <c r="I533" s="4">
        <f t="shared" si="31"/>
        <v>2.3614939999999933</v>
      </c>
      <c r="J533" s="3">
        <v>57.95</v>
      </c>
      <c r="K533" s="3">
        <v>20</v>
      </c>
    </row>
    <row r="534" spans="1:11" x14ac:dyDescent="0.35">
      <c r="A534" s="2">
        <v>41505</v>
      </c>
      <c r="B534" s="3">
        <v>136.998616</v>
      </c>
      <c r="C534" s="4">
        <f t="shared" si="32"/>
        <v>-0.13158600000002707</v>
      </c>
      <c r="D534" s="4">
        <f t="shared" si="30"/>
        <v>1.274704000000014</v>
      </c>
      <c r="E534" s="3">
        <v>57.95</v>
      </c>
      <c r="F534" s="3">
        <v>20</v>
      </c>
      <c r="G534" s="3">
        <v>141.73261600000004</v>
      </c>
      <c r="H534" s="4">
        <f t="shared" si="33"/>
        <v>-8.9439999999967768E-2</v>
      </c>
      <c r="I534" s="4">
        <f t="shared" si="31"/>
        <v>0.94691000000000258</v>
      </c>
      <c r="J534" s="3">
        <v>57.95</v>
      </c>
      <c r="K534" s="3">
        <v>20</v>
      </c>
    </row>
    <row r="535" spans="1:11" x14ac:dyDescent="0.35">
      <c r="A535" s="2">
        <v>41514</v>
      </c>
      <c r="B535" s="3">
        <v>136.82743200000002</v>
      </c>
      <c r="C535" s="4">
        <f t="shared" si="32"/>
        <v>-0.17118399999998246</v>
      </c>
      <c r="D535" s="4">
        <f t="shared" si="30"/>
        <v>-0.27076999999999884</v>
      </c>
      <c r="E535" s="3">
        <v>57.95</v>
      </c>
      <c r="F535" s="3">
        <v>20</v>
      </c>
      <c r="G535" s="3">
        <v>141.777568</v>
      </c>
      <c r="H535" s="4">
        <f t="shared" si="33"/>
        <v>4.4951999999966574E-2</v>
      </c>
      <c r="I535" s="4">
        <f t="shared" si="31"/>
        <v>-0.39126799999999662</v>
      </c>
      <c r="J535" s="3">
        <v>57.95</v>
      </c>
      <c r="K535" s="3">
        <v>20</v>
      </c>
    </row>
    <row r="536" spans="1:11" x14ac:dyDescent="0.35">
      <c r="A536" s="2">
        <v>41519</v>
      </c>
      <c r="B536" s="3">
        <v>137.13656</v>
      </c>
      <c r="C536" s="4">
        <f t="shared" si="32"/>
        <v>0.30912799999998697</v>
      </c>
      <c r="D536" s="4">
        <f t="shared" si="30"/>
        <v>-0.89238799999998264</v>
      </c>
      <c r="E536" s="3">
        <v>57.95</v>
      </c>
      <c r="F536" s="3">
        <v>20</v>
      </c>
      <c r="G536" s="3">
        <v>142.09303799999998</v>
      </c>
      <c r="H536" s="4">
        <f t="shared" si="33"/>
        <v>0.31546999999997638</v>
      </c>
      <c r="I536" s="4">
        <f t="shared" si="31"/>
        <v>-0.77883400000004599</v>
      </c>
      <c r="J536" s="3">
        <v>57.95</v>
      </c>
      <c r="K536" s="3">
        <v>20</v>
      </c>
    </row>
    <row r="537" spans="1:11" x14ac:dyDescent="0.35">
      <c r="A537" s="2">
        <v>41526</v>
      </c>
      <c r="B537" s="3">
        <v>137.60209899999998</v>
      </c>
      <c r="C537" s="4">
        <f t="shared" si="32"/>
        <v>0.46553899999997839</v>
      </c>
      <c r="D537" s="4">
        <f t="shared" si="30"/>
        <v>-1.3037370000000408</v>
      </c>
      <c r="E537" s="3">
        <v>57.95</v>
      </c>
      <c r="F537" s="3">
        <v>20</v>
      </c>
      <c r="G537" s="3">
        <v>142.67081200000001</v>
      </c>
      <c r="H537" s="4">
        <f t="shared" si="33"/>
        <v>0.57777400000003354</v>
      </c>
      <c r="I537" s="4">
        <f t="shared" si="31"/>
        <v>-0.98431199999998853</v>
      </c>
      <c r="J537" s="3">
        <v>57.95</v>
      </c>
      <c r="K537" s="3">
        <v>20</v>
      </c>
    </row>
    <row r="538" spans="1:11" x14ac:dyDescent="0.35">
      <c r="A538" s="2">
        <v>41533</v>
      </c>
      <c r="B538" s="3">
        <v>137.47292899999999</v>
      </c>
      <c r="C538" s="4">
        <f t="shared" si="32"/>
        <v>-0.12916999999998779</v>
      </c>
      <c r="D538" s="4">
        <f t="shared" si="30"/>
        <v>-1.9479110000000048</v>
      </c>
      <c r="E538" s="3">
        <v>57.95</v>
      </c>
      <c r="F538" s="3">
        <v>20</v>
      </c>
      <c r="G538" s="3">
        <v>142.52039400000001</v>
      </c>
      <c r="H538" s="4">
        <f t="shared" si="33"/>
        <v>-0.15041800000000194</v>
      </c>
      <c r="I538" s="4">
        <f t="shared" si="31"/>
        <v>-1.654892000000018</v>
      </c>
      <c r="J538" s="3">
        <v>57.95</v>
      </c>
      <c r="K538" s="3">
        <v>20</v>
      </c>
    </row>
    <row r="539" spans="1:11" x14ac:dyDescent="0.35">
      <c r="A539" s="2">
        <v>41540</v>
      </c>
      <c r="B539" s="3">
        <v>136.95380399999999</v>
      </c>
      <c r="C539" s="4">
        <f t="shared" si="32"/>
        <v>-0.5191250000000025</v>
      </c>
      <c r="D539" s="4">
        <f t="shared" si="30"/>
        <v>-2.5818979999999954</v>
      </c>
      <c r="E539" s="3">
        <v>57.95</v>
      </c>
      <c r="F539" s="3">
        <v>20</v>
      </c>
      <c r="G539" s="3">
        <v>142.08849599999999</v>
      </c>
      <c r="H539" s="4">
        <f t="shared" si="33"/>
        <v>-0.4318980000000181</v>
      </c>
      <c r="I539" s="4">
        <f t="shared" si="31"/>
        <v>-2.2681579999999997</v>
      </c>
      <c r="J539" s="3">
        <v>57.95</v>
      </c>
      <c r="K539" s="3">
        <v>20</v>
      </c>
    </row>
    <row r="540" spans="1:11" x14ac:dyDescent="0.35">
      <c r="A540" s="2">
        <v>41547</v>
      </c>
      <c r="B540" s="3">
        <v>133.40168199999999</v>
      </c>
      <c r="C540" s="4">
        <f t="shared" si="32"/>
        <v>-3.5521219999999971</v>
      </c>
      <c r="D540" s="4">
        <f t="shared" si="30"/>
        <v>-5.0311810000000037</v>
      </c>
      <c r="E540" s="3">
        <v>57.95</v>
      </c>
      <c r="F540" s="3">
        <v>20</v>
      </c>
      <c r="G540" s="3">
        <v>140.19415999999998</v>
      </c>
      <c r="H540" s="4">
        <f t="shared" si="33"/>
        <v>-1.8943360000000098</v>
      </c>
      <c r="I540" s="4">
        <f t="shared" si="31"/>
        <v>-3.0895740000000274</v>
      </c>
      <c r="J540" s="3">
        <v>57.95</v>
      </c>
      <c r="K540" s="3">
        <v>20</v>
      </c>
    </row>
    <row r="541" spans="1:11" x14ac:dyDescent="0.35">
      <c r="A541" s="2">
        <v>41554</v>
      </c>
      <c r="B541" s="3">
        <v>131.620834</v>
      </c>
      <c r="C541" s="4">
        <f t="shared" si="32"/>
        <v>-1.7808479999999918</v>
      </c>
      <c r="D541" s="4">
        <f t="shared" si="30"/>
        <v>-6.6159519999999929</v>
      </c>
      <c r="E541" s="3">
        <v>57.95</v>
      </c>
      <c r="F541" s="3">
        <v>20</v>
      </c>
      <c r="G541" s="3">
        <v>138.833854</v>
      </c>
      <c r="H541" s="4">
        <f t="shared" si="33"/>
        <v>-1.36030599999998</v>
      </c>
      <c r="I541" s="4">
        <f t="shared" si="31"/>
        <v>-4.2127440000000149</v>
      </c>
      <c r="J541" s="3">
        <v>57.95</v>
      </c>
      <c r="K541" s="3">
        <v>20</v>
      </c>
    </row>
    <row r="542" spans="1:11" x14ac:dyDescent="0.35">
      <c r="A542" s="2">
        <v>41561</v>
      </c>
      <c r="B542" s="3">
        <v>131.674207</v>
      </c>
      <c r="C542" s="4">
        <f t="shared" si="32"/>
        <v>5.3372999999993453E-2</v>
      </c>
      <c r="D542" s="4">
        <f t="shared" si="30"/>
        <v>-6.6736130000000173</v>
      </c>
      <c r="E542" s="3">
        <v>57.95</v>
      </c>
      <c r="F542" s="3">
        <v>20</v>
      </c>
      <c r="G542" s="3">
        <v>139.15173300000004</v>
      </c>
      <c r="H542" s="4">
        <f t="shared" si="33"/>
        <v>0.31787900000003333</v>
      </c>
      <c r="I542" s="4">
        <f t="shared" si="31"/>
        <v>-4.0832229999999754</v>
      </c>
      <c r="J542" s="3">
        <v>57.95</v>
      </c>
      <c r="K542" s="3">
        <v>20</v>
      </c>
    </row>
    <row r="543" spans="1:11" x14ac:dyDescent="0.35">
      <c r="A543" s="2">
        <v>41568</v>
      </c>
      <c r="B543" s="3">
        <v>131.533006</v>
      </c>
      <c r="C543" s="4">
        <f t="shared" si="32"/>
        <v>-0.14120099999999525</v>
      </c>
      <c r="D543" s="4">
        <f t="shared" si="30"/>
        <v>-6.7593850000000089</v>
      </c>
      <c r="E543" s="3">
        <v>57.95</v>
      </c>
      <c r="F543" s="3">
        <v>20</v>
      </c>
      <c r="G543" s="3">
        <v>138.99436399999999</v>
      </c>
      <c r="H543" s="4">
        <f t="shared" si="33"/>
        <v>-0.15736900000004539</v>
      </c>
      <c r="I543" s="4">
        <f t="shared" si="31"/>
        <v>-4.2326140000000123</v>
      </c>
      <c r="J543" s="3">
        <v>57.95</v>
      </c>
      <c r="K543" s="3">
        <v>20</v>
      </c>
    </row>
    <row r="544" spans="1:11" x14ac:dyDescent="0.35">
      <c r="A544" s="2">
        <v>41575</v>
      </c>
      <c r="B544" s="3">
        <v>131.41811599999997</v>
      </c>
      <c r="C544" s="4">
        <f t="shared" si="32"/>
        <v>-0.11489000000003102</v>
      </c>
      <c r="D544" s="4">
        <f t="shared" si="30"/>
        <v>-5.5654830000000288</v>
      </c>
      <c r="E544" s="3">
        <v>57.95</v>
      </c>
      <c r="F544" s="3">
        <v>20</v>
      </c>
      <c r="G544" s="3">
        <v>138.87785500000001</v>
      </c>
      <c r="H544" s="4">
        <f t="shared" si="33"/>
        <v>-0.11650899999997932</v>
      </c>
      <c r="I544" s="4">
        <f t="shared" si="31"/>
        <v>-4.1202109999999834</v>
      </c>
      <c r="J544" s="3">
        <v>57.95</v>
      </c>
      <c r="K544" s="3">
        <v>20</v>
      </c>
    </row>
    <row r="545" spans="1:11" x14ac:dyDescent="0.35">
      <c r="A545" s="2">
        <v>41582</v>
      </c>
      <c r="B545" s="3">
        <v>129.92194499999999</v>
      </c>
      <c r="C545" s="4">
        <f t="shared" si="32"/>
        <v>-1.4961709999999755</v>
      </c>
      <c r="D545" s="4">
        <f t="shared" si="30"/>
        <v>-6.5110699999999895</v>
      </c>
      <c r="E545" s="3">
        <v>57.95</v>
      </c>
      <c r="F545" s="3">
        <v>20</v>
      </c>
      <c r="G545" s="3">
        <v>137.51446800000002</v>
      </c>
      <c r="H545" s="4">
        <f t="shared" si="33"/>
        <v>-1.3633869999999888</v>
      </c>
      <c r="I545" s="4">
        <f t="shared" si="31"/>
        <v>-5.238964999999979</v>
      </c>
      <c r="J545" s="3">
        <v>57.95</v>
      </c>
      <c r="K545" s="3">
        <v>20</v>
      </c>
    </row>
    <row r="546" spans="1:11" x14ac:dyDescent="0.35">
      <c r="A546" s="2">
        <v>41589</v>
      </c>
      <c r="B546" s="3">
        <v>129.705026</v>
      </c>
      <c r="C546" s="4">
        <f t="shared" si="32"/>
        <v>-0.21691899999999009</v>
      </c>
      <c r="D546" s="4">
        <f t="shared" si="30"/>
        <v>-5.3809889999999996</v>
      </c>
      <c r="E546" s="3">
        <v>57.95</v>
      </c>
      <c r="F546" s="3">
        <v>20</v>
      </c>
      <c r="G546" s="3">
        <v>137.32368400000001</v>
      </c>
      <c r="H546" s="4">
        <f t="shared" si="33"/>
        <v>-0.19078400000000784</v>
      </c>
      <c r="I546" s="4">
        <f t="shared" si="31"/>
        <v>-4.4193559999999934</v>
      </c>
      <c r="J546" s="3">
        <v>57.95</v>
      </c>
      <c r="K546" s="3">
        <v>20</v>
      </c>
    </row>
    <row r="547" spans="1:11" x14ac:dyDescent="0.35">
      <c r="A547" s="2">
        <v>41596</v>
      </c>
      <c r="B547" s="3">
        <v>129.88799799999998</v>
      </c>
      <c r="C547" s="4">
        <f t="shared" si="32"/>
        <v>0.18297199999997815</v>
      </c>
      <c r="D547" s="4">
        <f t="shared" si="30"/>
        <v>-4.6732090000000142</v>
      </c>
      <c r="E547" s="3">
        <v>57.95</v>
      </c>
      <c r="F547" s="3">
        <v>20</v>
      </c>
      <c r="G547" s="3">
        <v>137.47142200000002</v>
      </c>
      <c r="H547" s="4">
        <f t="shared" si="33"/>
        <v>0.14773800000000392</v>
      </c>
      <c r="I547" s="4">
        <f t="shared" si="31"/>
        <v>-3.8563339999999755</v>
      </c>
      <c r="J547" s="3">
        <v>57.95</v>
      </c>
      <c r="K547" s="3">
        <v>20</v>
      </c>
    </row>
    <row r="548" spans="1:11" x14ac:dyDescent="0.35">
      <c r="A548" s="2">
        <v>41603</v>
      </c>
      <c r="B548" s="3">
        <v>130.03340399999999</v>
      </c>
      <c r="C548" s="4">
        <f t="shared" si="32"/>
        <v>0.14540600000000836</v>
      </c>
      <c r="D548" s="4">
        <f t="shared" si="30"/>
        <v>-4.3425050000000169</v>
      </c>
      <c r="E548" s="3">
        <v>57.95</v>
      </c>
      <c r="F548" s="3">
        <v>20</v>
      </c>
      <c r="G548" s="3">
        <v>137.72114300000001</v>
      </c>
      <c r="H548" s="4">
        <f t="shared" si="33"/>
        <v>0.24972099999999386</v>
      </c>
      <c r="I548" s="4">
        <f t="shared" si="31"/>
        <v>-3.4065650000000005</v>
      </c>
      <c r="J548" s="3">
        <v>57.95</v>
      </c>
      <c r="K548" s="3">
        <v>20</v>
      </c>
    </row>
    <row r="549" spans="1:11" x14ac:dyDescent="0.35">
      <c r="A549" s="2">
        <v>41610</v>
      </c>
      <c r="B549" s="3">
        <v>130.253998</v>
      </c>
      <c r="C549" s="4">
        <f t="shared" si="32"/>
        <v>0.22059400000000551</v>
      </c>
      <c r="D549" s="4">
        <f t="shared" si="30"/>
        <v>-2.7956350000000043</v>
      </c>
      <c r="E549" s="3">
        <v>57.95</v>
      </c>
      <c r="F549" s="3">
        <v>20</v>
      </c>
      <c r="G549" s="3">
        <v>137.89805999999999</v>
      </c>
      <c r="H549" s="4">
        <f t="shared" si="33"/>
        <v>0.17691699999997468</v>
      </c>
      <c r="I549" s="4">
        <f t="shared" si="31"/>
        <v>-3.0072040000000015</v>
      </c>
      <c r="J549" s="3">
        <v>57.95</v>
      </c>
      <c r="K549" s="3">
        <v>20</v>
      </c>
    </row>
    <row r="550" spans="1:11" x14ac:dyDescent="0.35">
      <c r="A550" s="2">
        <v>41617</v>
      </c>
      <c r="B550" s="3">
        <v>130.76437099999998</v>
      </c>
      <c r="C550" s="4">
        <f t="shared" si="32"/>
        <v>0.51037299999998709</v>
      </c>
      <c r="D550" s="4">
        <f t="shared" si="30"/>
        <v>-1.7842620000000124</v>
      </c>
      <c r="E550" s="3">
        <v>57.95</v>
      </c>
      <c r="F550" s="3">
        <v>20</v>
      </c>
      <c r="G550" s="3">
        <v>138.55344100000002</v>
      </c>
      <c r="H550" s="4">
        <f t="shared" si="33"/>
        <v>0.65538100000003396</v>
      </c>
      <c r="I550" s="4">
        <f t="shared" si="31"/>
        <v>-2.2107989999999802</v>
      </c>
      <c r="J550" s="3">
        <v>57.95</v>
      </c>
      <c r="K550" s="3">
        <v>20</v>
      </c>
    </row>
    <row r="551" spans="1:11" x14ac:dyDescent="0.35">
      <c r="A551" s="2">
        <v>41624</v>
      </c>
      <c r="B551" s="3">
        <v>130.96074199999998</v>
      </c>
      <c r="C551" s="4">
        <f t="shared" si="32"/>
        <v>0.19637099999999919</v>
      </c>
      <c r="D551" s="4">
        <f t="shared" si="30"/>
        <v>-1.015905000000032</v>
      </c>
      <c r="E551" s="3">
        <v>57.95</v>
      </c>
      <c r="F551" s="3">
        <v>20</v>
      </c>
      <c r="G551" s="3">
        <v>138.84163799999999</v>
      </c>
      <c r="H551" s="4">
        <f t="shared" si="33"/>
        <v>0.28819699999996828</v>
      </c>
      <c r="I551" s="4">
        <f t="shared" si="31"/>
        <v>-1.2377319999999941</v>
      </c>
      <c r="J551" s="3">
        <v>57.95</v>
      </c>
      <c r="K551" s="3">
        <v>20</v>
      </c>
    </row>
    <row r="552" spans="1:11" x14ac:dyDescent="0.35">
      <c r="A552" s="2">
        <v>41631</v>
      </c>
      <c r="B552" s="3">
        <v>130.05188100000001</v>
      </c>
      <c r="C552" s="4">
        <f t="shared" si="32"/>
        <v>-0.90886099999997327</v>
      </c>
      <c r="D552" s="4">
        <f t="shared" si="30"/>
        <v>-1.9000819999999976</v>
      </c>
      <c r="E552" s="3">
        <v>57.95</v>
      </c>
      <c r="F552" s="3">
        <v>20</v>
      </c>
      <c r="G552" s="3">
        <v>138.16987</v>
      </c>
      <c r="H552" s="4">
        <f t="shared" si="33"/>
        <v>-0.67176799999998593</v>
      </c>
      <c r="I552" s="4">
        <f t="shared" si="31"/>
        <v>-1.6687239999999974</v>
      </c>
      <c r="J552" s="3">
        <v>57.95</v>
      </c>
      <c r="K552" s="3">
        <v>20</v>
      </c>
    </row>
    <row r="553" spans="1:11" x14ac:dyDescent="0.35">
      <c r="A553" s="2">
        <v>41638</v>
      </c>
      <c r="B553" s="3">
        <v>130.03394499999999</v>
      </c>
      <c r="C553" s="4">
        <f t="shared" si="32"/>
        <v>-1.7936000000020158E-2</v>
      </c>
      <c r="D553" s="4">
        <f t="shared" si="30"/>
        <v>-1.8856130000000064</v>
      </c>
      <c r="E553" s="3">
        <v>57.95</v>
      </c>
      <c r="F553" s="3">
        <v>20</v>
      </c>
      <c r="G553" s="3">
        <v>137.97954800000002</v>
      </c>
      <c r="H553" s="4">
        <f t="shared" si="33"/>
        <v>-0.19032199999998056</v>
      </c>
      <c r="I553" s="4">
        <f t="shared" si="31"/>
        <v>-1.8320819999999856</v>
      </c>
      <c r="J553" s="3">
        <v>57.95</v>
      </c>
      <c r="K553" s="3">
        <v>20</v>
      </c>
    </row>
    <row r="554" spans="1:11" x14ac:dyDescent="0.35">
      <c r="A554" s="2">
        <v>41645</v>
      </c>
      <c r="B554" s="3">
        <v>130.256192</v>
      </c>
      <c r="C554" s="4">
        <f t="shared" si="32"/>
        <v>0.22224700000001008</v>
      </c>
      <c r="D554" s="4">
        <f t="shared" si="30"/>
        <v>-1.6045230000000288</v>
      </c>
      <c r="E554" s="3">
        <v>57.95</v>
      </c>
      <c r="F554" s="3">
        <v>20</v>
      </c>
      <c r="G554" s="3">
        <v>138.114304</v>
      </c>
      <c r="H554" s="4">
        <f t="shared" si="33"/>
        <v>0.13475599999998167</v>
      </c>
      <c r="I554" s="4">
        <f t="shared" si="31"/>
        <v>-1.6383690000000115</v>
      </c>
      <c r="J554" s="3">
        <v>57.95</v>
      </c>
      <c r="K554" s="3">
        <v>20</v>
      </c>
    </row>
    <row r="555" spans="1:11" x14ac:dyDescent="0.35">
      <c r="A555" s="2">
        <v>41652</v>
      </c>
      <c r="B555" s="3">
        <v>130.35634899999999</v>
      </c>
      <c r="C555" s="4">
        <f t="shared" si="32"/>
        <v>0.10015699999999583</v>
      </c>
      <c r="D555" s="4">
        <f t="shared" si="30"/>
        <v>-1.6440660000000094</v>
      </c>
      <c r="E555" s="3">
        <v>57.95</v>
      </c>
      <c r="F555" s="3">
        <v>20</v>
      </c>
      <c r="G555" s="3">
        <v>138.33954900000001</v>
      </c>
      <c r="H555" s="4">
        <f t="shared" si="33"/>
        <v>0.22524500000000103</v>
      </c>
      <c r="I555" s="4">
        <f t="shared" si="31"/>
        <v>-1.338830999999999</v>
      </c>
      <c r="J555" s="3">
        <v>57.95</v>
      </c>
      <c r="K555" s="3">
        <v>20</v>
      </c>
    </row>
    <row r="556" spans="1:11" x14ac:dyDescent="0.35">
      <c r="A556" s="2">
        <v>41659</v>
      </c>
      <c r="B556" s="3">
        <v>129.36717099999998</v>
      </c>
      <c r="C556" s="4">
        <f t="shared" si="32"/>
        <v>-0.98917800000000966</v>
      </c>
      <c r="D556" s="4">
        <f t="shared" si="30"/>
        <v>-2.8467390000000137</v>
      </c>
      <c r="E556" s="3">
        <v>57.95</v>
      </c>
      <c r="F556" s="3">
        <v>20</v>
      </c>
      <c r="G556" s="3">
        <v>137.23146600000001</v>
      </c>
      <c r="H556" s="4">
        <f t="shared" si="33"/>
        <v>-1.1080829999999935</v>
      </c>
      <c r="I556" s="4">
        <f t="shared" si="31"/>
        <v>-2.7212179999999933</v>
      </c>
      <c r="J556" s="3">
        <v>57.95</v>
      </c>
      <c r="K556" s="3">
        <v>20</v>
      </c>
    </row>
    <row r="557" spans="1:11" x14ac:dyDescent="0.35">
      <c r="A557" s="2">
        <v>41666</v>
      </c>
      <c r="B557" s="3">
        <v>129.02084399999998</v>
      </c>
      <c r="C557" s="4">
        <f t="shared" si="32"/>
        <v>-0.34632700000000227</v>
      </c>
      <c r="D557" s="4">
        <f t="shared" si="30"/>
        <v>-3.9286560000000179</v>
      </c>
      <c r="E557" s="3">
        <v>57.95</v>
      </c>
      <c r="F557" s="3">
        <v>20</v>
      </c>
      <c r="G557" s="3">
        <v>136.93848</v>
      </c>
      <c r="H557" s="4">
        <f t="shared" si="33"/>
        <v>-0.29298600000001329</v>
      </c>
      <c r="I557" s="4">
        <f t="shared" si="31"/>
        <v>-3.8279320000000041</v>
      </c>
      <c r="J557" s="3">
        <v>57.95</v>
      </c>
      <c r="K557" s="3">
        <v>20</v>
      </c>
    </row>
    <row r="558" spans="1:11" x14ac:dyDescent="0.35">
      <c r="A558" s="2">
        <v>41673</v>
      </c>
      <c r="B558" s="3">
        <v>128.854164</v>
      </c>
      <c r="C558" s="4">
        <f t="shared" si="32"/>
        <v>-0.16667999999998528</v>
      </c>
      <c r="D558" s="4">
        <f t="shared" si="30"/>
        <v>-5.5263520000000028</v>
      </c>
      <c r="E558" s="3">
        <v>57.95</v>
      </c>
      <c r="F558" s="3">
        <v>20</v>
      </c>
      <c r="G558" s="3">
        <v>136.843692</v>
      </c>
      <c r="H558" s="4">
        <f t="shared" si="33"/>
        <v>-9.4787999999994099E-2</v>
      </c>
      <c r="I558" s="4">
        <f t="shared" si="31"/>
        <v>-5.0663800000000094</v>
      </c>
      <c r="J558" s="3">
        <v>57.95</v>
      </c>
      <c r="K558" s="3">
        <v>20</v>
      </c>
    </row>
    <row r="559" spans="1:11" x14ac:dyDescent="0.35">
      <c r="A559" s="2">
        <v>41680</v>
      </c>
      <c r="B559" s="3">
        <v>128.813028</v>
      </c>
      <c r="C559" s="4">
        <f t="shared" si="32"/>
        <v>-4.113599999999451E-2</v>
      </c>
      <c r="D559" s="4">
        <f t="shared" si="30"/>
        <v>-6.7479409999999973</v>
      </c>
      <c r="E559" s="3">
        <v>57.95</v>
      </c>
      <c r="F559" s="3">
        <v>20</v>
      </c>
      <c r="G559" s="3">
        <v>136.84497999999999</v>
      </c>
      <c r="H559" s="4">
        <f t="shared" si="33"/>
        <v>1.2879999999881875E-3</v>
      </c>
      <c r="I559" s="4">
        <f t="shared" si="31"/>
        <v>-6.1816920000000266</v>
      </c>
      <c r="J559" s="3">
        <v>57.95</v>
      </c>
      <c r="K559" s="3">
        <v>20</v>
      </c>
    </row>
    <row r="560" spans="1:11" x14ac:dyDescent="0.35">
      <c r="A560" s="2">
        <v>41687</v>
      </c>
      <c r="B560" s="3">
        <v>129.156083</v>
      </c>
      <c r="C560" s="4">
        <f t="shared" si="32"/>
        <v>0.34305499999999256</v>
      </c>
      <c r="D560" s="4">
        <f t="shared" si="30"/>
        <v>-7.7028530000000046</v>
      </c>
      <c r="E560" s="3">
        <v>57.95</v>
      </c>
      <c r="F560" s="3">
        <v>20</v>
      </c>
      <c r="G560" s="3">
        <v>136.80595300000002</v>
      </c>
      <c r="H560" s="4">
        <f t="shared" si="33"/>
        <v>-3.9026999999975942E-2</v>
      </c>
      <c r="I560" s="4">
        <f t="shared" si="31"/>
        <v>-7.3641109999999799</v>
      </c>
      <c r="J560" s="3">
        <v>57.95</v>
      </c>
      <c r="K560" s="3">
        <v>20</v>
      </c>
    </row>
    <row r="561" spans="1:11" x14ac:dyDescent="0.35">
      <c r="A561" s="2">
        <v>41694</v>
      </c>
      <c r="B561" s="3">
        <v>129.20190500000001</v>
      </c>
      <c r="C561" s="4">
        <f t="shared" si="32"/>
        <v>4.582200000001535E-2</v>
      </c>
      <c r="D561" s="4">
        <f t="shared" si="30"/>
        <v>-9.2947190000000148</v>
      </c>
      <c r="E561" s="3">
        <v>57.95</v>
      </c>
      <c r="F561" s="3">
        <v>20</v>
      </c>
      <c r="G561" s="3">
        <v>136.94979799999999</v>
      </c>
      <c r="H561" s="4">
        <f t="shared" si="33"/>
        <v>0.14384499999997047</v>
      </c>
      <c r="I561" s="4">
        <f t="shared" si="31"/>
        <v>-8.5952220000000352</v>
      </c>
      <c r="J561" s="3">
        <v>57.95</v>
      </c>
      <c r="K561" s="3">
        <v>20</v>
      </c>
    </row>
    <row r="562" spans="1:11" x14ac:dyDescent="0.35">
      <c r="A562" s="2">
        <v>41701</v>
      </c>
      <c r="B562" s="3">
        <v>129.35819599999999</v>
      </c>
      <c r="C562" s="4">
        <f t="shared" si="32"/>
        <v>0.15629099999998175</v>
      </c>
      <c r="D562" s="4">
        <f t="shared" si="30"/>
        <v>-10.115110000000016</v>
      </c>
      <c r="E562" s="3">
        <v>57.95</v>
      </c>
      <c r="F562" s="3">
        <v>20</v>
      </c>
      <c r="G562" s="3">
        <v>137.15048899999999</v>
      </c>
      <c r="H562" s="4">
        <f t="shared" si="33"/>
        <v>0.20069100000000617</v>
      </c>
      <c r="I562" s="4">
        <f t="shared" si="31"/>
        <v>-9.1938910000000078</v>
      </c>
      <c r="J562" s="3">
        <v>57.95</v>
      </c>
      <c r="K562" s="3">
        <v>20</v>
      </c>
    </row>
    <row r="563" spans="1:11" x14ac:dyDescent="0.35">
      <c r="A563" s="2">
        <v>41708</v>
      </c>
      <c r="B563" s="3">
        <v>129.385392</v>
      </c>
      <c r="C563" s="4">
        <f t="shared" si="32"/>
        <v>2.7196000000003551E-2</v>
      </c>
      <c r="D563" s="4">
        <f t="shared" si="30"/>
        <v>-10.611920999999995</v>
      </c>
      <c r="E563" s="3">
        <v>57.95</v>
      </c>
      <c r="F563" s="3">
        <v>20</v>
      </c>
      <c r="G563" s="3">
        <v>137.07808700000001</v>
      </c>
      <c r="H563" s="4">
        <f t="shared" si="33"/>
        <v>-7.2401999999982536E-2</v>
      </c>
      <c r="I563" s="4">
        <f t="shared" si="31"/>
        <v>-9.6326329999999984</v>
      </c>
      <c r="J563" s="3">
        <v>57.95</v>
      </c>
      <c r="K563" s="3">
        <v>20</v>
      </c>
    </row>
    <row r="564" spans="1:11" x14ac:dyDescent="0.35">
      <c r="A564" s="2">
        <v>41715</v>
      </c>
      <c r="B564" s="3">
        <v>128.75718499999999</v>
      </c>
      <c r="C564" s="4">
        <f t="shared" si="32"/>
        <v>-0.62820700000000329</v>
      </c>
      <c r="D564" s="4">
        <f t="shared" si="30"/>
        <v>-8.8254589999999951</v>
      </c>
      <c r="E564" s="3">
        <v>57.95</v>
      </c>
      <c r="F564" s="3">
        <v>20</v>
      </c>
      <c r="G564" s="3">
        <v>136.26726400000001</v>
      </c>
      <c r="H564" s="4">
        <f t="shared" si="33"/>
        <v>-0.81082299999999918</v>
      </c>
      <c r="I564" s="4">
        <f t="shared" si="31"/>
        <v>-8.5744320000000016</v>
      </c>
      <c r="J564" s="3">
        <v>57.95</v>
      </c>
      <c r="K564" s="3">
        <v>20</v>
      </c>
    </row>
    <row r="565" spans="1:11" x14ac:dyDescent="0.35">
      <c r="A565" s="2">
        <v>41722</v>
      </c>
      <c r="B565" s="3">
        <v>128.57118199999999</v>
      </c>
      <c r="C565" s="4">
        <f t="shared" si="32"/>
        <v>-0.18600299999999947</v>
      </c>
      <c r="D565" s="4">
        <f t="shared" si="30"/>
        <v>-8.5147620000000188</v>
      </c>
      <c r="E565" s="3">
        <v>57.95</v>
      </c>
      <c r="F565" s="3">
        <v>20</v>
      </c>
      <c r="G565" s="3">
        <v>135.99780400000003</v>
      </c>
      <c r="H565" s="4">
        <f t="shared" si="33"/>
        <v>-0.26945999999998094</v>
      </c>
      <c r="I565" s="4">
        <f t="shared" si="31"/>
        <v>-8.3364979999999775</v>
      </c>
      <c r="J565" s="3">
        <v>57.95</v>
      </c>
      <c r="K565" s="3">
        <v>20</v>
      </c>
    </row>
    <row r="566" spans="1:11" x14ac:dyDescent="0.35">
      <c r="A566" s="2">
        <v>41729</v>
      </c>
      <c r="B566" s="3">
        <v>128.76130999999998</v>
      </c>
      <c r="C566" s="4">
        <f t="shared" si="32"/>
        <v>0.1901279999999872</v>
      </c>
      <c r="D566" s="4">
        <f t="shared" si="30"/>
        <v>-8.5358640000000321</v>
      </c>
      <c r="E566" s="3">
        <v>57.95</v>
      </c>
      <c r="F566" s="3">
        <v>20</v>
      </c>
      <c r="G566" s="3">
        <v>135.886517</v>
      </c>
      <c r="H566" s="4">
        <f t="shared" si="33"/>
        <v>-0.11128700000003278</v>
      </c>
      <c r="I566" s="4">
        <f t="shared" si="31"/>
        <v>-7.6197209999999984</v>
      </c>
      <c r="J566" s="3">
        <v>57.95</v>
      </c>
      <c r="K566" s="3">
        <v>20</v>
      </c>
    </row>
    <row r="567" spans="1:11" x14ac:dyDescent="0.35">
      <c r="A567" s="2">
        <v>41736</v>
      </c>
      <c r="B567" s="3">
        <v>128.71284299999999</v>
      </c>
      <c r="C567" s="4">
        <f t="shared" si="32"/>
        <v>-4.8466999999988047E-2</v>
      </c>
      <c r="D567" s="4">
        <f t="shared" ref="D567:D630" si="34">B567-B515</f>
        <v>-8.592423000000025</v>
      </c>
      <c r="E567" s="3">
        <v>57.95</v>
      </c>
      <c r="F567" s="3">
        <v>20</v>
      </c>
      <c r="G567" s="3">
        <v>136.00898599999999</v>
      </c>
      <c r="H567" s="4">
        <f t="shared" si="33"/>
        <v>0.12246899999999528</v>
      </c>
      <c r="I567" s="4">
        <f t="shared" ref="I567:I630" si="35">G567-G515</f>
        <v>-7.124147999999991</v>
      </c>
      <c r="J567" s="3">
        <v>57.95</v>
      </c>
      <c r="K567" s="3">
        <v>20</v>
      </c>
    </row>
    <row r="568" spans="1:11" x14ac:dyDescent="0.35">
      <c r="A568" s="2">
        <v>41743</v>
      </c>
      <c r="B568" s="3">
        <v>128.89086800000001</v>
      </c>
      <c r="C568" s="4">
        <f t="shared" si="32"/>
        <v>0.17802500000001942</v>
      </c>
      <c r="D568" s="4">
        <f t="shared" si="34"/>
        <v>-8.2179340000000138</v>
      </c>
      <c r="E568" s="3">
        <v>57.95</v>
      </c>
      <c r="F568" s="3">
        <v>20</v>
      </c>
      <c r="G568" s="3">
        <v>136.05353000000002</v>
      </c>
      <c r="H568" s="4">
        <f t="shared" si="33"/>
        <v>4.4544000000030337E-2</v>
      </c>
      <c r="I568" s="4">
        <f t="shared" si="35"/>
        <v>-5.6115659999999821</v>
      </c>
      <c r="J568" s="3">
        <v>57.95</v>
      </c>
      <c r="K568" s="3">
        <v>20</v>
      </c>
    </row>
    <row r="569" spans="1:11" x14ac:dyDescent="0.35">
      <c r="A569" s="2">
        <v>41750</v>
      </c>
      <c r="B569" s="3">
        <v>129.11240000000001</v>
      </c>
      <c r="C569" s="4">
        <f t="shared" si="32"/>
        <v>0.22153199999999629</v>
      </c>
      <c r="D569" s="4">
        <f t="shared" si="34"/>
        <v>-6.5683119999999917</v>
      </c>
      <c r="E569" s="3">
        <v>57.95</v>
      </c>
      <c r="F569" s="3">
        <v>20</v>
      </c>
      <c r="G569" s="3">
        <v>136.11527100000001</v>
      </c>
      <c r="H569" s="4">
        <f t="shared" si="33"/>
        <v>6.1740999999983615E-2</v>
      </c>
      <c r="I569" s="4">
        <f t="shared" si="35"/>
        <v>-4.5239549999999724</v>
      </c>
      <c r="J569" s="3">
        <v>57.95</v>
      </c>
      <c r="K569" s="3">
        <v>20</v>
      </c>
    </row>
    <row r="570" spans="1:11" x14ac:dyDescent="0.35">
      <c r="A570" s="2">
        <v>41757</v>
      </c>
      <c r="B570" s="3">
        <v>129.09442099999998</v>
      </c>
      <c r="C570" s="4">
        <f t="shared" si="32"/>
        <v>-1.797900000002528E-2</v>
      </c>
      <c r="D570" s="4">
        <f t="shared" si="34"/>
        <v>-5.5679800000000341</v>
      </c>
      <c r="E570" s="3">
        <v>57.95</v>
      </c>
      <c r="F570" s="3">
        <v>20</v>
      </c>
      <c r="G570" s="3">
        <v>135.93039400000001</v>
      </c>
      <c r="H570" s="4">
        <f t="shared" si="33"/>
        <v>-0.18487700000000018</v>
      </c>
      <c r="I570" s="4">
        <f t="shared" si="35"/>
        <v>-3.663550000000015</v>
      </c>
      <c r="J570" s="3">
        <v>57.95</v>
      </c>
      <c r="K570" s="3">
        <v>20</v>
      </c>
    </row>
    <row r="571" spans="1:11" x14ac:dyDescent="0.35">
      <c r="A571" s="2">
        <v>41764</v>
      </c>
      <c r="B571" s="3">
        <v>129.26613199999997</v>
      </c>
      <c r="C571" s="4">
        <f t="shared" si="32"/>
        <v>0.17171099999998773</v>
      </c>
      <c r="D571" s="4">
        <f t="shared" si="34"/>
        <v>-4.1503800000000126</v>
      </c>
      <c r="E571" s="3">
        <v>57.95</v>
      </c>
      <c r="F571" s="3">
        <v>20</v>
      </c>
      <c r="G571" s="3">
        <v>136.16088500000001</v>
      </c>
      <c r="H571" s="4">
        <f t="shared" si="33"/>
        <v>0.23049100000000067</v>
      </c>
      <c r="I571" s="4">
        <f t="shared" si="35"/>
        <v>-2.3796930000000032</v>
      </c>
      <c r="J571" s="3">
        <v>57.95</v>
      </c>
      <c r="K571" s="3">
        <v>20</v>
      </c>
    </row>
    <row r="572" spans="1:11" x14ac:dyDescent="0.35">
      <c r="A572" s="2">
        <v>41771</v>
      </c>
      <c r="B572" s="3">
        <v>129.49770899999999</v>
      </c>
      <c r="C572" s="4">
        <f t="shared" si="32"/>
        <v>0.23157700000001569</v>
      </c>
      <c r="D572" s="4">
        <f t="shared" si="34"/>
        <v>-3.6213510000000042</v>
      </c>
      <c r="E572" s="3">
        <v>57.95</v>
      </c>
      <c r="F572" s="3">
        <v>20</v>
      </c>
      <c r="G572" s="3">
        <v>136.36838600000002</v>
      </c>
      <c r="H572" s="4">
        <f t="shared" si="33"/>
        <v>0.20750100000000771</v>
      </c>
      <c r="I572" s="4">
        <f t="shared" si="35"/>
        <v>-1.8986859999999695</v>
      </c>
      <c r="J572" s="3">
        <v>57.95</v>
      </c>
      <c r="K572" s="3">
        <v>20</v>
      </c>
    </row>
    <row r="573" spans="1:11" x14ac:dyDescent="0.35">
      <c r="A573" s="2">
        <v>41778</v>
      </c>
      <c r="B573" s="3">
        <v>129.41837900000002</v>
      </c>
      <c r="C573" s="4">
        <f t="shared" si="32"/>
        <v>-7.9329999999970369E-2</v>
      </c>
      <c r="D573" s="4">
        <f t="shared" si="34"/>
        <v>-3.7533630000000073</v>
      </c>
      <c r="E573" s="3">
        <v>57.95</v>
      </c>
      <c r="F573" s="3">
        <v>20</v>
      </c>
      <c r="G573" s="3">
        <v>136.16587900000002</v>
      </c>
      <c r="H573" s="4">
        <f t="shared" si="33"/>
        <v>-0.20250699999999711</v>
      </c>
      <c r="I573" s="4">
        <f t="shared" si="35"/>
        <v>-2.2584629999999777</v>
      </c>
      <c r="J573" s="3">
        <v>57.95</v>
      </c>
      <c r="K573" s="3">
        <v>20</v>
      </c>
    </row>
    <row r="574" spans="1:11" x14ac:dyDescent="0.35">
      <c r="A574" s="2">
        <v>41785</v>
      </c>
      <c r="B574" s="3">
        <v>129.51083600000001</v>
      </c>
      <c r="C574" s="4">
        <f t="shared" si="32"/>
        <v>9.2456999999996015E-2</v>
      </c>
      <c r="D574" s="4">
        <f t="shared" si="34"/>
        <v>-4.1270919999999762</v>
      </c>
      <c r="E574" s="3">
        <v>57.95</v>
      </c>
      <c r="F574" s="3">
        <v>20</v>
      </c>
      <c r="G574" s="3">
        <v>136.35768300000001</v>
      </c>
      <c r="H574" s="4">
        <f t="shared" si="33"/>
        <v>0.19180399999999054</v>
      </c>
      <c r="I574" s="4">
        <f t="shared" si="35"/>
        <v>-2.4583599999999706</v>
      </c>
      <c r="J574" s="3">
        <v>57.95</v>
      </c>
      <c r="K574" s="3">
        <v>20</v>
      </c>
    </row>
    <row r="575" spans="1:11" x14ac:dyDescent="0.35">
      <c r="A575" s="2">
        <v>41792</v>
      </c>
      <c r="B575" s="3">
        <v>129.63180999999997</v>
      </c>
      <c r="C575" s="4">
        <f t="shared" si="32"/>
        <v>0.12097399999996128</v>
      </c>
      <c r="D575" s="4">
        <f t="shared" si="34"/>
        <v>-4.4126280000000406</v>
      </c>
      <c r="E575" s="3">
        <v>57.95</v>
      </c>
      <c r="F575" s="3">
        <v>20</v>
      </c>
      <c r="G575" s="3">
        <v>136.37573</v>
      </c>
      <c r="H575" s="4">
        <f t="shared" si="33"/>
        <v>1.8046999999995705E-2</v>
      </c>
      <c r="I575" s="4">
        <f t="shared" si="35"/>
        <v>-2.7956569999999772</v>
      </c>
      <c r="J575" s="3">
        <v>57.95</v>
      </c>
      <c r="K575" s="3">
        <v>20</v>
      </c>
    </row>
    <row r="576" spans="1:11" x14ac:dyDescent="0.35">
      <c r="A576" s="2">
        <v>41799</v>
      </c>
      <c r="B576" s="3">
        <v>129.69266399999998</v>
      </c>
      <c r="C576" s="4">
        <f t="shared" si="32"/>
        <v>6.0854000000006181E-2</v>
      </c>
      <c r="D576" s="4">
        <f t="shared" si="34"/>
        <v>-4.6063450000000046</v>
      </c>
      <c r="E576" s="3">
        <v>57.95</v>
      </c>
      <c r="F576" s="3">
        <v>20</v>
      </c>
      <c r="G576" s="3">
        <v>136.040524</v>
      </c>
      <c r="H576" s="4">
        <f t="shared" si="33"/>
        <v>-0.33520599999999945</v>
      </c>
      <c r="I576" s="4">
        <f t="shared" si="35"/>
        <v>-3.3928779999999961</v>
      </c>
      <c r="J576" s="3">
        <v>57.95</v>
      </c>
      <c r="K576" s="3">
        <v>20</v>
      </c>
    </row>
    <row r="577" spans="1:11" x14ac:dyDescent="0.35">
      <c r="A577" s="2">
        <v>41806</v>
      </c>
      <c r="B577" s="3">
        <v>129.880144</v>
      </c>
      <c r="C577" s="4">
        <f t="shared" si="32"/>
        <v>0.18748000000002207</v>
      </c>
      <c r="D577" s="4">
        <f t="shared" si="34"/>
        <v>-4.577543999999989</v>
      </c>
      <c r="E577" s="3">
        <v>57.95</v>
      </c>
      <c r="F577" s="3">
        <v>20</v>
      </c>
      <c r="G577" s="3">
        <v>135.54180200000002</v>
      </c>
      <c r="H577" s="4">
        <f t="shared" si="33"/>
        <v>-0.49872199999998656</v>
      </c>
      <c r="I577" s="4">
        <f t="shared" si="35"/>
        <v>-3.9949959999999862</v>
      </c>
      <c r="J577" s="3">
        <v>57.95</v>
      </c>
      <c r="K577" s="3">
        <v>20</v>
      </c>
    </row>
    <row r="578" spans="1:11" x14ac:dyDescent="0.35">
      <c r="A578" s="2">
        <v>41813</v>
      </c>
      <c r="B578" s="3">
        <v>130.142156</v>
      </c>
      <c r="C578" s="4">
        <f t="shared" si="32"/>
        <v>0.26201199999999858</v>
      </c>
      <c r="D578" s="4">
        <f t="shared" si="34"/>
        <v>-4.377902000000006</v>
      </c>
      <c r="E578" s="3">
        <v>57.95</v>
      </c>
      <c r="F578" s="3">
        <v>20</v>
      </c>
      <c r="G578" s="3">
        <v>135.500857</v>
      </c>
      <c r="H578" s="4">
        <f t="shared" si="33"/>
        <v>-4.0945000000021992E-2</v>
      </c>
      <c r="I578" s="4">
        <f t="shared" si="35"/>
        <v>-4.1355350000000044</v>
      </c>
      <c r="J578" s="3">
        <v>57.95</v>
      </c>
      <c r="K578" s="3">
        <v>20</v>
      </c>
    </row>
    <row r="579" spans="1:11" x14ac:dyDescent="0.35">
      <c r="A579" s="2">
        <v>41820</v>
      </c>
      <c r="B579" s="3">
        <v>130.68705</v>
      </c>
      <c r="C579" s="4">
        <f t="shared" ref="C579:C642" si="36">B579-B578</f>
        <v>0.54489399999999932</v>
      </c>
      <c r="D579" s="4">
        <f t="shared" si="34"/>
        <v>-2.7532580000000166</v>
      </c>
      <c r="E579" s="3">
        <v>57.95</v>
      </c>
      <c r="F579" s="3">
        <v>20</v>
      </c>
      <c r="G579" s="3">
        <v>136.03758400000001</v>
      </c>
      <c r="H579" s="4">
        <f t="shared" ref="H579:H642" si="37">G579-G578</f>
        <v>0.53672700000001328</v>
      </c>
      <c r="I579" s="4">
        <f t="shared" si="35"/>
        <v>-2.4766439999999932</v>
      </c>
      <c r="J579" s="3">
        <v>57.95</v>
      </c>
      <c r="K579" s="3">
        <v>20</v>
      </c>
    </row>
    <row r="580" spans="1:11" x14ac:dyDescent="0.35">
      <c r="A580" s="2">
        <v>41827</v>
      </c>
      <c r="B580" s="3">
        <v>131.099919</v>
      </c>
      <c r="C580" s="4">
        <f t="shared" si="36"/>
        <v>0.4128690000000006</v>
      </c>
      <c r="D580" s="4">
        <f t="shared" si="34"/>
        <v>-2.6693850000000054</v>
      </c>
      <c r="E580" s="3">
        <v>57.95</v>
      </c>
      <c r="F580" s="3">
        <v>20</v>
      </c>
      <c r="G580" s="3">
        <v>136.21809500000001</v>
      </c>
      <c r="H580" s="4">
        <f t="shared" si="37"/>
        <v>0.18051099999999565</v>
      </c>
      <c r="I580" s="4">
        <f t="shared" si="35"/>
        <v>-2.5127569999999935</v>
      </c>
      <c r="J580" s="3">
        <v>57.95</v>
      </c>
      <c r="K580" s="3">
        <v>20</v>
      </c>
    </row>
    <row r="581" spans="1:11" x14ac:dyDescent="0.35">
      <c r="A581" s="2">
        <v>41834</v>
      </c>
      <c r="B581" s="3">
        <v>131.11149700000001</v>
      </c>
      <c r="C581" s="4">
        <f t="shared" si="36"/>
        <v>1.1578000000014299E-2</v>
      </c>
      <c r="D581" s="4">
        <f t="shared" si="34"/>
        <v>-3.8349809999999707</v>
      </c>
      <c r="E581" s="3">
        <v>57.95</v>
      </c>
      <c r="F581" s="3">
        <v>20</v>
      </c>
      <c r="G581" s="3">
        <v>136.17090200000001</v>
      </c>
      <c r="H581" s="4">
        <f t="shared" si="37"/>
        <v>-4.7192999999992935E-2</v>
      </c>
      <c r="I581" s="4">
        <f t="shared" si="35"/>
        <v>-3.6649679999999876</v>
      </c>
      <c r="J581" s="3">
        <v>57.95</v>
      </c>
      <c r="K581" s="3">
        <v>20</v>
      </c>
    </row>
    <row r="582" spans="1:11" x14ac:dyDescent="0.35">
      <c r="A582" s="2">
        <v>41841</v>
      </c>
      <c r="B582" s="3">
        <v>131.04472099999998</v>
      </c>
      <c r="C582" s="4">
        <f t="shared" si="36"/>
        <v>-6.6776000000032809E-2</v>
      </c>
      <c r="D582" s="4">
        <f t="shared" si="34"/>
        <v>-4.9914470000000222</v>
      </c>
      <c r="E582" s="3">
        <v>57.95</v>
      </c>
      <c r="F582" s="3">
        <v>20</v>
      </c>
      <c r="G582" s="3">
        <v>135.68729200000001</v>
      </c>
      <c r="H582" s="4">
        <f t="shared" si="37"/>
        <v>-0.48360999999999876</v>
      </c>
      <c r="I582" s="4">
        <f t="shared" si="35"/>
        <v>-5.0338140000000067</v>
      </c>
      <c r="J582" s="3">
        <v>57.95</v>
      </c>
      <c r="K582" s="3">
        <v>20</v>
      </c>
    </row>
    <row r="583" spans="1:11" x14ac:dyDescent="0.35">
      <c r="A583" s="2">
        <v>41848</v>
      </c>
      <c r="B583" s="3">
        <v>130.829579</v>
      </c>
      <c r="C583" s="4">
        <f t="shared" si="36"/>
        <v>-0.21514199999998596</v>
      </c>
      <c r="D583" s="4">
        <f t="shared" si="34"/>
        <v>-6.0388879999999858</v>
      </c>
      <c r="E583" s="3">
        <v>57.95</v>
      </c>
      <c r="F583" s="3">
        <v>20</v>
      </c>
      <c r="G583" s="3">
        <v>135.504648</v>
      </c>
      <c r="H583" s="4">
        <f t="shared" si="37"/>
        <v>-0.18264400000001046</v>
      </c>
      <c r="I583" s="4">
        <f t="shared" si="35"/>
        <v>-5.9312520000000006</v>
      </c>
      <c r="J583" s="3">
        <v>57.95</v>
      </c>
      <c r="K583" s="3">
        <v>20</v>
      </c>
    </row>
    <row r="584" spans="1:11" x14ac:dyDescent="0.35">
      <c r="A584" s="2">
        <v>41855</v>
      </c>
      <c r="B584" s="3">
        <v>129.62610100000001</v>
      </c>
      <c r="C584" s="4">
        <f t="shared" si="36"/>
        <v>-1.2034779999999898</v>
      </c>
      <c r="D584" s="4">
        <f t="shared" si="34"/>
        <v>-7.3894329999999968</v>
      </c>
      <c r="E584" s="3">
        <v>57.95</v>
      </c>
      <c r="F584" s="3">
        <v>20</v>
      </c>
      <c r="G584" s="3">
        <v>134.30514200000002</v>
      </c>
      <c r="H584" s="4">
        <f t="shared" si="37"/>
        <v>-1.1995059999999853</v>
      </c>
      <c r="I584" s="4">
        <f t="shared" si="35"/>
        <v>-7.3693979999999897</v>
      </c>
      <c r="J584" s="3">
        <v>57.95</v>
      </c>
      <c r="K584" s="3">
        <v>20</v>
      </c>
    </row>
    <row r="585" spans="1:11" x14ac:dyDescent="0.35">
      <c r="A585" s="2">
        <v>41862</v>
      </c>
      <c r="B585" s="3">
        <v>129.41438299999999</v>
      </c>
      <c r="C585" s="4">
        <f t="shared" si="36"/>
        <v>-0.21171800000001895</v>
      </c>
      <c r="D585" s="4">
        <f t="shared" si="34"/>
        <v>-7.7158190000000388</v>
      </c>
      <c r="E585" s="3">
        <v>57.95</v>
      </c>
      <c r="F585" s="3">
        <v>20</v>
      </c>
      <c r="G585" s="3">
        <v>133.851055</v>
      </c>
      <c r="H585" s="4">
        <f t="shared" si="37"/>
        <v>-0.45408700000001545</v>
      </c>
      <c r="I585" s="4">
        <f t="shared" si="35"/>
        <v>-7.9710010000000011</v>
      </c>
      <c r="J585" s="3">
        <v>57.95</v>
      </c>
      <c r="K585" s="3">
        <v>20</v>
      </c>
    </row>
    <row r="586" spans="1:11" x14ac:dyDescent="0.35">
      <c r="A586" s="2">
        <v>41869</v>
      </c>
      <c r="B586" s="3">
        <v>129.291968</v>
      </c>
      <c r="C586" s="4">
        <f t="shared" si="36"/>
        <v>-0.1224149999999895</v>
      </c>
      <c r="D586" s="4">
        <f t="shared" si="34"/>
        <v>-7.7066480000000013</v>
      </c>
      <c r="E586" s="3">
        <v>57.95</v>
      </c>
      <c r="F586" s="3">
        <v>20</v>
      </c>
      <c r="G586" s="3">
        <v>133.74293299999999</v>
      </c>
      <c r="H586" s="4">
        <f t="shared" si="37"/>
        <v>-0.10812200000000871</v>
      </c>
      <c r="I586" s="4">
        <f t="shared" si="35"/>
        <v>-7.9896830000000421</v>
      </c>
      <c r="J586" s="3">
        <v>57.95</v>
      </c>
      <c r="K586" s="3">
        <v>20</v>
      </c>
    </row>
    <row r="587" spans="1:11" x14ac:dyDescent="0.35">
      <c r="A587" s="2">
        <v>41876</v>
      </c>
      <c r="B587" s="3">
        <v>128.342308078489</v>
      </c>
      <c r="C587" s="4">
        <f t="shared" si="36"/>
        <v>-0.94965992151099954</v>
      </c>
      <c r="D587" s="4">
        <f t="shared" si="34"/>
        <v>-8.4851239215110184</v>
      </c>
      <c r="E587" s="3">
        <v>57.95</v>
      </c>
      <c r="F587" s="3">
        <v>20</v>
      </c>
      <c r="G587" s="3">
        <v>133.1618836912464</v>
      </c>
      <c r="H587" s="4">
        <f t="shared" si="37"/>
        <v>-0.58104930875359173</v>
      </c>
      <c r="I587" s="4">
        <f t="shared" si="35"/>
        <v>-8.6156843087536004</v>
      </c>
      <c r="J587" s="3">
        <v>57.95</v>
      </c>
      <c r="K587" s="3">
        <v>20</v>
      </c>
    </row>
    <row r="588" spans="1:11" x14ac:dyDescent="0.35">
      <c r="A588" s="2">
        <v>41883</v>
      </c>
      <c r="B588" s="3">
        <v>128.00941659328362</v>
      </c>
      <c r="C588" s="4">
        <f t="shared" si="36"/>
        <v>-0.33289148520537992</v>
      </c>
      <c r="D588" s="4">
        <f t="shared" si="34"/>
        <v>-9.1271434067163852</v>
      </c>
      <c r="E588" s="3">
        <v>57.95</v>
      </c>
      <c r="F588" s="3">
        <v>20</v>
      </c>
      <c r="G588" s="3">
        <v>132.76814251684459</v>
      </c>
      <c r="H588" s="4">
        <f t="shared" si="37"/>
        <v>-0.39374117440181067</v>
      </c>
      <c r="I588" s="4">
        <f t="shared" si="35"/>
        <v>-9.3248954831553874</v>
      </c>
      <c r="J588" s="3">
        <v>57.95</v>
      </c>
      <c r="K588" s="3">
        <v>20</v>
      </c>
    </row>
    <row r="589" spans="1:11" x14ac:dyDescent="0.35">
      <c r="A589" s="2">
        <v>41890</v>
      </c>
      <c r="B589" s="3">
        <v>128.34305732556072</v>
      </c>
      <c r="C589" s="4">
        <f t="shared" si="36"/>
        <v>0.33364073227710378</v>
      </c>
      <c r="D589" s="4">
        <f t="shared" si="34"/>
        <v>-9.2590416744392599</v>
      </c>
      <c r="E589" s="3">
        <v>57.95</v>
      </c>
      <c r="F589" s="3">
        <v>20</v>
      </c>
      <c r="G589" s="3">
        <v>133.09017074232111</v>
      </c>
      <c r="H589" s="4">
        <f t="shared" si="37"/>
        <v>0.32202822547651522</v>
      </c>
      <c r="I589" s="4">
        <f t="shared" si="35"/>
        <v>-9.5806412576789057</v>
      </c>
      <c r="J589" s="3">
        <v>57.95</v>
      </c>
      <c r="K589" s="3">
        <v>20</v>
      </c>
    </row>
    <row r="590" spans="1:11" x14ac:dyDescent="0.35">
      <c r="A590" s="2">
        <v>41897</v>
      </c>
      <c r="B590" s="3">
        <v>128.43335735216516</v>
      </c>
      <c r="C590" s="4">
        <f t="shared" si="36"/>
        <v>9.0300026604438699E-2</v>
      </c>
      <c r="D590" s="4">
        <f t="shared" si="34"/>
        <v>-9.0395716478348334</v>
      </c>
      <c r="E590" s="3">
        <v>57.95</v>
      </c>
      <c r="F590" s="3">
        <v>20</v>
      </c>
      <c r="G590" s="3">
        <v>133.13145405940608</v>
      </c>
      <c r="H590" s="4">
        <f t="shared" si="37"/>
        <v>4.1283317084975124E-2</v>
      </c>
      <c r="I590" s="4">
        <f t="shared" si="35"/>
        <v>-9.3889399405939287</v>
      </c>
      <c r="J590" s="3">
        <v>57.95</v>
      </c>
      <c r="K590" s="3">
        <v>20</v>
      </c>
    </row>
    <row r="591" spans="1:11" x14ac:dyDescent="0.35">
      <c r="A591" s="2">
        <v>41904</v>
      </c>
      <c r="B591" s="3">
        <v>128.61695035375567</v>
      </c>
      <c r="C591" s="4">
        <f t="shared" si="36"/>
        <v>0.18359300159050918</v>
      </c>
      <c r="D591" s="4">
        <f t="shared" si="34"/>
        <v>-8.3368536462443217</v>
      </c>
      <c r="E591" s="3">
        <v>57.95</v>
      </c>
      <c r="F591" s="3">
        <v>20</v>
      </c>
      <c r="G591" s="3">
        <v>133.31890915296231</v>
      </c>
      <c r="H591" s="4">
        <f t="shared" si="37"/>
        <v>0.18745509355622403</v>
      </c>
      <c r="I591" s="4">
        <f t="shared" si="35"/>
        <v>-8.7695868470376865</v>
      </c>
      <c r="J591" s="3">
        <v>57.95</v>
      </c>
      <c r="K591" s="3">
        <v>20</v>
      </c>
    </row>
    <row r="592" spans="1:11" x14ac:dyDescent="0.35">
      <c r="A592" s="2">
        <v>41911</v>
      </c>
      <c r="B592" s="3">
        <v>128.59320006130426</v>
      </c>
      <c r="C592" s="4">
        <f t="shared" si="36"/>
        <v>-2.375029245141036E-2</v>
      </c>
      <c r="D592" s="4">
        <f t="shared" si="34"/>
        <v>-4.8084819386957349</v>
      </c>
      <c r="E592" s="3">
        <v>57.95</v>
      </c>
      <c r="F592" s="3">
        <v>20</v>
      </c>
      <c r="G592" s="3">
        <v>133.23312085690392</v>
      </c>
      <c r="H592" s="4">
        <f t="shared" si="37"/>
        <v>-8.578829605838223E-2</v>
      </c>
      <c r="I592" s="4">
        <f t="shared" si="35"/>
        <v>-6.961039143096059</v>
      </c>
      <c r="J592" s="3">
        <v>57.95</v>
      </c>
      <c r="K592" s="3">
        <v>20</v>
      </c>
    </row>
    <row r="593" spans="1:11" x14ac:dyDescent="0.35">
      <c r="A593" s="2">
        <v>41918</v>
      </c>
      <c r="B593" s="3">
        <v>126.78491776759481</v>
      </c>
      <c r="C593" s="4">
        <f t="shared" si="36"/>
        <v>-1.8082822937094534</v>
      </c>
      <c r="D593" s="4">
        <f t="shared" si="34"/>
        <v>-4.8359162324051965</v>
      </c>
      <c r="E593" s="3">
        <v>57.95</v>
      </c>
      <c r="F593" s="3">
        <v>20</v>
      </c>
      <c r="G593" s="3">
        <v>131.43183198251728</v>
      </c>
      <c r="H593" s="4">
        <f t="shared" si="37"/>
        <v>-1.8012888743866426</v>
      </c>
      <c r="I593" s="4">
        <f t="shared" si="35"/>
        <v>-7.4020220174827216</v>
      </c>
      <c r="J593" s="3">
        <v>57.95</v>
      </c>
      <c r="K593" s="3">
        <v>20</v>
      </c>
    </row>
    <row r="594" spans="1:11" x14ac:dyDescent="0.35">
      <c r="A594" s="2">
        <v>41925</v>
      </c>
      <c r="B594" s="3">
        <v>126.49926711709757</v>
      </c>
      <c r="C594" s="4">
        <f t="shared" si="36"/>
        <v>-0.2856506504972316</v>
      </c>
      <c r="D594" s="4">
        <f t="shared" si="34"/>
        <v>-5.1749398829024216</v>
      </c>
      <c r="E594" s="3">
        <v>57.95</v>
      </c>
      <c r="F594" s="3">
        <v>20</v>
      </c>
      <c r="G594" s="3">
        <v>131.0819765451586</v>
      </c>
      <c r="H594" s="4">
        <f t="shared" si="37"/>
        <v>-0.34985543735868418</v>
      </c>
      <c r="I594" s="4">
        <f t="shared" si="35"/>
        <v>-8.0697564548414391</v>
      </c>
      <c r="J594" s="3">
        <v>57.95</v>
      </c>
      <c r="K594" s="3">
        <v>20</v>
      </c>
    </row>
    <row r="595" spans="1:11" x14ac:dyDescent="0.35">
      <c r="A595" s="2">
        <v>41932</v>
      </c>
      <c r="B595" s="3">
        <v>125.40349229072044</v>
      </c>
      <c r="C595" s="4">
        <f t="shared" si="36"/>
        <v>-1.0957748263771379</v>
      </c>
      <c r="D595" s="4">
        <f t="shared" si="34"/>
        <v>-6.1295137092795642</v>
      </c>
      <c r="E595" s="3">
        <v>57.95</v>
      </c>
      <c r="F595" s="3">
        <v>20</v>
      </c>
      <c r="G595" s="3">
        <v>129.99717782692747</v>
      </c>
      <c r="H595" s="4">
        <f t="shared" si="37"/>
        <v>-1.0847987182311272</v>
      </c>
      <c r="I595" s="4">
        <f t="shared" si="35"/>
        <v>-8.9971861730725209</v>
      </c>
      <c r="J595" s="3">
        <v>57.95</v>
      </c>
      <c r="K595" s="3">
        <v>20</v>
      </c>
    </row>
    <row r="596" spans="1:11" x14ac:dyDescent="0.35">
      <c r="A596" s="2">
        <v>41939</v>
      </c>
      <c r="B596" s="3">
        <v>125.11373542785068</v>
      </c>
      <c r="C596" s="4">
        <f t="shared" si="36"/>
        <v>-0.28975686286975133</v>
      </c>
      <c r="D596" s="4">
        <f t="shared" si="34"/>
        <v>-6.3043805721492845</v>
      </c>
      <c r="E596" s="3">
        <v>57.95</v>
      </c>
      <c r="F596" s="3">
        <v>20</v>
      </c>
      <c r="G596" s="3">
        <v>129.71674404436067</v>
      </c>
      <c r="H596" s="4">
        <f t="shared" si="37"/>
        <v>-0.28043378256680285</v>
      </c>
      <c r="I596" s="4">
        <f t="shared" si="35"/>
        <v>-9.1611109556393444</v>
      </c>
      <c r="J596" s="3">
        <v>57.95</v>
      </c>
      <c r="K596" s="3">
        <v>20</v>
      </c>
    </row>
    <row r="597" spans="1:11" x14ac:dyDescent="0.35">
      <c r="A597" s="2">
        <v>41946</v>
      </c>
      <c r="B597" s="3">
        <v>123.93878706354707</v>
      </c>
      <c r="C597" s="4">
        <f t="shared" si="36"/>
        <v>-1.1749483643036172</v>
      </c>
      <c r="D597" s="4">
        <f t="shared" si="34"/>
        <v>-5.9831579364529262</v>
      </c>
      <c r="E597" s="3">
        <v>57.95</v>
      </c>
      <c r="F597" s="3">
        <v>20</v>
      </c>
      <c r="G597" s="3">
        <v>128.55709969866805</v>
      </c>
      <c r="H597" s="4">
        <f t="shared" si="37"/>
        <v>-1.1596443456926124</v>
      </c>
      <c r="I597" s="4">
        <f t="shared" si="35"/>
        <v>-8.957368301331968</v>
      </c>
      <c r="J597" s="3">
        <v>57.95</v>
      </c>
      <c r="K597" s="3">
        <v>20</v>
      </c>
    </row>
    <row r="598" spans="1:11" x14ac:dyDescent="0.35">
      <c r="A598" s="2">
        <v>41953</v>
      </c>
      <c r="B598" s="3">
        <v>122.94293023483374</v>
      </c>
      <c r="C598" s="4">
        <f t="shared" si="36"/>
        <v>-0.99585682871332892</v>
      </c>
      <c r="D598" s="4">
        <f t="shared" si="34"/>
        <v>-6.762095765166265</v>
      </c>
      <c r="E598" s="3">
        <v>57.95</v>
      </c>
      <c r="F598" s="3">
        <v>20</v>
      </c>
      <c r="G598" s="3">
        <v>127.59488314642692</v>
      </c>
      <c r="H598" s="4">
        <f t="shared" si="37"/>
        <v>-0.96221655224113078</v>
      </c>
      <c r="I598" s="4">
        <f t="shared" si="35"/>
        <v>-9.728800853573091</v>
      </c>
      <c r="J598" s="3">
        <v>57.95</v>
      </c>
      <c r="K598" s="3">
        <v>20</v>
      </c>
    </row>
    <row r="599" spans="1:11" x14ac:dyDescent="0.35">
      <c r="A599" s="2">
        <v>41960</v>
      </c>
      <c r="B599" s="3">
        <v>122.50137777603679</v>
      </c>
      <c r="C599" s="4">
        <f t="shared" si="36"/>
        <v>-0.4415524587969486</v>
      </c>
      <c r="D599" s="4">
        <f t="shared" si="34"/>
        <v>-7.3866202239631917</v>
      </c>
      <c r="E599" s="3">
        <v>57.95</v>
      </c>
      <c r="F599" s="3">
        <v>20</v>
      </c>
      <c r="G599" s="3">
        <v>127.30886460251439</v>
      </c>
      <c r="H599" s="4">
        <f t="shared" si="37"/>
        <v>-0.28601854391253312</v>
      </c>
      <c r="I599" s="4">
        <f t="shared" si="35"/>
        <v>-10.162557397485628</v>
      </c>
      <c r="J599" s="3">
        <v>57.95</v>
      </c>
      <c r="K599" s="3">
        <v>20</v>
      </c>
    </row>
    <row r="600" spans="1:11" x14ac:dyDescent="0.35">
      <c r="A600" s="2">
        <v>41967</v>
      </c>
      <c r="B600" s="3">
        <v>122.29458215198052</v>
      </c>
      <c r="C600" s="4">
        <f t="shared" si="36"/>
        <v>-0.20679562405626939</v>
      </c>
      <c r="D600" s="4">
        <f t="shared" si="34"/>
        <v>-7.7388218480194695</v>
      </c>
      <c r="E600" s="3">
        <v>57.95</v>
      </c>
      <c r="F600" s="3">
        <v>20</v>
      </c>
      <c r="G600" s="3">
        <v>127.16689626675107</v>
      </c>
      <c r="H600" s="4">
        <f t="shared" si="37"/>
        <v>-0.14196833576332324</v>
      </c>
      <c r="I600" s="4">
        <f t="shared" si="35"/>
        <v>-10.554246733248945</v>
      </c>
      <c r="J600" s="3">
        <v>57.95</v>
      </c>
      <c r="K600" s="3">
        <v>20</v>
      </c>
    </row>
    <row r="601" spans="1:11" x14ac:dyDescent="0.35">
      <c r="A601" s="2">
        <v>41974</v>
      </c>
      <c r="B601" s="3">
        <v>121.17819332596842</v>
      </c>
      <c r="C601" s="4">
        <f t="shared" si="36"/>
        <v>-1.1163888260120984</v>
      </c>
      <c r="D601" s="4">
        <f t="shared" si="34"/>
        <v>-9.0758046740315734</v>
      </c>
      <c r="E601" s="3">
        <v>57.95</v>
      </c>
      <c r="F601" s="3">
        <v>20</v>
      </c>
      <c r="G601" s="3">
        <v>126.11136628651238</v>
      </c>
      <c r="H601" s="4">
        <f t="shared" si="37"/>
        <v>-1.0555299802386884</v>
      </c>
      <c r="I601" s="4">
        <f t="shared" si="35"/>
        <v>-11.786693713487608</v>
      </c>
      <c r="J601" s="3">
        <v>57.95</v>
      </c>
      <c r="K601" s="3">
        <v>20</v>
      </c>
    </row>
    <row r="602" spans="1:11" x14ac:dyDescent="0.35">
      <c r="A602" s="2">
        <v>41981</v>
      </c>
      <c r="B602" s="3">
        <v>119.83314859532217</v>
      </c>
      <c r="C602" s="4">
        <f t="shared" si="36"/>
        <v>-1.3450447306462507</v>
      </c>
      <c r="D602" s="4">
        <f t="shared" si="34"/>
        <v>-10.931222404677811</v>
      </c>
      <c r="E602" s="3">
        <v>57.95</v>
      </c>
      <c r="F602" s="3">
        <v>20</v>
      </c>
      <c r="G602" s="3">
        <v>124.78581491139718</v>
      </c>
      <c r="H602" s="4">
        <f t="shared" si="37"/>
        <v>-1.3255513751151966</v>
      </c>
      <c r="I602" s="4">
        <f t="shared" si="35"/>
        <v>-13.767626088602839</v>
      </c>
      <c r="J602" s="3">
        <v>57.95</v>
      </c>
      <c r="K602" s="3">
        <v>20</v>
      </c>
    </row>
    <row r="603" spans="1:11" x14ac:dyDescent="0.35">
      <c r="A603" s="2">
        <v>41988</v>
      </c>
      <c r="B603" s="3">
        <v>116.30130202079251</v>
      </c>
      <c r="C603" s="4">
        <f t="shared" si="36"/>
        <v>-3.5318465745296663</v>
      </c>
      <c r="D603" s="4">
        <f t="shared" si="34"/>
        <v>-14.659439979207477</v>
      </c>
      <c r="E603" s="3">
        <v>57.95</v>
      </c>
      <c r="F603" s="3">
        <v>20</v>
      </c>
      <c r="G603" s="3">
        <v>122.43040990582345</v>
      </c>
      <c r="H603" s="4">
        <f t="shared" si="37"/>
        <v>-2.3554050055737292</v>
      </c>
      <c r="I603" s="4">
        <f t="shared" si="35"/>
        <v>-16.411228094176536</v>
      </c>
      <c r="J603" s="3">
        <v>57.95</v>
      </c>
      <c r="K603" s="3">
        <v>20</v>
      </c>
    </row>
    <row r="604" spans="1:11" x14ac:dyDescent="0.35">
      <c r="A604" s="2">
        <v>41995</v>
      </c>
      <c r="B604" s="3">
        <v>113.66277198261409</v>
      </c>
      <c r="C604" s="4">
        <f t="shared" si="36"/>
        <v>-2.6385300381784162</v>
      </c>
      <c r="D604" s="4">
        <f t="shared" si="34"/>
        <v>-16.38910901738592</v>
      </c>
      <c r="E604" s="3">
        <v>57.95</v>
      </c>
      <c r="F604" s="3">
        <v>20</v>
      </c>
      <c r="G604" s="3">
        <v>120.81395354935341</v>
      </c>
      <c r="H604" s="4">
        <f t="shared" si="37"/>
        <v>-1.6164563564700387</v>
      </c>
      <c r="I604" s="4">
        <f t="shared" si="35"/>
        <v>-17.355916450646589</v>
      </c>
      <c r="J604" s="3">
        <v>57.95</v>
      </c>
      <c r="K604" s="3">
        <v>20</v>
      </c>
    </row>
    <row r="605" spans="1:11" x14ac:dyDescent="0.35">
      <c r="A605" s="2">
        <v>42002</v>
      </c>
      <c r="B605" s="3">
        <v>113.16029904817108</v>
      </c>
      <c r="C605" s="4">
        <f t="shared" si="36"/>
        <v>-0.50247293444300567</v>
      </c>
      <c r="D605" s="4">
        <f t="shared" si="34"/>
        <v>-16.873645951828905</v>
      </c>
      <c r="E605" s="3">
        <v>57.95</v>
      </c>
      <c r="F605" s="3">
        <v>20</v>
      </c>
      <c r="G605" s="3">
        <v>120.36327337434955</v>
      </c>
      <c r="H605" s="4">
        <f t="shared" si="37"/>
        <v>-0.45068017500386759</v>
      </c>
      <c r="I605" s="4">
        <f t="shared" si="35"/>
        <v>-17.616274625650476</v>
      </c>
      <c r="J605" s="3">
        <v>57.95</v>
      </c>
      <c r="K605" s="3">
        <v>20</v>
      </c>
    </row>
    <row r="606" spans="1:11" x14ac:dyDescent="0.35">
      <c r="A606" s="2">
        <v>42009</v>
      </c>
      <c r="B606" s="3">
        <v>111.06263896516052</v>
      </c>
      <c r="C606" s="4">
        <f t="shared" si="36"/>
        <v>-2.0976600830105667</v>
      </c>
      <c r="D606" s="4">
        <f t="shared" si="34"/>
        <v>-19.193553034839482</v>
      </c>
      <c r="E606" s="3">
        <v>57.95</v>
      </c>
      <c r="F606" s="3">
        <v>20</v>
      </c>
      <c r="G606" s="3">
        <v>117.93335943095734</v>
      </c>
      <c r="H606" s="4">
        <f t="shared" si="37"/>
        <v>-2.4299139433922079</v>
      </c>
      <c r="I606" s="4">
        <f t="shared" si="35"/>
        <v>-20.180944569042666</v>
      </c>
      <c r="J606" s="3">
        <v>57.95</v>
      </c>
      <c r="K606" s="3">
        <v>20</v>
      </c>
    </row>
    <row r="607" spans="1:11" x14ac:dyDescent="0.35">
      <c r="A607" s="2">
        <v>42016</v>
      </c>
      <c r="B607" s="3">
        <v>108.86588767255694</v>
      </c>
      <c r="C607" s="4">
        <f t="shared" si="36"/>
        <v>-2.1967512926035795</v>
      </c>
      <c r="D607" s="4">
        <f t="shared" si="34"/>
        <v>-21.490461327443057</v>
      </c>
      <c r="E607" s="3">
        <v>57.95</v>
      </c>
      <c r="F607" s="3">
        <v>20</v>
      </c>
      <c r="G607" s="3">
        <v>116.22067961428183</v>
      </c>
      <c r="H607" s="4">
        <f t="shared" si="37"/>
        <v>-1.7126798166755037</v>
      </c>
      <c r="I607" s="4">
        <f t="shared" si="35"/>
        <v>-22.11886938571817</v>
      </c>
      <c r="J607" s="3">
        <v>57.95</v>
      </c>
      <c r="K607" s="3">
        <v>20</v>
      </c>
    </row>
    <row r="608" spans="1:11" x14ac:dyDescent="0.35">
      <c r="A608" s="2">
        <v>42023</v>
      </c>
      <c r="B608" s="3">
        <v>106.82572363792367</v>
      </c>
      <c r="C608" s="4">
        <f t="shared" si="36"/>
        <v>-2.0401640346332641</v>
      </c>
      <c r="D608" s="4">
        <f t="shared" si="34"/>
        <v>-22.541447362076312</v>
      </c>
      <c r="E608" s="3">
        <v>57.95</v>
      </c>
      <c r="F608" s="3">
        <v>20</v>
      </c>
      <c r="G608" s="3">
        <v>114.32765419282902</v>
      </c>
      <c r="H608" s="4">
        <f t="shared" si="37"/>
        <v>-1.893025421452819</v>
      </c>
      <c r="I608" s="4">
        <f t="shared" si="35"/>
        <v>-22.903811807170996</v>
      </c>
      <c r="J608" s="3">
        <v>57.95</v>
      </c>
      <c r="K608" s="3">
        <v>20</v>
      </c>
    </row>
    <row r="609" spans="1:11" x14ac:dyDescent="0.35">
      <c r="A609" s="2">
        <v>42030</v>
      </c>
      <c r="B609" s="3">
        <v>106.31989007720998</v>
      </c>
      <c r="C609" s="4">
        <f t="shared" si="36"/>
        <v>-0.50583356071369678</v>
      </c>
      <c r="D609" s="4">
        <f t="shared" si="34"/>
        <v>-22.700953922790006</v>
      </c>
      <c r="E609" s="3">
        <v>57.95</v>
      </c>
      <c r="F609" s="3">
        <v>20</v>
      </c>
      <c r="G609" s="3">
        <v>113.76040358721184</v>
      </c>
      <c r="H609" s="4">
        <f t="shared" si="37"/>
        <v>-0.56725060561717555</v>
      </c>
      <c r="I609" s="4">
        <f t="shared" si="35"/>
        <v>-23.178076412788158</v>
      </c>
      <c r="J609" s="3">
        <v>57.95</v>
      </c>
      <c r="K609" s="3">
        <v>20</v>
      </c>
    </row>
    <row r="610" spans="1:11" x14ac:dyDescent="0.35">
      <c r="A610" s="2">
        <v>42037</v>
      </c>
      <c r="B610" s="3">
        <v>106.04228537981643</v>
      </c>
      <c r="C610" s="4">
        <f t="shared" si="36"/>
        <v>-0.27760469739354221</v>
      </c>
      <c r="D610" s="4">
        <f t="shared" si="34"/>
        <v>-22.811878620183563</v>
      </c>
      <c r="E610" s="3">
        <v>57.95</v>
      </c>
      <c r="F610" s="3">
        <v>20</v>
      </c>
      <c r="G610" s="3">
        <v>113.6131025055633</v>
      </c>
      <c r="H610" s="4">
        <f t="shared" si="37"/>
        <v>-0.14730108164853561</v>
      </c>
      <c r="I610" s="4">
        <f t="shared" si="35"/>
        <v>-23.2305894944367</v>
      </c>
      <c r="J610" s="3">
        <v>57.95</v>
      </c>
      <c r="K610" s="3">
        <v>20</v>
      </c>
    </row>
    <row r="611" spans="1:11" x14ac:dyDescent="0.35">
      <c r="A611" s="2">
        <v>42044</v>
      </c>
      <c r="B611" s="3">
        <v>106.35479458348546</v>
      </c>
      <c r="C611" s="4">
        <f t="shared" si="36"/>
        <v>0.31250920366902335</v>
      </c>
      <c r="D611" s="4">
        <f t="shared" si="34"/>
        <v>-22.458233416514545</v>
      </c>
      <c r="E611" s="3">
        <v>57.95</v>
      </c>
      <c r="F611" s="3">
        <v>20</v>
      </c>
      <c r="G611" s="3">
        <v>113.90980522702691</v>
      </c>
      <c r="H611" s="4">
        <f t="shared" si="37"/>
        <v>0.29670272146360332</v>
      </c>
      <c r="I611" s="4">
        <f t="shared" si="35"/>
        <v>-22.935174772973085</v>
      </c>
      <c r="J611" s="3">
        <v>57.95</v>
      </c>
      <c r="K611" s="3">
        <v>20</v>
      </c>
    </row>
    <row r="612" spans="1:11" x14ac:dyDescent="0.35">
      <c r="A612" s="2">
        <v>42051</v>
      </c>
      <c r="B612" s="3">
        <v>107.26008264293782</v>
      </c>
      <c r="C612" s="4">
        <f t="shared" si="36"/>
        <v>0.90528805945236002</v>
      </c>
      <c r="D612" s="4">
        <f t="shared" si="34"/>
        <v>-21.896000357062178</v>
      </c>
      <c r="E612" s="3">
        <v>57.95</v>
      </c>
      <c r="F612" s="3">
        <v>20</v>
      </c>
      <c r="G612" s="3">
        <v>114.72561351904383</v>
      </c>
      <c r="H612" s="4">
        <f t="shared" si="37"/>
        <v>0.81580829201692495</v>
      </c>
      <c r="I612" s="4">
        <f t="shared" si="35"/>
        <v>-22.080339480956184</v>
      </c>
      <c r="J612" s="3">
        <v>57.95</v>
      </c>
      <c r="K612" s="3">
        <v>20</v>
      </c>
    </row>
    <row r="613" spans="1:11" x14ac:dyDescent="0.35">
      <c r="A613" s="2">
        <v>42058</v>
      </c>
      <c r="B613" s="3">
        <v>108.34400623996967</v>
      </c>
      <c r="C613" s="4">
        <f t="shared" si="36"/>
        <v>1.0839235970318555</v>
      </c>
      <c r="D613" s="4">
        <f t="shared" si="34"/>
        <v>-20.857898760030338</v>
      </c>
      <c r="E613" s="3">
        <v>57.95</v>
      </c>
      <c r="F613" s="3">
        <v>20</v>
      </c>
      <c r="G613" s="3">
        <v>115.73850957400292</v>
      </c>
      <c r="H613" s="4">
        <f t="shared" si="37"/>
        <v>1.0128960549590857</v>
      </c>
      <c r="I613" s="4">
        <f t="shared" si="35"/>
        <v>-21.211288425997068</v>
      </c>
      <c r="J613" s="3">
        <v>57.95</v>
      </c>
      <c r="K613" s="3">
        <v>20</v>
      </c>
    </row>
    <row r="614" spans="1:11" x14ac:dyDescent="0.35">
      <c r="A614" s="2">
        <v>42065</v>
      </c>
      <c r="B614" s="3">
        <v>109.19915790626507</v>
      </c>
      <c r="C614" s="4">
        <f t="shared" si="36"/>
        <v>0.85515166629539863</v>
      </c>
      <c r="D614" s="4">
        <f t="shared" si="34"/>
        <v>-20.159038093734921</v>
      </c>
      <c r="E614" s="3">
        <v>57.95</v>
      </c>
      <c r="F614" s="3">
        <v>20</v>
      </c>
      <c r="G614" s="3">
        <v>116.6354767356095</v>
      </c>
      <c r="H614" s="4">
        <f t="shared" si="37"/>
        <v>0.89696716160658241</v>
      </c>
      <c r="I614" s="4">
        <f t="shared" si="35"/>
        <v>-20.515012264390492</v>
      </c>
      <c r="J614" s="3">
        <v>57.95</v>
      </c>
      <c r="K614" s="3">
        <v>20</v>
      </c>
    </row>
    <row r="615" spans="1:11" x14ac:dyDescent="0.35">
      <c r="A615" s="2">
        <v>42072</v>
      </c>
      <c r="B615" s="3">
        <v>110.07092717790935</v>
      </c>
      <c r="C615" s="4">
        <f t="shared" si="36"/>
        <v>0.87176927164428264</v>
      </c>
      <c r="D615" s="4">
        <f t="shared" si="34"/>
        <v>-19.314464822090642</v>
      </c>
      <c r="E615" s="3">
        <v>57.95</v>
      </c>
      <c r="F615" s="3">
        <v>20</v>
      </c>
      <c r="G615" s="3">
        <v>117.51039038501291</v>
      </c>
      <c r="H615" s="4">
        <f t="shared" si="37"/>
        <v>0.87491364940341043</v>
      </c>
      <c r="I615" s="4">
        <f t="shared" si="35"/>
        <v>-19.567696614987099</v>
      </c>
      <c r="J615" s="3">
        <v>57.95</v>
      </c>
      <c r="K615" s="3">
        <v>20</v>
      </c>
    </row>
    <row r="616" spans="1:11" x14ac:dyDescent="0.35">
      <c r="A616" s="2">
        <v>42079</v>
      </c>
      <c r="B616" s="3">
        <v>111.03681412344369</v>
      </c>
      <c r="C616" s="4">
        <f t="shared" si="36"/>
        <v>0.96588694553433641</v>
      </c>
      <c r="D616" s="4">
        <f t="shared" si="34"/>
        <v>-17.720370876556302</v>
      </c>
      <c r="E616" s="3">
        <v>57.95</v>
      </c>
      <c r="F616" s="3">
        <v>20</v>
      </c>
      <c r="G616" s="3">
        <v>118.26367215065976</v>
      </c>
      <c r="H616" s="4">
        <f t="shared" si="37"/>
        <v>0.75328176564684668</v>
      </c>
      <c r="I616" s="4">
        <f t="shared" si="35"/>
        <v>-18.003591849340253</v>
      </c>
      <c r="J616" s="3">
        <v>57.95</v>
      </c>
      <c r="K616" s="3">
        <v>20</v>
      </c>
    </row>
    <row r="617" spans="1:11" x14ac:dyDescent="0.35">
      <c r="A617" s="2">
        <v>42086</v>
      </c>
      <c r="B617" s="3">
        <v>111.6473828102704</v>
      </c>
      <c r="C617" s="4">
        <f t="shared" si="36"/>
        <v>0.61056868682670995</v>
      </c>
      <c r="D617" s="4">
        <f t="shared" si="34"/>
        <v>-16.923799189729593</v>
      </c>
      <c r="E617" s="3">
        <v>57.95</v>
      </c>
      <c r="F617" s="3">
        <v>20</v>
      </c>
      <c r="G617" s="3">
        <v>118.71027965878702</v>
      </c>
      <c r="H617" s="4">
        <f t="shared" si="37"/>
        <v>0.4466075081272578</v>
      </c>
      <c r="I617" s="4">
        <f t="shared" si="35"/>
        <v>-17.287524341213015</v>
      </c>
      <c r="J617" s="3">
        <v>57.95</v>
      </c>
      <c r="K617" s="3">
        <v>20</v>
      </c>
    </row>
    <row r="618" spans="1:11" x14ac:dyDescent="0.35">
      <c r="A618" s="2">
        <v>42093</v>
      </c>
      <c r="B618" s="3">
        <v>112.06053744198424</v>
      </c>
      <c r="C618" s="4">
        <f t="shared" si="36"/>
        <v>0.41315463171383726</v>
      </c>
      <c r="D618" s="4">
        <f t="shared" si="34"/>
        <v>-16.700772558015743</v>
      </c>
      <c r="E618" s="3">
        <v>57.95</v>
      </c>
      <c r="F618" s="3">
        <v>20</v>
      </c>
      <c r="G618" s="3">
        <v>118.97182870497286</v>
      </c>
      <c r="H618" s="4">
        <f t="shared" si="37"/>
        <v>0.26154904618584851</v>
      </c>
      <c r="I618" s="4">
        <f t="shared" si="35"/>
        <v>-16.914688295027133</v>
      </c>
      <c r="J618" s="3">
        <v>57.95</v>
      </c>
      <c r="K618" s="3">
        <v>20</v>
      </c>
    </row>
    <row r="619" spans="1:11" x14ac:dyDescent="0.35">
      <c r="A619" s="2">
        <v>42100</v>
      </c>
      <c r="B619" s="3">
        <v>112.37431970848152</v>
      </c>
      <c r="C619" s="4">
        <f t="shared" si="36"/>
        <v>0.31378226649728447</v>
      </c>
      <c r="D619" s="4">
        <f t="shared" si="34"/>
        <v>-16.33852329151847</v>
      </c>
      <c r="E619" s="3">
        <v>57.95</v>
      </c>
      <c r="F619" s="3">
        <v>20</v>
      </c>
      <c r="G619" s="3">
        <v>119.08711266078592</v>
      </c>
      <c r="H619" s="4">
        <f t="shared" si="37"/>
        <v>0.11528395581305517</v>
      </c>
      <c r="I619" s="4">
        <f t="shared" si="35"/>
        <v>-16.921873339214073</v>
      </c>
      <c r="J619" s="3">
        <v>57.95</v>
      </c>
      <c r="K619" s="3">
        <v>20</v>
      </c>
    </row>
    <row r="620" spans="1:11" x14ac:dyDescent="0.35">
      <c r="A620" s="2">
        <v>42107</v>
      </c>
      <c r="B620" s="3">
        <v>112.52205799606996</v>
      </c>
      <c r="C620" s="4">
        <f t="shared" si="36"/>
        <v>0.14773828758843877</v>
      </c>
      <c r="D620" s="4">
        <f t="shared" si="34"/>
        <v>-16.368810003930051</v>
      </c>
      <c r="E620" s="3">
        <v>57.95</v>
      </c>
      <c r="F620" s="3">
        <v>20</v>
      </c>
      <c r="G620" s="3">
        <v>119.14610841678709</v>
      </c>
      <c r="H620" s="4">
        <f t="shared" si="37"/>
        <v>5.899575600116691E-2</v>
      </c>
      <c r="I620" s="4">
        <f t="shared" si="35"/>
        <v>-16.907421583212937</v>
      </c>
      <c r="J620" s="3">
        <v>57.95</v>
      </c>
      <c r="K620" s="3">
        <v>20</v>
      </c>
    </row>
    <row r="621" spans="1:11" x14ac:dyDescent="0.35">
      <c r="A621" s="2">
        <v>42114</v>
      </c>
      <c r="B621" s="3">
        <v>112.87172797910024</v>
      </c>
      <c r="C621" s="4">
        <f t="shared" si="36"/>
        <v>0.34966998303028163</v>
      </c>
      <c r="D621" s="4">
        <f t="shared" si="34"/>
        <v>-16.240672020899765</v>
      </c>
      <c r="E621" s="3">
        <v>57.95</v>
      </c>
      <c r="F621" s="3">
        <v>20</v>
      </c>
      <c r="G621" s="3">
        <v>119.13872069858513</v>
      </c>
      <c r="H621" s="4">
        <f t="shared" si="37"/>
        <v>-7.3877182019543852E-3</v>
      </c>
      <c r="I621" s="4">
        <f t="shared" si="35"/>
        <v>-16.976550301414875</v>
      </c>
      <c r="J621" s="3">
        <v>57.95</v>
      </c>
      <c r="K621" s="3">
        <v>20</v>
      </c>
    </row>
    <row r="622" spans="1:11" x14ac:dyDescent="0.35">
      <c r="A622" s="2">
        <v>42121</v>
      </c>
      <c r="B622" s="3">
        <v>113.55083442185972</v>
      </c>
      <c r="C622" s="4">
        <f t="shared" si="36"/>
        <v>0.67910644275947618</v>
      </c>
      <c r="D622" s="4">
        <f t="shared" si="34"/>
        <v>-15.543586578140264</v>
      </c>
      <c r="E622" s="3">
        <v>57.95</v>
      </c>
      <c r="F622" s="3">
        <v>20</v>
      </c>
      <c r="G622" s="3">
        <v>119.57730631659689</v>
      </c>
      <c r="H622" s="4">
        <f t="shared" si="37"/>
        <v>0.43858561801175711</v>
      </c>
      <c r="I622" s="4">
        <f t="shared" si="35"/>
        <v>-16.353087683403118</v>
      </c>
      <c r="J622" s="3">
        <v>57.95</v>
      </c>
      <c r="K622" s="3">
        <v>20</v>
      </c>
    </row>
    <row r="623" spans="1:11" x14ac:dyDescent="0.35">
      <c r="A623" s="2">
        <v>42128</v>
      </c>
      <c r="B623" s="3">
        <v>114.27048613743514</v>
      </c>
      <c r="C623" s="4">
        <f t="shared" si="36"/>
        <v>0.71965171557542362</v>
      </c>
      <c r="D623" s="4">
        <f t="shared" si="34"/>
        <v>-14.995645862564828</v>
      </c>
      <c r="E623" s="3">
        <v>57.95</v>
      </c>
      <c r="F623" s="3">
        <v>20</v>
      </c>
      <c r="G623" s="3">
        <v>119.99644286750025</v>
      </c>
      <c r="H623" s="4">
        <f t="shared" si="37"/>
        <v>0.41913655090336022</v>
      </c>
      <c r="I623" s="4">
        <f t="shared" si="35"/>
        <v>-16.164442132499758</v>
      </c>
      <c r="J623" s="3">
        <v>57.95</v>
      </c>
      <c r="K623" s="3">
        <v>20</v>
      </c>
    </row>
    <row r="624" spans="1:11" x14ac:dyDescent="0.35">
      <c r="A624" s="2">
        <v>42135</v>
      </c>
      <c r="B624" s="3">
        <v>115.09808401144393</v>
      </c>
      <c r="C624" s="4">
        <f t="shared" si="36"/>
        <v>0.82759787400878793</v>
      </c>
      <c r="D624" s="4">
        <f t="shared" si="34"/>
        <v>-14.399624988556056</v>
      </c>
      <c r="E624" s="3">
        <v>57.95</v>
      </c>
      <c r="F624" s="3">
        <v>20</v>
      </c>
      <c r="G624" s="3">
        <v>120.59334734839467</v>
      </c>
      <c r="H624" s="4">
        <f t="shared" si="37"/>
        <v>0.59690448089442327</v>
      </c>
      <c r="I624" s="4">
        <f t="shared" si="35"/>
        <v>-15.775038651605342</v>
      </c>
      <c r="J624" s="3">
        <v>57.95</v>
      </c>
      <c r="K624" s="3">
        <v>20</v>
      </c>
    </row>
    <row r="625" spans="1:11" x14ac:dyDescent="0.35">
      <c r="A625" s="2">
        <v>42142</v>
      </c>
      <c r="B625" s="3">
        <v>115.73924360687818</v>
      </c>
      <c r="C625" s="4">
        <f t="shared" si="36"/>
        <v>0.64115959543424594</v>
      </c>
      <c r="D625" s="4">
        <f t="shared" si="34"/>
        <v>-13.67913539312184</v>
      </c>
      <c r="E625" s="3">
        <v>57.95</v>
      </c>
      <c r="F625" s="3">
        <v>20</v>
      </c>
      <c r="G625" s="3">
        <v>121.03637913317567</v>
      </c>
      <c r="H625" s="4">
        <f t="shared" si="37"/>
        <v>0.44303178478099881</v>
      </c>
      <c r="I625" s="4">
        <f t="shared" si="35"/>
        <v>-15.129499866824347</v>
      </c>
      <c r="J625" s="3">
        <v>57.95</v>
      </c>
      <c r="K625" s="3">
        <v>20</v>
      </c>
    </row>
    <row r="626" spans="1:11" x14ac:dyDescent="0.35">
      <c r="A626" s="2">
        <v>42149</v>
      </c>
      <c r="B626" s="3">
        <v>116.02439211158249</v>
      </c>
      <c r="C626" s="4">
        <f t="shared" si="36"/>
        <v>0.28514850470430986</v>
      </c>
      <c r="D626" s="4">
        <f t="shared" si="34"/>
        <v>-13.486443888417526</v>
      </c>
      <c r="E626" s="3">
        <v>57.95</v>
      </c>
      <c r="F626" s="3">
        <v>20</v>
      </c>
      <c r="G626" s="3">
        <v>121.31895591605726</v>
      </c>
      <c r="H626" s="4">
        <f t="shared" si="37"/>
        <v>0.28257678288159127</v>
      </c>
      <c r="I626" s="4">
        <f t="shared" si="35"/>
        <v>-15.038727083942746</v>
      </c>
      <c r="J626" s="3">
        <v>57.95</v>
      </c>
      <c r="K626" s="3">
        <v>20</v>
      </c>
    </row>
    <row r="627" spans="1:11" x14ac:dyDescent="0.35">
      <c r="A627" s="2">
        <v>42156</v>
      </c>
      <c r="B627" s="3">
        <v>116.13139585692821</v>
      </c>
      <c r="C627" s="4">
        <f t="shared" si="36"/>
        <v>0.10700374534572177</v>
      </c>
      <c r="D627" s="4">
        <f t="shared" si="34"/>
        <v>-13.500414143071765</v>
      </c>
      <c r="E627" s="3">
        <v>57.95</v>
      </c>
      <c r="F627" s="3">
        <v>20</v>
      </c>
      <c r="G627" s="3">
        <v>121.30045011742648</v>
      </c>
      <c r="H627" s="4">
        <f t="shared" si="37"/>
        <v>-1.8505798630783943E-2</v>
      </c>
      <c r="I627" s="4">
        <f t="shared" si="35"/>
        <v>-15.075279882573525</v>
      </c>
      <c r="J627" s="3">
        <v>57.95</v>
      </c>
      <c r="K627" s="3">
        <v>20</v>
      </c>
    </row>
    <row r="628" spans="1:11" x14ac:dyDescent="0.35">
      <c r="A628" s="2">
        <v>42163</v>
      </c>
      <c r="B628" s="3">
        <v>116.25539498811986</v>
      </c>
      <c r="C628" s="4">
        <f t="shared" si="36"/>
        <v>0.12399913119165262</v>
      </c>
      <c r="D628" s="4">
        <f t="shared" si="34"/>
        <v>-13.437269011880119</v>
      </c>
      <c r="E628" s="3">
        <v>57.95</v>
      </c>
      <c r="F628" s="3">
        <v>20</v>
      </c>
      <c r="G628" s="3">
        <v>121.33792309333279</v>
      </c>
      <c r="H628" s="4">
        <f t="shared" si="37"/>
        <v>3.747297590631149E-2</v>
      </c>
      <c r="I628" s="4">
        <f t="shared" si="35"/>
        <v>-14.702600906667215</v>
      </c>
      <c r="J628" s="3">
        <v>57.95</v>
      </c>
      <c r="K628" s="3">
        <v>20</v>
      </c>
    </row>
    <row r="629" spans="1:11" x14ac:dyDescent="0.35">
      <c r="A629" s="2">
        <v>42170</v>
      </c>
      <c r="B629" s="3">
        <v>116.38640209039085</v>
      </c>
      <c r="C629" s="4">
        <f t="shared" si="36"/>
        <v>0.13100710227098489</v>
      </c>
      <c r="D629" s="4">
        <f t="shared" si="34"/>
        <v>-13.493741909609156</v>
      </c>
      <c r="E629" s="3">
        <v>57.95</v>
      </c>
      <c r="F629" s="3">
        <v>20</v>
      </c>
      <c r="G629" s="3">
        <v>121.30046621305074</v>
      </c>
      <c r="H629" s="4">
        <f t="shared" si="37"/>
        <v>-3.745688028205052E-2</v>
      </c>
      <c r="I629" s="4">
        <f t="shared" si="35"/>
        <v>-14.241335786949278</v>
      </c>
      <c r="J629" s="3">
        <v>57.95</v>
      </c>
      <c r="K629" s="3">
        <v>20</v>
      </c>
    </row>
    <row r="630" spans="1:11" x14ac:dyDescent="0.35">
      <c r="A630" s="2">
        <v>42177</v>
      </c>
      <c r="B630" s="3">
        <v>116.59589142616274</v>
      </c>
      <c r="C630" s="4">
        <f t="shared" si="36"/>
        <v>0.20948933577189166</v>
      </c>
      <c r="D630" s="4">
        <f t="shared" si="34"/>
        <v>-13.546264573837263</v>
      </c>
      <c r="E630" s="3">
        <v>57.95</v>
      </c>
      <c r="F630" s="3">
        <v>20</v>
      </c>
      <c r="G630" s="3">
        <v>121.20601117770603</v>
      </c>
      <c r="H630" s="4">
        <f t="shared" si="37"/>
        <v>-9.4455035344708449E-2</v>
      </c>
      <c r="I630" s="4">
        <f t="shared" si="35"/>
        <v>-14.294845822293965</v>
      </c>
      <c r="J630" s="3">
        <v>57.95</v>
      </c>
      <c r="K630" s="3">
        <v>20</v>
      </c>
    </row>
    <row r="631" spans="1:11" x14ac:dyDescent="0.35">
      <c r="A631" s="2">
        <v>42184</v>
      </c>
      <c r="B631" s="3">
        <v>116.55014221623694</v>
      </c>
      <c r="C631" s="4">
        <f t="shared" si="36"/>
        <v>-4.5749209925801892E-2</v>
      </c>
      <c r="D631" s="4">
        <f t="shared" ref="D631:D694" si="38">B631-B579</f>
        <v>-14.136907783763064</v>
      </c>
      <c r="E631" s="3">
        <v>57.95</v>
      </c>
      <c r="F631" s="3">
        <v>20</v>
      </c>
      <c r="G631" s="3">
        <v>120.99038837570538</v>
      </c>
      <c r="H631" s="4">
        <f t="shared" si="37"/>
        <v>-0.21562280200065231</v>
      </c>
      <c r="I631" s="4">
        <f t="shared" ref="I631:I694" si="39">G631-G579</f>
        <v>-15.047195624294631</v>
      </c>
      <c r="J631" s="3">
        <v>57.95</v>
      </c>
      <c r="K631" s="3">
        <v>20</v>
      </c>
    </row>
    <row r="632" spans="1:11" x14ac:dyDescent="0.35">
      <c r="A632" s="2">
        <v>42191</v>
      </c>
      <c r="B632" s="3">
        <v>116.33630392500584</v>
      </c>
      <c r="C632" s="4">
        <f t="shared" si="36"/>
        <v>-0.21383829123109876</v>
      </c>
      <c r="D632" s="4">
        <f t="shared" si="38"/>
        <v>-14.763615074994163</v>
      </c>
      <c r="E632" s="3">
        <v>57.95</v>
      </c>
      <c r="F632" s="3">
        <v>20</v>
      </c>
      <c r="G632" s="3">
        <v>120.76364281723835</v>
      </c>
      <c r="H632" s="4">
        <f t="shared" si="37"/>
        <v>-0.22674555846703015</v>
      </c>
      <c r="I632" s="4">
        <f t="shared" si="39"/>
        <v>-15.454452182761656</v>
      </c>
      <c r="J632" s="3">
        <v>57.95</v>
      </c>
      <c r="K632" s="3">
        <v>20</v>
      </c>
    </row>
    <row r="633" spans="1:11" x14ac:dyDescent="0.35">
      <c r="A633" s="2">
        <v>42198</v>
      </c>
      <c r="B633" s="3">
        <v>116.40604037906674</v>
      </c>
      <c r="C633" s="4">
        <f t="shared" si="36"/>
        <v>6.9736454060901565E-2</v>
      </c>
      <c r="D633" s="4">
        <f t="shared" si="38"/>
        <v>-14.705456620933276</v>
      </c>
      <c r="E633" s="3">
        <v>57.95</v>
      </c>
      <c r="F633" s="3">
        <v>20</v>
      </c>
      <c r="G633" s="3">
        <v>118.8318056400137</v>
      </c>
      <c r="H633" s="4">
        <f t="shared" si="37"/>
        <v>-1.9318371772246508</v>
      </c>
      <c r="I633" s="4">
        <f t="shared" si="39"/>
        <v>-17.339096359986314</v>
      </c>
      <c r="J633" s="3">
        <v>57.95</v>
      </c>
      <c r="K633" s="3">
        <v>20</v>
      </c>
    </row>
    <row r="634" spans="1:11" x14ac:dyDescent="0.35">
      <c r="A634" s="2">
        <v>42205</v>
      </c>
      <c r="B634" s="3">
        <v>116.78612008860753</v>
      </c>
      <c r="C634" s="4">
        <f t="shared" si="36"/>
        <v>0.3800797095407944</v>
      </c>
      <c r="D634" s="4">
        <f t="shared" si="38"/>
        <v>-14.258600911392449</v>
      </c>
      <c r="E634" s="3">
        <v>57.95</v>
      </c>
      <c r="F634" s="3">
        <v>20</v>
      </c>
      <c r="G634" s="3">
        <v>118.4345219885877</v>
      </c>
      <c r="H634" s="4">
        <f t="shared" si="37"/>
        <v>-0.39728365142599387</v>
      </c>
      <c r="I634" s="4">
        <f t="shared" si="39"/>
        <v>-17.252770011412309</v>
      </c>
      <c r="J634" s="3">
        <v>57.95</v>
      </c>
      <c r="K634" s="3">
        <v>20</v>
      </c>
    </row>
    <row r="635" spans="1:11" x14ac:dyDescent="0.35">
      <c r="A635" s="2">
        <v>42212</v>
      </c>
      <c r="B635" s="3">
        <v>116.44193636427696</v>
      </c>
      <c r="C635" s="4">
        <f t="shared" si="36"/>
        <v>-0.34418372433057698</v>
      </c>
      <c r="D635" s="4">
        <f t="shared" si="38"/>
        <v>-14.38764263572304</v>
      </c>
      <c r="E635" s="3">
        <v>57.95</v>
      </c>
      <c r="F635" s="3">
        <v>20</v>
      </c>
      <c r="G635" s="3">
        <v>116.95480374041566</v>
      </c>
      <c r="H635" s="4">
        <f t="shared" si="37"/>
        <v>-1.4797182481720483</v>
      </c>
      <c r="I635" s="4">
        <f t="shared" si="39"/>
        <v>-18.549844259584347</v>
      </c>
      <c r="J635" s="3">
        <v>57.95</v>
      </c>
      <c r="K635" s="3">
        <v>20</v>
      </c>
    </row>
    <row r="636" spans="1:11" x14ac:dyDescent="0.35">
      <c r="A636" s="2">
        <v>42219</v>
      </c>
      <c r="B636" s="3">
        <v>116.11628672779446</v>
      </c>
      <c r="C636" s="4">
        <f t="shared" si="36"/>
        <v>-0.32564963648249545</v>
      </c>
      <c r="D636" s="4">
        <f t="shared" si="38"/>
        <v>-13.509814272205546</v>
      </c>
      <c r="E636" s="3">
        <v>57.95</v>
      </c>
      <c r="F636" s="3">
        <v>20</v>
      </c>
      <c r="G636" s="3">
        <v>115.17019781421585</v>
      </c>
      <c r="H636" s="4">
        <f t="shared" si="37"/>
        <v>-1.7846059261998022</v>
      </c>
      <c r="I636" s="4">
        <f t="shared" si="39"/>
        <v>-19.134944185784164</v>
      </c>
      <c r="J636" s="3">
        <v>57.95</v>
      </c>
      <c r="K636" s="3">
        <v>20</v>
      </c>
    </row>
    <row r="637" spans="1:11" x14ac:dyDescent="0.35">
      <c r="A637" s="2">
        <v>42226</v>
      </c>
      <c r="B637" s="3">
        <v>115.48135137748945</v>
      </c>
      <c r="C637" s="4">
        <f t="shared" si="36"/>
        <v>-0.63493535030501391</v>
      </c>
      <c r="D637" s="4">
        <f t="shared" si="38"/>
        <v>-13.933031622510541</v>
      </c>
      <c r="E637" s="3">
        <v>57.95</v>
      </c>
      <c r="F637" s="3">
        <v>20</v>
      </c>
      <c r="G637" s="3">
        <v>114.20046738781558</v>
      </c>
      <c r="H637" s="4">
        <f t="shared" si="37"/>
        <v>-0.96973042640027529</v>
      </c>
      <c r="I637" s="4">
        <f t="shared" si="39"/>
        <v>-19.650587612184424</v>
      </c>
      <c r="J637" s="3">
        <v>57.95</v>
      </c>
      <c r="K637" s="3">
        <v>20</v>
      </c>
    </row>
    <row r="638" spans="1:11" x14ac:dyDescent="0.35">
      <c r="A638" s="2">
        <v>42233</v>
      </c>
      <c r="B638" s="3">
        <v>114.58300298346417</v>
      </c>
      <c r="C638" s="4">
        <f t="shared" si="36"/>
        <v>-0.89834839402527678</v>
      </c>
      <c r="D638" s="4">
        <f t="shared" si="38"/>
        <v>-14.708965016535828</v>
      </c>
      <c r="E638" s="3">
        <v>57.95</v>
      </c>
      <c r="F638" s="3">
        <v>20</v>
      </c>
      <c r="G638" s="3">
        <v>112.04847115024806</v>
      </c>
      <c r="H638" s="4">
        <f t="shared" si="37"/>
        <v>-2.1519962375675163</v>
      </c>
      <c r="I638" s="4">
        <f t="shared" si="39"/>
        <v>-21.694461849751931</v>
      </c>
      <c r="J638" s="3">
        <v>57.95</v>
      </c>
      <c r="K638" s="3">
        <v>20</v>
      </c>
    </row>
    <row r="639" spans="1:11" x14ac:dyDescent="0.35">
      <c r="A639" s="2">
        <v>42240</v>
      </c>
      <c r="B639" s="3">
        <v>113.23383571729741</v>
      </c>
      <c r="C639" s="4">
        <f t="shared" si="36"/>
        <v>-1.3491672661667593</v>
      </c>
      <c r="D639" s="4">
        <f t="shared" si="38"/>
        <v>-15.108472361191588</v>
      </c>
      <c r="E639" s="3">
        <v>57.95</v>
      </c>
      <c r="F639" s="3">
        <v>20</v>
      </c>
      <c r="G639" s="3">
        <v>111.05011020893085</v>
      </c>
      <c r="H639" s="4">
        <f t="shared" si="37"/>
        <v>-0.99836094131721609</v>
      </c>
      <c r="I639" s="4">
        <f t="shared" si="39"/>
        <v>-22.111773482315556</v>
      </c>
      <c r="J639" s="3">
        <v>57.95</v>
      </c>
      <c r="K639" s="3">
        <v>20</v>
      </c>
    </row>
    <row r="640" spans="1:11" x14ac:dyDescent="0.35">
      <c r="A640" s="2">
        <v>42247</v>
      </c>
      <c r="B640" s="3">
        <v>111.20952886901058</v>
      </c>
      <c r="C640" s="4">
        <f t="shared" si="36"/>
        <v>-2.0243068482868267</v>
      </c>
      <c r="D640" s="4">
        <f t="shared" si="38"/>
        <v>-16.799887724273034</v>
      </c>
      <c r="E640" s="3">
        <v>57.95</v>
      </c>
      <c r="F640" s="3">
        <v>20</v>
      </c>
      <c r="G640" s="3">
        <v>109.91893825590486</v>
      </c>
      <c r="H640" s="4">
        <f t="shared" si="37"/>
        <v>-1.1311719530259836</v>
      </c>
      <c r="I640" s="4">
        <f t="shared" si="39"/>
        <v>-22.849204260939729</v>
      </c>
      <c r="J640" s="3">
        <v>57.95</v>
      </c>
      <c r="K640" s="3">
        <v>20</v>
      </c>
    </row>
    <row r="641" spans="1:11" x14ac:dyDescent="0.35">
      <c r="A641" s="2">
        <v>42254</v>
      </c>
      <c r="B641" s="3">
        <v>110.89572505518143</v>
      </c>
      <c r="C641" s="4">
        <f t="shared" si="36"/>
        <v>-0.31380381382915346</v>
      </c>
      <c r="D641" s="4">
        <f t="shared" si="38"/>
        <v>-17.447332270379292</v>
      </c>
      <c r="E641" s="3">
        <v>57.95</v>
      </c>
      <c r="F641" s="3">
        <v>20</v>
      </c>
      <c r="G641" s="3">
        <v>109.78204988293061</v>
      </c>
      <c r="H641" s="4">
        <f t="shared" si="37"/>
        <v>-0.13688837297425493</v>
      </c>
      <c r="I641" s="4">
        <f t="shared" si="39"/>
        <v>-23.308120859390499</v>
      </c>
      <c r="J641" s="3">
        <v>57.95</v>
      </c>
      <c r="K641" s="3">
        <v>20</v>
      </c>
    </row>
    <row r="642" spans="1:11" x14ac:dyDescent="0.35">
      <c r="A642" s="2">
        <v>42261</v>
      </c>
      <c r="B642" s="3">
        <v>110.60477062662142</v>
      </c>
      <c r="C642" s="4">
        <f t="shared" si="36"/>
        <v>-0.29095442856001341</v>
      </c>
      <c r="D642" s="4">
        <f t="shared" si="38"/>
        <v>-17.828586725543744</v>
      </c>
      <c r="E642" s="3">
        <v>57.95</v>
      </c>
      <c r="F642" s="3">
        <v>20</v>
      </c>
      <c r="G642" s="3">
        <v>109.94565812960917</v>
      </c>
      <c r="H642" s="4">
        <f t="shared" si="37"/>
        <v>0.16360824667856377</v>
      </c>
      <c r="I642" s="4">
        <f t="shared" si="39"/>
        <v>-23.18579592979691</v>
      </c>
      <c r="J642" s="3">
        <v>57.95</v>
      </c>
      <c r="K642" s="3">
        <v>20</v>
      </c>
    </row>
    <row r="643" spans="1:11" x14ac:dyDescent="0.35">
      <c r="A643" s="2">
        <v>42268</v>
      </c>
      <c r="B643" s="3">
        <v>110.60805922018037</v>
      </c>
      <c r="C643" s="4">
        <f t="shared" ref="C643:C706" si="40">B643-B642</f>
        <v>3.28859355894906E-3</v>
      </c>
      <c r="D643" s="4">
        <f t="shared" si="38"/>
        <v>-18.008891133575304</v>
      </c>
      <c r="E643" s="3">
        <v>57.95</v>
      </c>
      <c r="F643" s="3">
        <v>20</v>
      </c>
      <c r="G643" s="3">
        <v>110.52323544834023</v>
      </c>
      <c r="H643" s="4">
        <f t="shared" ref="H643:H706" si="41">G643-G642</f>
        <v>0.57757731873105911</v>
      </c>
      <c r="I643" s="4">
        <f t="shared" si="39"/>
        <v>-22.795673704622075</v>
      </c>
      <c r="J643" s="3">
        <v>57.95</v>
      </c>
      <c r="K643" s="3">
        <v>20</v>
      </c>
    </row>
    <row r="644" spans="1:11" x14ac:dyDescent="0.35">
      <c r="A644" s="2">
        <v>42275</v>
      </c>
      <c r="B644" s="3">
        <v>109.47372391903127</v>
      </c>
      <c r="C644" s="4">
        <f t="shared" si="40"/>
        <v>-1.1343353011490933</v>
      </c>
      <c r="D644" s="4">
        <f t="shared" si="38"/>
        <v>-19.119476142272987</v>
      </c>
      <c r="E644" s="3">
        <v>57.95</v>
      </c>
      <c r="F644" s="3">
        <v>20</v>
      </c>
      <c r="G644" s="3">
        <v>110.44547352581351</v>
      </c>
      <c r="H644" s="4">
        <f t="shared" si="41"/>
        <v>-7.7761922526718763E-2</v>
      </c>
      <c r="I644" s="4">
        <f t="shared" si="39"/>
        <v>-22.787647331090412</v>
      </c>
      <c r="J644" s="3">
        <v>57.95</v>
      </c>
      <c r="K644" s="3">
        <v>20</v>
      </c>
    </row>
    <row r="645" spans="1:11" x14ac:dyDescent="0.35">
      <c r="A645" s="2">
        <v>42282</v>
      </c>
      <c r="B645" s="3">
        <v>108.94197130353734</v>
      </c>
      <c r="C645" s="4">
        <f t="shared" si="40"/>
        <v>-0.53175261549392872</v>
      </c>
      <c r="D645" s="4">
        <f t="shared" si="38"/>
        <v>-17.842946464057462</v>
      </c>
      <c r="E645" s="3">
        <v>57.95</v>
      </c>
      <c r="F645" s="3">
        <v>20</v>
      </c>
      <c r="G645" s="3">
        <v>110.56755002871846</v>
      </c>
      <c r="H645" s="4">
        <f t="shared" si="41"/>
        <v>0.12207650290494598</v>
      </c>
      <c r="I645" s="4">
        <f t="shared" si="39"/>
        <v>-20.864281953798823</v>
      </c>
      <c r="J645" s="3">
        <v>57.95</v>
      </c>
      <c r="K645" s="3">
        <v>20</v>
      </c>
    </row>
    <row r="646" spans="1:11" x14ac:dyDescent="0.35">
      <c r="A646" s="2">
        <v>42289</v>
      </c>
      <c r="B646" s="3">
        <v>108.9681925453667</v>
      </c>
      <c r="C646" s="4">
        <f t="shared" si="40"/>
        <v>2.6221241829361475E-2</v>
      </c>
      <c r="D646" s="4">
        <f t="shared" si="38"/>
        <v>-17.531074571730869</v>
      </c>
      <c r="E646" s="3">
        <v>57.95</v>
      </c>
      <c r="F646" s="3">
        <v>20</v>
      </c>
      <c r="G646" s="3">
        <v>110.77926596111021</v>
      </c>
      <c r="H646" s="4">
        <f t="shared" si="41"/>
        <v>0.21171593239175479</v>
      </c>
      <c r="I646" s="4">
        <f t="shared" si="39"/>
        <v>-20.302710584048384</v>
      </c>
      <c r="J646" s="3">
        <v>57.95</v>
      </c>
      <c r="K646" s="3">
        <v>20</v>
      </c>
    </row>
    <row r="647" spans="1:11" x14ac:dyDescent="0.35">
      <c r="A647" s="2">
        <v>42296</v>
      </c>
      <c r="B647" s="3">
        <v>109.005456782</v>
      </c>
      <c r="C647" s="4">
        <f t="shared" si="40"/>
        <v>3.7264236633291148E-2</v>
      </c>
      <c r="D647" s="4">
        <f t="shared" si="38"/>
        <v>-16.39803550872044</v>
      </c>
      <c r="E647" s="3">
        <v>57.95</v>
      </c>
      <c r="F647" s="3">
        <v>20</v>
      </c>
      <c r="G647" s="3">
        <v>111.174198272</v>
      </c>
      <c r="H647" s="4">
        <f t="shared" si="41"/>
        <v>0.39493231088978575</v>
      </c>
      <c r="I647" s="4">
        <f t="shared" si="39"/>
        <v>-18.822979554927471</v>
      </c>
      <c r="J647" s="3">
        <v>57.95</v>
      </c>
      <c r="K647" s="3">
        <v>20</v>
      </c>
    </row>
    <row r="648" spans="1:11" x14ac:dyDescent="0.35">
      <c r="A648" s="2">
        <v>42303</v>
      </c>
      <c r="B648" s="3">
        <v>108.041284</v>
      </c>
      <c r="C648" s="4">
        <f t="shared" si="40"/>
        <v>-0.96417278199999146</v>
      </c>
      <c r="D648" s="4">
        <f t="shared" si="38"/>
        <v>-17.07245142785068</v>
      </c>
      <c r="E648" s="3">
        <v>57.95</v>
      </c>
      <c r="F648" s="3">
        <v>20</v>
      </c>
      <c r="G648" s="3">
        <v>110.60944100000002</v>
      </c>
      <c r="H648" s="4">
        <f t="shared" si="41"/>
        <v>-0.56475727199998005</v>
      </c>
      <c r="I648" s="4">
        <f t="shared" si="39"/>
        <v>-19.107303044360648</v>
      </c>
      <c r="J648" s="3">
        <v>57.95</v>
      </c>
      <c r="K648" s="3">
        <v>20</v>
      </c>
    </row>
    <row r="649" spans="1:11" x14ac:dyDescent="0.35">
      <c r="A649" s="2">
        <v>42310</v>
      </c>
      <c r="B649" s="3">
        <v>107.20565400000001</v>
      </c>
      <c r="C649" s="4">
        <f t="shared" si="40"/>
        <v>-0.83562999999999477</v>
      </c>
      <c r="D649" s="4">
        <f t="shared" si="38"/>
        <v>-16.733133063547058</v>
      </c>
      <c r="E649" s="3">
        <v>57.95</v>
      </c>
      <c r="F649" s="3">
        <v>20</v>
      </c>
      <c r="G649" s="3">
        <v>110.138251</v>
      </c>
      <c r="H649" s="4">
        <f t="shared" si="41"/>
        <v>-0.47119000000002131</v>
      </c>
      <c r="I649" s="4">
        <f t="shared" si="39"/>
        <v>-18.418848698668057</v>
      </c>
      <c r="J649" s="3">
        <v>57.95</v>
      </c>
      <c r="K649" s="3">
        <v>20</v>
      </c>
    </row>
    <row r="650" spans="1:11" x14ac:dyDescent="0.35">
      <c r="A650" s="2">
        <v>42317</v>
      </c>
      <c r="B650" s="3">
        <v>107.14104900000001</v>
      </c>
      <c r="C650" s="4">
        <f t="shared" si="40"/>
        <v>-6.4605000000000246E-2</v>
      </c>
      <c r="D650" s="4">
        <f t="shared" si="38"/>
        <v>-15.801881234833729</v>
      </c>
      <c r="E650" s="3">
        <v>57.95</v>
      </c>
      <c r="F650" s="3">
        <v>20</v>
      </c>
      <c r="G650" s="3">
        <v>110.081484</v>
      </c>
      <c r="H650" s="4">
        <f t="shared" si="41"/>
        <v>-5.6766999999993573E-2</v>
      </c>
      <c r="I650" s="4">
        <f t="shared" si="39"/>
        <v>-17.51339914642692</v>
      </c>
      <c r="J650" s="3">
        <v>57.95</v>
      </c>
      <c r="K650" s="3">
        <v>20</v>
      </c>
    </row>
    <row r="651" spans="1:11" x14ac:dyDescent="0.35">
      <c r="A651" s="2">
        <v>42324</v>
      </c>
      <c r="B651" s="3">
        <v>107.363804</v>
      </c>
      <c r="C651" s="4">
        <f t="shared" si="40"/>
        <v>0.22275499999999226</v>
      </c>
      <c r="D651" s="4">
        <f t="shared" si="38"/>
        <v>-15.137573776036788</v>
      </c>
      <c r="E651" s="3">
        <v>57.95</v>
      </c>
      <c r="F651" s="3">
        <v>20</v>
      </c>
      <c r="G651" s="3">
        <v>110.318226</v>
      </c>
      <c r="H651" s="4">
        <f t="shared" si="41"/>
        <v>0.23674199999999246</v>
      </c>
      <c r="I651" s="4">
        <f t="shared" si="39"/>
        <v>-16.990638602514395</v>
      </c>
      <c r="J651" s="3">
        <v>57.95</v>
      </c>
      <c r="K651" s="3">
        <v>20</v>
      </c>
    </row>
    <row r="652" spans="1:11" x14ac:dyDescent="0.35">
      <c r="A652" s="2">
        <v>42331</v>
      </c>
      <c r="B652" s="3">
        <v>107.29282900000001</v>
      </c>
      <c r="C652" s="4">
        <f t="shared" si="40"/>
        <v>-7.0974999999990018E-2</v>
      </c>
      <c r="D652" s="4">
        <f t="shared" si="38"/>
        <v>-15.001753151980509</v>
      </c>
      <c r="E652" s="3">
        <v>57.95</v>
      </c>
      <c r="F652" s="3">
        <v>20</v>
      </c>
      <c r="G652" s="3">
        <v>110.26946600000001</v>
      </c>
      <c r="H652" s="4">
        <f t="shared" si="41"/>
        <v>-4.8759999999987258E-2</v>
      </c>
      <c r="I652" s="4">
        <f t="shared" si="39"/>
        <v>-16.897430266751059</v>
      </c>
      <c r="J652" s="3">
        <v>57.95</v>
      </c>
      <c r="K652" s="3">
        <v>20</v>
      </c>
    </row>
    <row r="653" spans="1:11" x14ac:dyDescent="0.35">
      <c r="A653" s="2">
        <v>42338</v>
      </c>
      <c r="B653" s="3">
        <v>106.96660300000001</v>
      </c>
      <c r="C653" s="4">
        <f t="shared" si="40"/>
        <v>-0.32622600000000546</v>
      </c>
      <c r="D653" s="4">
        <f t="shared" si="38"/>
        <v>-14.211590325968416</v>
      </c>
      <c r="E653" s="3">
        <v>57.95</v>
      </c>
      <c r="F653" s="3">
        <v>20</v>
      </c>
      <c r="G653" s="3">
        <v>110.00639999999999</v>
      </c>
      <c r="H653" s="4">
        <f t="shared" si="41"/>
        <v>-0.26306600000002334</v>
      </c>
      <c r="I653" s="4">
        <f t="shared" si="39"/>
        <v>-16.104966286512393</v>
      </c>
      <c r="J653" s="3">
        <v>57.95</v>
      </c>
      <c r="K653" s="3">
        <v>20</v>
      </c>
    </row>
    <row r="654" spans="1:11" x14ac:dyDescent="0.35">
      <c r="A654" s="2">
        <v>42345</v>
      </c>
      <c r="B654" s="3">
        <v>106.7497</v>
      </c>
      <c r="C654" s="4">
        <f t="shared" si="40"/>
        <v>-0.21690300000000207</v>
      </c>
      <c r="D654" s="4">
        <f t="shared" si="38"/>
        <v>-13.083448595322167</v>
      </c>
      <c r="E654" s="3">
        <v>57.95</v>
      </c>
      <c r="F654" s="3">
        <v>20</v>
      </c>
      <c r="G654" s="3">
        <v>109.92420999999999</v>
      </c>
      <c r="H654" s="4">
        <f t="shared" si="41"/>
        <v>-8.2189999999997099E-2</v>
      </c>
      <c r="I654" s="4">
        <f t="shared" si="39"/>
        <v>-14.861604911397194</v>
      </c>
      <c r="J654" s="3">
        <v>57.95</v>
      </c>
      <c r="K654" s="3">
        <v>20</v>
      </c>
    </row>
    <row r="655" spans="1:11" x14ac:dyDescent="0.35">
      <c r="A655" s="2">
        <v>42352</v>
      </c>
      <c r="B655" s="3">
        <v>103.99594500000001</v>
      </c>
      <c r="C655" s="4">
        <f t="shared" si="40"/>
        <v>-2.7537549999999982</v>
      </c>
      <c r="D655" s="4">
        <f t="shared" si="38"/>
        <v>-12.305357020792499</v>
      </c>
      <c r="E655" s="3">
        <v>57.95</v>
      </c>
      <c r="F655" s="3">
        <v>20</v>
      </c>
      <c r="G655" s="3">
        <v>108.07378799999998</v>
      </c>
      <c r="H655" s="4">
        <f t="shared" si="41"/>
        <v>-1.8504220000000089</v>
      </c>
      <c r="I655" s="4">
        <f t="shared" si="39"/>
        <v>-14.356621905823474</v>
      </c>
      <c r="J655" s="3">
        <v>57.95</v>
      </c>
      <c r="K655" s="3">
        <v>20</v>
      </c>
    </row>
    <row r="656" spans="1:11" x14ac:dyDescent="0.35">
      <c r="A656" s="2">
        <v>42359</v>
      </c>
      <c r="B656" s="3">
        <v>102.33320700000002</v>
      </c>
      <c r="C656" s="4">
        <f t="shared" si="40"/>
        <v>-1.6627379999999903</v>
      </c>
      <c r="D656" s="4">
        <f t="shared" si="38"/>
        <v>-11.329564982614073</v>
      </c>
      <c r="E656" s="3">
        <v>57.95</v>
      </c>
      <c r="F656" s="3">
        <v>20</v>
      </c>
      <c r="G656" s="3">
        <v>107.041449</v>
      </c>
      <c r="H656" s="4">
        <f t="shared" si="41"/>
        <v>-1.032338999999979</v>
      </c>
      <c r="I656" s="4">
        <f t="shared" si="39"/>
        <v>-13.772504549353414</v>
      </c>
      <c r="J656" s="3">
        <v>57.95</v>
      </c>
      <c r="K656" s="3">
        <v>20</v>
      </c>
    </row>
    <row r="657" spans="1:11" x14ac:dyDescent="0.35">
      <c r="A657" s="2">
        <v>42366</v>
      </c>
      <c r="B657" s="3">
        <v>102.11324400000001</v>
      </c>
      <c r="C657" s="4">
        <f t="shared" si="40"/>
        <v>-0.21996300000000701</v>
      </c>
      <c r="D657" s="4">
        <f t="shared" si="38"/>
        <v>-11.047055048171075</v>
      </c>
      <c r="E657" s="3">
        <v>57.95</v>
      </c>
      <c r="F657" s="3">
        <v>20</v>
      </c>
      <c r="G657" s="3">
        <v>106.43373700000001</v>
      </c>
      <c r="H657" s="4">
        <f t="shared" si="41"/>
        <v>-0.60771199999999226</v>
      </c>
      <c r="I657" s="4">
        <f t="shared" si="39"/>
        <v>-13.929536374349539</v>
      </c>
      <c r="J657" s="3">
        <v>57.95</v>
      </c>
      <c r="K657" s="3">
        <v>20</v>
      </c>
    </row>
    <row r="658" spans="1:11" x14ac:dyDescent="0.35">
      <c r="A658" s="2">
        <v>42373</v>
      </c>
      <c r="B658" s="3">
        <v>101.99779000000001</v>
      </c>
      <c r="C658" s="4">
        <f t="shared" si="40"/>
        <v>-0.11545399999999972</v>
      </c>
      <c r="D658" s="4">
        <f t="shared" si="38"/>
        <v>-9.0648489651605075</v>
      </c>
      <c r="E658" s="3">
        <v>57.95</v>
      </c>
      <c r="F658" s="3">
        <v>20</v>
      </c>
      <c r="G658" s="3">
        <v>106.32158600000001</v>
      </c>
      <c r="H658" s="4">
        <f t="shared" si="41"/>
        <v>-0.11215099999999723</v>
      </c>
      <c r="I658" s="4">
        <f t="shared" si="39"/>
        <v>-11.611773430957328</v>
      </c>
      <c r="J658" s="3">
        <v>57.95</v>
      </c>
      <c r="K658" s="3">
        <v>20</v>
      </c>
    </row>
    <row r="659" spans="1:11" x14ac:dyDescent="0.35">
      <c r="A659" s="2">
        <v>42380</v>
      </c>
      <c r="B659" s="3">
        <v>101.88979</v>
      </c>
      <c r="C659" s="4">
        <f t="shared" si="40"/>
        <v>-0.10800000000000409</v>
      </c>
      <c r="D659" s="4">
        <f t="shared" si="38"/>
        <v>-6.9760976725569321</v>
      </c>
      <c r="E659" s="3">
        <v>57.95</v>
      </c>
      <c r="F659" s="3">
        <v>20</v>
      </c>
      <c r="G659" s="3">
        <v>103.41224200000001</v>
      </c>
      <c r="H659" s="4">
        <f t="shared" si="41"/>
        <v>-2.9093440000000044</v>
      </c>
      <c r="I659" s="4">
        <f t="shared" si="39"/>
        <v>-12.808437614281829</v>
      </c>
      <c r="J659" s="3">
        <v>57.95</v>
      </c>
      <c r="K659" s="3">
        <v>20</v>
      </c>
    </row>
    <row r="660" spans="1:11" x14ac:dyDescent="0.35">
      <c r="A660" s="2">
        <v>42387</v>
      </c>
      <c r="B660" s="3">
        <v>101.804621</v>
      </c>
      <c r="C660" s="4">
        <f t="shared" si="40"/>
        <v>-8.51690000000076E-2</v>
      </c>
      <c r="D660" s="4">
        <f t="shared" si="38"/>
        <v>-5.0211026379236756</v>
      </c>
      <c r="E660" s="3">
        <v>57.95</v>
      </c>
      <c r="F660" s="3">
        <v>20</v>
      </c>
      <c r="G660" s="3">
        <v>102.805314</v>
      </c>
      <c r="H660" s="4">
        <f t="shared" si="41"/>
        <v>-0.60692800000001057</v>
      </c>
      <c r="I660" s="4">
        <f t="shared" si="39"/>
        <v>-11.52234019282902</v>
      </c>
      <c r="J660" s="3">
        <v>57.95</v>
      </c>
      <c r="K660" s="3">
        <v>20</v>
      </c>
    </row>
    <row r="661" spans="1:11" x14ac:dyDescent="0.35">
      <c r="A661" s="2">
        <v>42394</v>
      </c>
      <c r="B661" s="3">
        <v>101.42351000000001</v>
      </c>
      <c r="C661" s="4">
        <f t="shared" si="40"/>
        <v>-0.38111099999998999</v>
      </c>
      <c r="D661" s="4">
        <f t="shared" si="38"/>
        <v>-4.8963800772099688</v>
      </c>
      <c r="E661" s="3">
        <v>57.95</v>
      </c>
      <c r="F661" s="3">
        <v>20</v>
      </c>
      <c r="G661" s="3">
        <v>101.53855</v>
      </c>
      <c r="H661" s="4">
        <f t="shared" si="41"/>
        <v>-1.2667639999999949</v>
      </c>
      <c r="I661" s="4">
        <f t="shared" si="39"/>
        <v>-12.221853587211839</v>
      </c>
      <c r="J661" s="3">
        <v>57.95</v>
      </c>
      <c r="K661" s="3">
        <v>20</v>
      </c>
    </row>
    <row r="662" spans="1:11" x14ac:dyDescent="0.35">
      <c r="A662" s="2">
        <v>42401</v>
      </c>
      <c r="B662" s="3">
        <v>101.360747</v>
      </c>
      <c r="C662" s="4">
        <f t="shared" si="40"/>
        <v>-6.2763000000003899E-2</v>
      </c>
      <c r="D662" s="4">
        <f t="shared" si="38"/>
        <v>-4.6815383798164305</v>
      </c>
      <c r="E662" s="3">
        <v>57.95</v>
      </c>
      <c r="F662" s="3">
        <v>20</v>
      </c>
      <c r="G662" s="3">
        <v>100.83594000000001</v>
      </c>
      <c r="H662" s="4">
        <f t="shared" si="41"/>
        <v>-0.70260999999999285</v>
      </c>
      <c r="I662" s="4">
        <f t="shared" si="39"/>
        <v>-12.777162505563297</v>
      </c>
      <c r="J662" s="3">
        <v>57.95</v>
      </c>
      <c r="K662" s="3">
        <v>20</v>
      </c>
    </row>
    <row r="663" spans="1:11" x14ac:dyDescent="0.35">
      <c r="A663" s="2">
        <v>42408</v>
      </c>
      <c r="B663" s="3">
        <v>101.50899000000001</v>
      </c>
      <c r="C663" s="4">
        <f t="shared" si="40"/>
        <v>0.1482430000000079</v>
      </c>
      <c r="D663" s="4">
        <f t="shared" si="38"/>
        <v>-4.845804583485446</v>
      </c>
      <c r="E663" s="3">
        <v>57.95</v>
      </c>
      <c r="F663" s="3">
        <v>20</v>
      </c>
      <c r="G663" s="3">
        <v>101.138346</v>
      </c>
      <c r="H663" s="4">
        <f t="shared" si="41"/>
        <v>0.30240599999999063</v>
      </c>
      <c r="I663" s="4">
        <f t="shared" si="39"/>
        <v>-12.771459227026909</v>
      </c>
      <c r="J663" s="3">
        <v>57.95</v>
      </c>
      <c r="K663" s="3">
        <v>20</v>
      </c>
    </row>
    <row r="664" spans="1:11" x14ac:dyDescent="0.35">
      <c r="A664" s="2">
        <v>42415</v>
      </c>
      <c r="B664" s="3">
        <v>101.45071200000001</v>
      </c>
      <c r="C664" s="4">
        <f t="shared" si="40"/>
        <v>-5.8278000000001384E-2</v>
      </c>
      <c r="D664" s="4">
        <f t="shared" si="38"/>
        <v>-5.8093706429378074</v>
      </c>
      <c r="E664" s="3">
        <v>57.95</v>
      </c>
      <c r="F664" s="3">
        <v>20</v>
      </c>
      <c r="G664" s="3">
        <v>101.214269</v>
      </c>
      <c r="H664" s="4">
        <f t="shared" si="41"/>
        <v>7.5923000000003071E-2</v>
      </c>
      <c r="I664" s="4">
        <f t="shared" si="39"/>
        <v>-13.511344519043831</v>
      </c>
      <c r="J664" s="3">
        <v>57.95</v>
      </c>
      <c r="K664" s="3">
        <v>20</v>
      </c>
    </row>
    <row r="665" spans="1:11" x14ac:dyDescent="0.35">
      <c r="A665" s="2">
        <v>42422</v>
      </c>
      <c r="B665" s="3">
        <v>101.390945</v>
      </c>
      <c r="C665" s="4">
        <f t="shared" si="40"/>
        <v>-5.9767000000007897E-2</v>
      </c>
      <c r="D665" s="4">
        <f t="shared" si="38"/>
        <v>-6.9530612399696707</v>
      </c>
      <c r="E665" s="3">
        <v>57.95</v>
      </c>
      <c r="F665" s="3">
        <v>20</v>
      </c>
      <c r="G665" s="3">
        <v>101.126903</v>
      </c>
      <c r="H665" s="4">
        <f t="shared" si="41"/>
        <v>-8.7366000000002941E-2</v>
      </c>
      <c r="I665" s="4">
        <f t="shared" si="39"/>
        <v>-14.61160657400292</v>
      </c>
      <c r="J665" s="3">
        <v>57.95</v>
      </c>
      <c r="K665" s="3">
        <v>20</v>
      </c>
    </row>
    <row r="666" spans="1:11" x14ac:dyDescent="0.35">
      <c r="A666" s="2">
        <v>42429</v>
      </c>
      <c r="B666" s="3">
        <v>101.423439</v>
      </c>
      <c r="C666" s="4">
        <f t="shared" si="40"/>
        <v>3.2493999999999801E-2</v>
      </c>
      <c r="D666" s="4">
        <f t="shared" si="38"/>
        <v>-7.7757189062650696</v>
      </c>
      <c r="E666" s="3">
        <v>57.95</v>
      </c>
      <c r="F666" s="3">
        <v>20</v>
      </c>
      <c r="G666" s="3">
        <v>101.38040100000001</v>
      </c>
      <c r="H666" s="4">
        <f t="shared" si="41"/>
        <v>0.25349800000000755</v>
      </c>
      <c r="I666" s="4">
        <f t="shared" si="39"/>
        <v>-15.255075735609495</v>
      </c>
      <c r="J666" s="3">
        <v>57.95</v>
      </c>
      <c r="K666" s="3">
        <v>20</v>
      </c>
    </row>
    <row r="667" spans="1:11" x14ac:dyDescent="0.35">
      <c r="A667" s="2">
        <v>42436</v>
      </c>
      <c r="B667" s="3">
        <v>101.46343900000001</v>
      </c>
      <c r="C667" s="4">
        <f t="shared" si="40"/>
        <v>4.0000000000006253E-2</v>
      </c>
      <c r="D667" s="4">
        <f t="shared" si="38"/>
        <v>-8.6074881779093459</v>
      </c>
      <c r="E667" s="3">
        <v>57.95</v>
      </c>
      <c r="F667" s="3">
        <v>20</v>
      </c>
      <c r="G667" s="3">
        <v>101.674595</v>
      </c>
      <c r="H667" s="4">
        <f t="shared" si="41"/>
        <v>0.2941939999999903</v>
      </c>
      <c r="I667" s="4">
        <f t="shared" si="39"/>
        <v>-15.835795385012915</v>
      </c>
      <c r="J667" s="3">
        <v>57.95</v>
      </c>
      <c r="K667" s="3">
        <v>20</v>
      </c>
    </row>
    <row r="668" spans="1:11" x14ac:dyDescent="0.35">
      <c r="A668" s="2">
        <v>42443</v>
      </c>
      <c r="B668" s="3">
        <v>101.70669799999999</v>
      </c>
      <c r="C668" s="4">
        <f t="shared" si="40"/>
        <v>0.24325899999998057</v>
      </c>
      <c r="D668" s="4">
        <f t="shared" si="38"/>
        <v>-9.3301161234437018</v>
      </c>
      <c r="E668" s="3">
        <v>57.95</v>
      </c>
      <c r="F668" s="3">
        <v>20</v>
      </c>
      <c r="G668" s="3">
        <v>102.52036000000001</v>
      </c>
      <c r="H668" s="4">
        <f t="shared" si="41"/>
        <v>0.84576500000001431</v>
      </c>
      <c r="I668" s="4">
        <f t="shared" si="39"/>
        <v>-15.743312150659747</v>
      </c>
      <c r="J668" s="3">
        <v>57.95</v>
      </c>
      <c r="K668" s="3">
        <v>20</v>
      </c>
    </row>
    <row r="669" spans="1:11" x14ac:dyDescent="0.35">
      <c r="A669" s="2">
        <v>42450</v>
      </c>
      <c r="B669" s="3">
        <v>102.579706</v>
      </c>
      <c r="C669" s="4">
        <f t="shared" si="40"/>
        <v>0.87300800000001288</v>
      </c>
      <c r="D669" s="4">
        <f t="shared" si="38"/>
        <v>-9.0676768102703988</v>
      </c>
      <c r="E669" s="3">
        <v>57.95</v>
      </c>
      <c r="F669" s="3">
        <v>20</v>
      </c>
      <c r="G669" s="3">
        <v>103.63978800000001</v>
      </c>
      <c r="H669" s="4">
        <f t="shared" si="41"/>
        <v>1.1194279999999992</v>
      </c>
      <c r="I669" s="4">
        <f t="shared" si="39"/>
        <v>-15.070491658787006</v>
      </c>
      <c r="J669" s="3">
        <v>57.95</v>
      </c>
      <c r="K669" s="3">
        <v>20</v>
      </c>
    </row>
    <row r="670" spans="1:11" x14ac:dyDescent="0.35">
      <c r="A670" s="2">
        <v>42457</v>
      </c>
      <c r="B670" s="3">
        <v>103.401436</v>
      </c>
      <c r="C670" s="4">
        <f t="shared" si="40"/>
        <v>0.82173000000000229</v>
      </c>
      <c r="D670" s="4">
        <f t="shared" si="38"/>
        <v>-8.6591014419842338</v>
      </c>
      <c r="E670" s="3">
        <v>57.95</v>
      </c>
      <c r="F670" s="3">
        <v>20</v>
      </c>
      <c r="G670" s="3">
        <v>104.39663200000001</v>
      </c>
      <c r="H670" s="4">
        <f t="shared" si="41"/>
        <v>0.75684400000000096</v>
      </c>
      <c r="I670" s="4">
        <f t="shared" si="39"/>
        <v>-14.575196704972853</v>
      </c>
      <c r="J670" s="3">
        <v>57.95</v>
      </c>
      <c r="K670" s="3">
        <v>20</v>
      </c>
    </row>
    <row r="671" spans="1:11" x14ac:dyDescent="0.35">
      <c r="A671" s="2">
        <v>42464</v>
      </c>
      <c r="B671" s="3">
        <v>104.509028</v>
      </c>
      <c r="C671" s="4">
        <f t="shared" si="40"/>
        <v>1.1075919999999968</v>
      </c>
      <c r="D671" s="4">
        <f t="shared" si="38"/>
        <v>-7.8652917084815215</v>
      </c>
      <c r="E671" s="3">
        <v>57.95</v>
      </c>
      <c r="F671" s="3">
        <v>20</v>
      </c>
      <c r="G671" s="3">
        <v>105.315973</v>
      </c>
      <c r="H671" s="4">
        <f t="shared" si="41"/>
        <v>0.91934099999998864</v>
      </c>
      <c r="I671" s="4">
        <f t="shared" si="39"/>
        <v>-13.77113966078592</v>
      </c>
      <c r="J671" s="3">
        <v>57.95</v>
      </c>
      <c r="K671" s="3">
        <v>20</v>
      </c>
    </row>
    <row r="672" spans="1:11" x14ac:dyDescent="0.35">
      <c r="A672" s="2">
        <v>42471</v>
      </c>
      <c r="B672" s="3">
        <v>105.39057399999999</v>
      </c>
      <c r="C672" s="4">
        <f t="shared" si="40"/>
        <v>0.88154599999998595</v>
      </c>
      <c r="D672" s="4">
        <f t="shared" si="38"/>
        <v>-7.1314839960699743</v>
      </c>
      <c r="E672" s="3">
        <v>57.95</v>
      </c>
      <c r="F672" s="3">
        <v>20</v>
      </c>
      <c r="G672" s="3">
        <v>105.978684</v>
      </c>
      <c r="H672" s="4">
        <f t="shared" si="41"/>
        <v>0.6627110000000016</v>
      </c>
      <c r="I672" s="4">
        <f t="shared" si="39"/>
        <v>-13.167424416787085</v>
      </c>
      <c r="J672" s="3">
        <v>57.95</v>
      </c>
      <c r="K672" s="3">
        <v>20</v>
      </c>
    </row>
    <row r="673" spans="1:11" x14ac:dyDescent="0.35">
      <c r="A673" s="2">
        <v>42478</v>
      </c>
      <c r="B673" s="3">
        <v>106.40671910099999</v>
      </c>
      <c r="C673" s="4">
        <f t="shared" si="40"/>
        <v>1.0161451010000064</v>
      </c>
      <c r="D673" s="4">
        <f t="shared" si="38"/>
        <v>-6.4650088781002495</v>
      </c>
      <c r="E673" s="3">
        <v>57.95</v>
      </c>
      <c r="F673" s="3">
        <v>20</v>
      </c>
      <c r="G673" s="3">
        <v>106.97005569599999</v>
      </c>
      <c r="H673" s="4">
        <f t="shared" si="41"/>
        <v>0.99137169599998742</v>
      </c>
      <c r="I673" s="4">
        <f t="shared" si="39"/>
        <v>-12.168665002585143</v>
      </c>
      <c r="J673" s="3">
        <v>57.95</v>
      </c>
      <c r="K673" s="3">
        <v>20</v>
      </c>
    </row>
    <row r="674" spans="1:11" x14ac:dyDescent="0.35">
      <c r="A674" s="2">
        <v>42485</v>
      </c>
      <c r="B674" s="3">
        <v>107.141178</v>
      </c>
      <c r="C674" s="4">
        <f t="shared" si="40"/>
        <v>0.73445889900000338</v>
      </c>
      <c r="D674" s="4">
        <f t="shared" si="38"/>
        <v>-6.4096564218597223</v>
      </c>
      <c r="E674" s="3">
        <v>57.95</v>
      </c>
      <c r="F674" s="3">
        <v>20</v>
      </c>
      <c r="G674" s="3">
        <v>107.671722</v>
      </c>
      <c r="H674" s="4">
        <f t="shared" si="41"/>
        <v>0.70166630400001395</v>
      </c>
      <c r="I674" s="4">
        <f t="shared" si="39"/>
        <v>-11.905584316596887</v>
      </c>
      <c r="J674" s="3">
        <v>57.95</v>
      </c>
      <c r="K674" s="3">
        <v>20</v>
      </c>
    </row>
    <row r="675" spans="1:11" x14ac:dyDescent="0.35">
      <c r="A675" s="2">
        <v>42492</v>
      </c>
      <c r="B675" s="3">
        <v>107.81764700000001</v>
      </c>
      <c r="C675" s="4">
        <f t="shared" si="40"/>
        <v>0.67646900000001153</v>
      </c>
      <c r="D675" s="4">
        <f t="shared" si="38"/>
        <v>-6.4528391374351344</v>
      </c>
      <c r="E675" s="3">
        <v>57.95</v>
      </c>
      <c r="F675" s="3">
        <v>20</v>
      </c>
      <c r="G675" s="3">
        <v>108.57853</v>
      </c>
      <c r="H675" s="4">
        <f t="shared" si="41"/>
        <v>0.90680799999999806</v>
      </c>
      <c r="I675" s="4">
        <f t="shared" si="39"/>
        <v>-11.417912867500249</v>
      </c>
      <c r="J675" s="3">
        <v>57.95</v>
      </c>
      <c r="K675" s="3">
        <v>20</v>
      </c>
    </row>
    <row r="676" spans="1:11" x14ac:dyDescent="0.35">
      <c r="A676" s="2">
        <v>42499</v>
      </c>
      <c r="B676" s="3">
        <v>108.190747</v>
      </c>
      <c r="C676" s="4">
        <f t="shared" si="40"/>
        <v>0.37309999999999377</v>
      </c>
      <c r="D676" s="4">
        <f t="shared" si="38"/>
        <v>-6.9073370114439285</v>
      </c>
      <c r="E676" s="3">
        <v>57.95</v>
      </c>
      <c r="F676" s="3">
        <v>20</v>
      </c>
      <c r="G676" s="3">
        <v>109.003659</v>
      </c>
      <c r="H676" s="4">
        <f t="shared" si="41"/>
        <v>0.42512899999999831</v>
      </c>
      <c r="I676" s="4">
        <f t="shared" si="39"/>
        <v>-11.589688348394674</v>
      </c>
      <c r="J676" s="3">
        <v>57.95</v>
      </c>
      <c r="K676" s="3">
        <v>20</v>
      </c>
    </row>
    <row r="677" spans="1:11" x14ac:dyDescent="0.35">
      <c r="A677" s="2">
        <v>42506</v>
      </c>
      <c r="B677" s="3">
        <v>108.528187</v>
      </c>
      <c r="C677" s="4">
        <f t="shared" si="40"/>
        <v>0.33744000000000085</v>
      </c>
      <c r="D677" s="4">
        <f t="shared" si="38"/>
        <v>-7.2110566068781736</v>
      </c>
      <c r="E677" s="3">
        <v>57.95</v>
      </c>
      <c r="F677" s="3">
        <v>20</v>
      </c>
      <c r="G677" s="3">
        <v>109.296234</v>
      </c>
      <c r="H677" s="4">
        <f t="shared" si="41"/>
        <v>0.29257499999999936</v>
      </c>
      <c r="I677" s="4">
        <f t="shared" si="39"/>
        <v>-11.740145133175673</v>
      </c>
      <c r="J677" s="3">
        <v>57.95</v>
      </c>
      <c r="K677" s="3">
        <v>20</v>
      </c>
    </row>
    <row r="678" spans="1:11" x14ac:dyDescent="0.35">
      <c r="A678" s="2">
        <v>42513</v>
      </c>
      <c r="B678" s="3">
        <v>109.12303700000001</v>
      </c>
      <c r="C678" s="4">
        <f t="shared" si="40"/>
        <v>0.59485000000000809</v>
      </c>
      <c r="D678" s="4">
        <f t="shared" si="38"/>
        <v>-6.9013551115824754</v>
      </c>
      <c r="E678" s="3">
        <v>57.95</v>
      </c>
      <c r="F678" s="3">
        <v>20</v>
      </c>
      <c r="G678" s="3">
        <v>109.90493799999999</v>
      </c>
      <c r="H678" s="4">
        <f t="shared" si="41"/>
        <v>0.60870399999998881</v>
      </c>
      <c r="I678" s="4">
        <f t="shared" si="39"/>
        <v>-11.414017916057276</v>
      </c>
      <c r="J678" s="3">
        <v>57.95</v>
      </c>
      <c r="K678" s="3">
        <v>20</v>
      </c>
    </row>
    <row r="679" spans="1:11" x14ac:dyDescent="0.35">
      <c r="A679" s="2">
        <v>42520</v>
      </c>
      <c r="B679" s="3">
        <v>109.78612604199999</v>
      </c>
      <c r="C679" s="4">
        <f t="shared" si="40"/>
        <v>0.66308904199998153</v>
      </c>
      <c r="D679" s="4">
        <f t="shared" si="38"/>
        <v>-6.3452698149282156</v>
      </c>
      <c r="E679" s="3">
        <v>57.95</v>
      </c>
      <c r="F679" s="3">
        <v>20</v>
      </c>
      <c r="G679" s="3">
        <v>110.699954784</v>
      </c>
      <c r="H679" s="4">
        <f t="shared" si="41"/>
        <v>0.79501678400001197</v>
      </c>
      <c r="I679" s="4">
        <f t="shared" si="39"/>
        <v>-10.60049533342648</v>
      </c>
      <c r="J679" s="3">
        <v>57.95</v>
      </c>
      <c r="K679" s="3">
        <v>20</v>
      </c>
    </row>
    <row r="680" spans="1:11" x14ac:dyDescent="0.35">
      <c r="A680" s="2">
        <v>42527</v>
      </c>
      <c r="B680" s="3">
        <v>110.402252706</v>
      </c>
      <c r="C680" s="4">
        <f t="shared" si="40"/>
        <v>0.61612666400000649</v>
      </c>
      <c r="D680" s="4">
        <f t="shared" si="38"/>
        <v>-5.8531422821198618</v>
      </c>
      <c r="E680" s="3">
        <v>57.95</v>
      </c>
      <c r="F680" s="3">
        <v>20</v>
      </c>
      <c r="G680" s="3">
        <v>111.42730083200001</v>
      </c>
      <c r="H680" s="4">
        <f t="shared" si="41"/>
        <v>0.72734604800001534</v>
      </c>
      <c r="I680" s="4">
        <f t="shared" si="39"/>
        <v>-9.9106222613327759</v>
      </c>
      <c r="J680" s="3">
        <v>57.95</v>
      </c>
      <c r="K680" s="3">
        <v>20</v>
      </c>
    </row>
    <row r="681" spans="1:11" x14ac:dyDescent="0.35">
      <c r="A681" s="2">
        <v>42534</v>
      </c>
      <c r="B681" s="3">
        <v>111.030603</v>
      </c>
      <c r="C681" s="4">
        <f t="shared" si="40"/>
        <v>0.62835029400000053</v>
      </c>
      <c r="D681" s="4">
        <f t="shared" si="38"/>
        <v>-5.3557990903908461</v>
      </c>
      <c r="E681" s="3">
        <v>57.95</v>
      </c>
      <c r="F681" s="3">
        <v>20</v>
      </c>
      <c r="G681" s="3">
        <v>111.98989100000001</v>
      </c>
      <c r="H681" s="4">
        <f t="shared" si="41"/>
        <v>0.56259016799999984</v>
      </c>
      <c r="I681" s="4">
        <f t="shared" si="39"/>
        <v>-9.3105752130507256</v>
      </c>
      <c r="J681" s="3">
        <v>57.95</v>
      </c>
      <c r="K681" s="3">
        <v>20</v>
      </c>
    </row>
    <row r="682" spans="1:11" x14ac:dyDescent="0.35">
      <c r="A682" s="2">
        <v>42541</v>
      </c>
      <c r="B682" s="3">
        <v>111.222492</v>
      </c>
      <c r="C682" s="4">
        <f t="shared" si="40"/>
        <v>0.19188900000000331</v>
      </c>
      <c r="D682" s="4">
        <f t="shared" si="38"/>
        <v>-5.3733994261627345</v>
      </c>
      <c r="E682" s="3">
        <v>57.95</v>
      </c>
      <c r="F682" s="3">
        <v>20</v>
      </c>
      <c r="G682" s="3">
        <v>112.310014</v>
      </c>
      <c r="H682" s="4">
        <f t="shared" si="41"/>
        <v>0.32012299999998106</v>
      </c>
      <c r="I682" s="4">
        <f t="shared" si="39"/>
        <v>-8.895997177706036</v>
      </c>
      <c r="J682" s="3">
        <v>57.95</v>
      </c>
      <c r="K682" s="3">
        <v>20</v>
      </c>
    </row>
    <row r="683" spans="1:11" x14ac:dyDescent="0.35">
      <c r="A683" s="2">
        <v>42548</v>
      </c>
      <c r="B683" s="3">
        <v>111.442885</v>
      </c>
      <c r="C683" s="4">
        <f t="shared" si="40"/>
        <v>0.22039300000000139</v>
      </c>
      <c r="D683" s="4">
        <f t="shared" si="38"/>
        <v>-5.1072572162369312</v>
      </c>
      <c r="E683" s="3">
        <v>57.95</v>
      </c>
      <c r="F683" s="3">
        <v>20</v>
      </c>
      <c r="G683" s="3">
        <v>112.558359</v>
      </c>
      <c r="H683" s="4">
        <f t="shared" si="41"/>
        <v>0.24834500000000048</v>
      </c>
      <c r="I683" s="4">
        <f t="shared" si="39"/>
        <v>-8.4320293757053832</v>
      </c>
      <c r="J683" s="3">
        <v>57.95</v>
      </c>
      <c r="K683" s="3">
        <v>20</v>
      </c>
    </row>
    <row r="684" spans="1:11" x14ac:dyDescent="0.35">
      <c r="A684" s="2">
        <v>42555</v>
      </c>
      <c r="B684" s="3">
        <v>111.64905400000001</v>
      </c>
      <c r="C684" s="4">
        <f t="shared" si="40"/>
        <v>0.20616900000000271</v>
      </c>
      <c r="D684" s="4">
        <f t="shared" si="38"/>
        <v>-4.6872499250058297</v>
      </c>
      <c r="E684" s="3">
        <v>57.95</v>
      </c>
      <c r="F684" s="3">
        <v>20</v>
      </c>
      <c r="G684" s="3">
        <v>112.85857999999999</v>
      </c>
      <c r="H684" s="4">
        <f t="shared" si="41"/>
        <v>0.30022099999999341</v>
      </c>
      <c r="I684" s="4">
        <f t="shared" si="39"/>
        <v>-7.9050628172383597</v>
      </c>
      <c r="J684" s="3">
        <v>57.95</v>
      </c>
      <c r="K684" s="3">
        <v>20</v>
      </c>
    </row>
    <row r="685" spans="1:11" x14ac:dyDescent="0.35">
      <c r="A685" s="2">
        <v>42562</v>
      </c>
      <c r="B685" s="3">
        <v>111.89483599999998</v>
      </c>
      <c r="C685" s="4">
        <f t="shared" si="40"/>
        <v>0.24578199999997707</v>
      </c>
      <c r="D685" s="4">
        <f t="shared" si="38"/>
        <v>-4.5112043790667542</v>
      </c>
      <c r="E685" s="3">
        <v>57.95</v>
      </c>
      <c r="F685" s="3">
        <v>20</v>
      </c>
      <c r="G685" s="3">
        <v>113.09206500000001</v>
      </c>
      <c r="H685" s="4">
        <f t="shared" si="41"/>
        <v>0.23348500000001593</v>
      </c>
      <c r="I685" s="4">
        <f t="shared" si="39"/>
        <v>-5.739740640013693</v>
      </c>
      <c r="J685" s="3">
        <v>57.95</v>
      </c>
      <c r="K685" s="3">
        <v>20</v>
      </c>
    </row>
    <row r="686" spans="1:11" x14ac:dyDescent="0.35">
      <c r="A686" s="2">
        <v>42569</v>
      </c>
      <c r="B686" s="3">
        <v>111.91651899999999</v>
      </c>
      <c r="C686" s="4">
        <f t="shared" si="40"/>
        <v>2.1683000000010111E-2</v>
      </c>
      <c r="D686" s="4">
        <f t="shared" si="38"/>
        <v>-4.8696010886075385</v>
      </c>
      <c r="E686" s="3">
        <v>57.95</v>
      </c>
      <c r="F686" s="3">
        <v>20</v>
      </c>
      <c r="G686" s="3">
        <v>112.998727</v>
      </c>
      <c r="H686" s="4">
        <f t="shared" si="41"/>
        <v>-9.3338000000002808E-2</v>
      </c>
      <c r="I686" s="4">
        <f t="shared" si="39"/>
        <v>-5.4357949885877019</v>
      </c>
      <c r="J686" s="3">
        <v>57.95</v>
      </c>
      <c r="K686" s="3">
        <v>20</v>
      </c>
    </row>
    <row r="687" spans="1:11" x14ac:dyDescent="0.35">
      <c r="A687" s="2">
        <v>42576</v>
      </c>
      <c r="B687" s="3">
        <v>111.690675</v>
      </c>
      <c r="C687" s="4">
        <f t="shared" si="40"/>
        <v>-0.22584399999999505</v>
      </c>
      <c r="D687" s="4">
        <f t="shared" si="38"/>
        <v>-4.7512613642769566</v>
      </c>
      <c r="E687" s="3">
        <v>57.95</v>
      </c>
      <c r="F687" s="3">
        <v>20</v>
      </c>
      <c r="G687" s="3">
        <v>112.89357600000001</v>
      </c>
      <c r="H687" s="4">
        <f t="shared" si="41"/>
        <v>-0.10515099999999222</v>
      </c>
      <c r="I687" s="4">
        <f t="shared" si="39"/>
        <v>-4.0612277404156458</v>
      </c>
      <c r="J687" s="3">
        <v>57.95</v>
      </c>
      <c r="K687" s="3">
        <v>20</v>
      </c>
    </row>
    <row r="688" spans="1:11" x14ac:dyDescent="0.35">
      <c r="A688" s="2">
        <v>42583</v>
      </c>
      <c r="B688" s="3">
        <v>111.04533499999999</v>
      </c>
      <c r="C688" s="4">
        <f t="shared" si="40"/>
        <v>-0.64534000000000447</v>
      </c>
      <c r="D688" s="4">
        <f t="shared" si="38"/>
        <v>-5.0709517277944656</v>
      </c>
      <c r="E688" s="3">
        <v>57.95</v>
      </c>
      <c r="F688" s="3">
        <v>20</v>
      </c>
      <c r="G688" s="3">
        <v>112.42563</v>
      </c>
      <c r="H688" s="4">
        <f t="shared" si="41"/>
        <v>-0.46794600000001196</v>
      </c>
      <c r="I688" s="4">
        <f t="shared" si="39"/>
        <v>-2.7445678142158556</v>
      </c>
      <c r="J688" s="3">
        <v>57.95</v>
      </c>
      <c r="K688" s="3">
        <v>20</v>
      </c>
    </row>
    <row r="689" spans="1:11" x14ac:dyDescent="0.35">
      <c r="A689" s="2">
        <v>42590</v>
      </c>
      <c r="B689" s="3">
        <v>109.74854300000001</v>
      </c>
      <c r="C689" s="4">
        <f t="shared" si="40"/>
        <v>-1.2967919999999822</v>
      </c>
      <c r="D689" s="4">
        <f t="shared" si="38"/>
        <v>-5.7328083774894338</v>
      </c>
      <c r="E689" s="3">
        <v>57.95</v>
      </c>
      <c r="F689" s="3">
        <v>20</v>
      </c>
      <c r="G689" s="3">
        <v>111.404402</v>
      </c>
      <c r="H689" s="4">
        <f t="shared" si="41"/>
        <v>-1.0212279999999936</v>
      </c>
      <c r="I689" s="4">
        <f t="shared" si="39"/>
        <v>-2.7960653878155739</v>
      </c>
      <c r="J689" s="3">
        <v>57.95</v>
      </c>
      <c r="K689" s="3">
        <v>20</v>
      </c>
    </row>
    <row r="690" spans="1:11" x14ac:dyDescent="0.35">
      <c r="A690" s="2">
        <v>42597</v>
      </c>
      <c r="B690" s="3">
        <v>109.276628</v>
      </c>
      <c r="C690" s="4">
        <f t="shared" si="40"/>
        <v>-0.47191500000000985</v>
      </c>
      <c r="D690" s="4">
        <f t="shared" si="38"/>
        <v>-5.3063749834641669</v>
      </c>
      <c r="E690" s="3">
        <v>57.95</v>
      </c>
      <c r="F690" s="3">
        <v>20</v>
      </c>
      <c r="G690" s="3">
        <v>111.01857000000001</v>
      </c>
      <c r="H690" s="4">
        <f t="shared" si="41"/>
        <v>-0.38583199999999351</v>
      </c>
      <c r="I690" s="4">
        <f t="shared" si="39"/>
        <v>-1.0299011502480511</v>
      </c>
      <c r="J690" s="3">
        <v>57.95</v>
      </c>
      <c r="K690" s="3">
        <v>20</v>
      </c>
    </row>
    <row r="691" spans="1:11" x14ac:dyDescent="0.35">
      <c r="A691" s="2">
        <v>42604</v>
      </c>
      <c r="B691" s="3">
        <v>109.634563</v>
      </c>
      <c r="C691" s="4">
        <f t="shared" si="40"/>
        <v>0.35793499999999767</v>
      </c>
      <c r="D691" s="4">
        <f t="shared" si="38"/>
        <v>-3.5992727172974099</v>
      </c>
      <c r="E691" s="3">
        <v>57.95</v>
      </c>
      <c r="F691" s="3">
        <v>20</v>
      </c>
      <c r="G691" s="3">
        <v>111.706114</v>
      </c>
      <c r="H691" s="4">
        <f t="shared" si="41"/>
        <v>0.68754399999998839</v>
      </c>
      <c r="I691" s="4">
        <f t="shared" si="39"/>
        <v>0.65600379106915341</v>
      </c>
      <c r="J691" s="3">
        <v>57.95</v>
      </c>
      <c r="K691" s="3">
        <v>20</v>
      </c>
    </row>
    <row r="692" spans="1:11" x14ac:dyDescent="0.35">
      <c r="A692" s="2">
        <v>42611</v>
      </c>
      <c r="B692" s="3">
        <v>110.43269699999999</v>
      </c>
      <c r="C692" s="4">
        <f t="shared" si="40"/>
        <v>0.79813399999999035</v>
      </c>
      <c r="D692" s="4">
        <f t="shared" si="38"/>
        <v>-0.77683186901059287</v>
      </c>
      <c r="E692" s="3">
        <v>57.95</v>
      </c>
      <c r="F692" s="3">
        <v>20</v>
      </c>
      <c r="G692" s="3">
        <v>112.54914600000001</v>
      </c>
      <c r="H692" s="4">
        <f t="shared" si="41"/>
        <v>0.843032000000008</v>
      </c>
      <c r="I692" s="4">
        <f t="shared" si="39"/>
        <v>2.630207744095145</v>
      </c>
      <c r="J692" s="3">
        <v>57.95</v>
      </c>
      <c r="K692" s="3">
        <v>20</v>
      </c>
    </row>
    <row r="693" spans="1:11" x14ac:dyDescent="0.35">
      <c r="A693" s="2">
        <v>42618</v>
      </c>
      <c r="B693" s="3">
        <v>110.970865</v>
      </c>
      <c r="C693" s="4">
        <f t="shared" si="40"/>
        <v>0.53816800000001308</v>
      </c>
      <c r="D693" s="4">
        <f t="shared" si="38"/>
        <v>7.5139944818573667E-2</v>
      </c>
      <c r="E693" s="3">
        <v>57.95</v>
      </c>
      <c r="F693" s="3">
        <v>20</v>
      </c>
      <c r="G693" s="3">
        <v>113.10110699999998</v>
      </c>
      <c r="H693" s="4">
        <f t="shared" si="41"/>
        <v>0.55196099999997728</v>
      </c>
      <c r="I693" s="4">
        <f t="shared" si="39"/>
        <v>3.3190571170693772</v>
      </c>
      <c r="J693" s="3">
        <v>57.95</v>
      </c>
      <c r="K693" s="3">
        <v>20</v>
      </c>
    </row>
    <row r="694" spans="1:11" x14ac:dyDescent="0.35">
      <c r="A694" s="2">
        <v>42625</v>
      </c>
      <c r="B694" s="3">
        <v>111.31260900000001</v>
      </c>
      <c r="C694" s="4">
        <f t="shared" si="40"/>
        <v>0.3417440000000056</v>
      </c>
      <c r="D694" s="4">
        <f t="shared" si="38"/>
        <v>0.70783837337859268</v>
      </c>
      <c r="E694" s="3">
        <v>57.95</v>
      </c>
      <c r="F694" s="3">
        <v>20</v>
      </c>
      <c r="G694" s="3">
        <v>113.419712</v>
      </c>
      <c r="H694" s="4">
        <f t="shared" si="41"/>
        <v>0.31860500000001934</v>
      </c>
      <c r="I694" s="4">
        <f t="shared" si="39"/>
        <v>3.4740538703908328</v>
      </c>
      <c r="J694" s="3">
        <v>57.95</v>
      </c>
      <c r="K694" s="3">
        <v>20</v>
      </c>
    </row>
    <row r="695" spans="1:11" x14ac:dyDescent="0.35">
      <c r="A695" s="2">
        <v>42632</v>
      </c>
      <c r="B695" s="3">
        <v>111.28576131</v>
      </c>
      <c r="C695" s="4">
        <f t="shared" si="40"/>
        <v>-2.6847690000010971E-2</v>
      </c>
      <c r="D695" s="4">
        <f t="shared" ref="D695:D758" si="42">B695-B643</f>
        <v>0.67770208981963265</v>
      </c>
      <c r="E695" s="3">
        <v>57.95</v>
      </c>
      <c r="F695" s="3">
        <v>20</v>
      </c>
      <c r="G695" s="3">
        <v>113.22531877599998</v>
      </c>
      <c r="H695" s="4">
        <f t="shared" si="41"/>
        <v>-0.19439322400002368</v>
      </c>
      <c r="I695" s="4">
        <f t="shared" ref="I695:I758" si="43">G695-G643</f>
        <v>2.70208332765975</v>
      </c>
      <c r="J695" s="3">
        <v>57.95</v>
      </c>
      <c r="K695" s="3">
        <v>20</v>
      </c>
    </row>
    <row r="696" spans="1:11" x14ac:dyDescent="0.35">
      <c r="A696" s="2">
        <v>42639</v>
      </c>
      <c r="B696" s="3">
        <v>111.36347385000002</v>
      </c>
      <c r="C696" s="4">
        <f t="shared" si="40"/>
        <v>7.771254000002159E-2</v>
      </c>
      <c r="D696" s="4">
        <f t="shared" si="42"/>
        <v>1.8897499309687475</v>
      </c>
      <c r="E696" s="3">
        <v>57.95</v>
      </c>
      <c r="F696" s="3">
        <v>20</v>
      </c>
      <c r="G696" s="3">
        <v>113.37504576799999</v>
      </c>
      <c r="H696" s="4">
        <f t="shared" si="41"/>
        <v>0.14972699200001216</v>
      </c>
      <c r="I696" s="4">
        <f t="shared" si="43"/>
        <v>2.9295722421864809</v>
      </c>
      <c r="J696" s="3">
        <v>57.95</v>
      </c>
      <c r="K696" s="3">
        <v>20</v>
      </c>
    </row>
    <row r="697" spans="1:11" x14ac:dyDescent="0.35">
      <c r="A697" s="2">
        <v>42646</v>
      </c>
      <c r="B697" s="3">
        <v>111.64954574799999</v>
      </c>
      <c r="C697" s="4">
        <f t="shared" si="40"/>
        <v>0.28607189799997457</v>
      </c>
      <c r="D697" s="4">
        <f t="shared" si="42"/>
        <v>2.7075744444626508</v>
      </c>
      <c r="E697" s="3">
        <v>57.95</v>
      </c>
      <c r="F697" s="3">
        <v>20</v>
      </c>
      <c r="G697" s="3">
        <v>113.70673952</v>
      </c>
      <c r="H697" s="4">
        <f t="shared" si="41"/>
        <v>0.33169375200000673</v>
      </c>
      <c r="I697" s="4">
        <f t="shared" si="43"/>
        <v>3.1391894912815417</v>
      </c>
      <c r="J697" s="3">
        <v>57.95</v>
      </c>
      <c r="K697" s="3">
        <v>20</v>
      </c>
    </row>
    <row r="698" spans="1:11" x14ac:dyDescent="0.35">
      <c r="A698" s="2">
        <v>42653</v>
      </c>
      <c r="B698" s="3">
        <v>112.34986100000002</v>
      </c>
      <c r="C698" s="4">
        <f t="shared" si="40"/>
        <v>0.7003152520000242</v>
      </c>
      <c r="D698" s="4">
        <f t="shared" si="42"/>
        <v>3.3816684546333136</v>
      </c>
      <c r="E698" s="3">
        <v>57.95</v>
      </c>
      <c r="F698" s="3">
        <v>20</v>
      </c>
      <c r="G698" s="3">
        <v>114.403363</v>
      </c>
      <c r="H698" s="4">
        <f t="shared" si="41"/>
        <v>0.69662347999999952</v>
      </c>
      <c r="I698" s="4">
        <f t="shared" si="43"/>
        <v>3.6240970388897864</v>
      </c>
      <c r="J698" s="3">
        <v>57.95</v>
      </c>
      <c r="K698" s="3">
        <v>20</v>
      </c>
    </row>
    <row r="699" spans="1:11" x14ac:dyDescent="0.35">
      <c r="A699" s="2">
        <v>42660</v>
      </c>
      <c r="B699" s="3">
        <v>113.721154</v>
      </c>
      <c r="C699" s="4">
        <f t="shared" si="40"/>
        <v>1.3712929999999801</v>
      </c>
      <c r="D699" s="4">
        <f t="shared" si="42"/>
        <v>4.7156972180000025</v>
      </c>
      <c r="E699" s="3">
        <v>57.95</v>
      </c>
      <c r="F699" s="3">
        <v>20</v>
      </c>
      <c r="G699" s="3">
        <v>115.995878</v>
      </c>
      <c r="H699" s="4">
        <f t="shared" si="41"/>
        <v>1.5925150000000059</v>
      </c>
      <c r="I699" s="4">
        <f t="shared" si="43"/>
        <v>4.8216797280000065</v>
      </c>
      <c r="J699" s="3">
        <v>57.95</v>
      </c>
      <c r="K699" s="3">
        <v>20</v>
      </c>
    </row>
    <row r="700" spans="1:11" x14ac:dyDescent="0.35">
      <c r="A700" s="2">
        <v>42667</v>
      </c>
      <c r="B700" s="3">
        <v>115.19915400000001</v>
      </c>
      <c r="C700" s="4">
        <f t="shared" si="40"/>
        <v>1.4780000000000086</v>
      </c>
      <c r="D700" s="4">
        <f t="shared" si="42"/>
        <v>7.1578700000000026</v>
      </c>
      <c r="E700" s="3">
        <v>57.95</v>
      </c>
      <c r="F700" s="3">
        <v>20</v>
      </c>
      <c r="G700" s="3">
        <v>117.69907500000001</v>
      </c>
      <c r="H700" s="4">
        <f t="shared" si="41"/>
        <v>1.703197000000003</v>
      </c>
      <c r="I700" s="4">
        <f t="shared" si="43"/>
        <v>7.0896339999999896</v>
      </c>
      <c r="J700" s="3">
        <v>57.95</v>
      </c>
      <c r="K700" s="3">
        <v>20</v>
      </c>
    </row>
    <row r="701" spans="1:11" x14ac:dyDescent="0.35">
      <c r="A701" s="2">
        <v>42674</v>
      </c>
      <c r="B701" s="3">
        <v>116.022254</v>
      </c>
      <c r="C701" s="4">
        <f t="shared" si="40"/>
        <v>0.82309999999999661</v>
      </c>
      <c r="D701" s="4">
        <f t="shared" si="42"/>
        <v>8.816599999999994</v>
      </c>
      <c r="E701" s="3">
        <v>57.95</v>
      </c>
      <c r="F701" s="3">
        <v>20</v>
      </c>
      <c r="G701" s="3">
        <v>118.41948800000002</v>
      </c>
      <c r="H701" s="4">
        <f t="shared" si="41"/>
        <v>0.72041300000000774</v>
      </c>
      <c r="I701" s="4">
        <f t="shared" si="43"/>
        <v>8.2812370000000186</v>
      </c>
      <c r="J701" s="3">
        <v>57.95</v>
      </c>
      <c r="K701" s="3">
        <v>20</v>
      </c>
    </row>
    <row r="702" spans="1:11" x14ac:dyDescent="0.35">
      <c r="A702" s="2">
        <v>42681</v>
      </c>
      <c r="B702" s="3">
        <v>116.558815</v>
      </c>
      <c r="C702" s="4">
        <f t="shared" si="40"/>
        <v>0.53656099999999185</v>
      </c>
      <c r="D702" s="4">
        <f t="shared" si="42"/>
        <v>9.4177659999999861</v>
      </c>
      <c r="E702" s="3">
        <v>57.95</v>
      </c>
      <c r="F702" s="3">
        <v>20</v>
      </c>
      <c r="G702" s="3">
        <v>119.027192</v>
      </c>
      <c r="H702" s="4">
        <f t="shared" si="41"/>
        <v>0.60770399999998403</v>
      </c>
      <c r="I702" s="4">
        <f t="shared" si="43"/>
        <v>8.9457079999999962</v>
      </c>
      <c r="J702" s="3">
        <v>57.95</v>
      </c>
      <c r="K702" s="3">
        <v>20</v>
      </c>
    </row>
    <row r="703" spans="1:11" x14ac:dyDescent="0.35">
      <c r="A703" s="2">
        <v>42688</v>
      </c>
      <c r="B703" s="3">
        <v>116.50150500000001</v>
      </c>
      <c r="C703" s="4">
        <f t="shared" si="40"/>
        <v>-5.7309999999986871E-2</v>
      </c>
      <c r="D703" s="4">
        <f t="shared" si="42"/>
        <v>9.137701000000007</v>
      </c>
      <c r="E703" s="3">
        <v>57.95</v>
      </c>
      <c r="F703" s="3">
        <v>20</v>
      </c>
      <c r="G703" s="3">
        <v>118.920723</v>
      </c>
      <c r="H703" s="4">
        <f t="shared" si="41"/>
        <v>-0.10646900000000414</v>
      </c>
      <c r="I703" s="4">
        <f t="shared" si="43"/>
        <v>8.6024969999999996</v>
      </c>
      <c r="J703" s="3">
        <v>57.95</v>
      </c>
      <c r="K703" s="3">
        <v>20</v>
      </c>
    </row>
    <row r="704" spans="1:11" x14ac:dyDescent="0.35">
      <c r="A704" s="2">
        <v>42695</v>
      </c>
      <c r="B704" s="3">
        <v>114.70552900000001</v>
      </c>
      <c r="C704" s="4">
        <f t="shared" si="40"/>
        <v>-1.795975999999996</v>
      </c>
      <c r="D704" s="4">
        <f t="shared" si="42"/>
        <v>7.412700000000001</v>
      </c>
      <c r="E704" s="3">
        <v>57.95</v>
      </c>
      <c r="F704" s="3">
        <v>20</v>
      </c>
      <c r="G704" s="3">
        <v>117.42147700000001</v>
      </c>
      <c r="H704" s="4">
        <f t="shared" si="41"/>
        <v>-1.4992459999999852</v>
      </c>
      <c r="I704" s="4">
        <f t="shared" si="43"/>
        <v>7.1520110000000017</v>
      </c>
      <c r="J704" s="3">
        <v>57.95</v>
      </c>
      <c r="K704" s="3">
        <v>20</v>
      </c>
    </row>
    <row r="705" spans="1:11" x14ac:dyDescent="0.35">
      <c r="A705" s="2">
        <v>42702</v>
      </c>
      <c r="B705" s="3">
        <v>113.72068700000001</v>
      </c>
      <c r="C705" s="4">
        <f t="shared" si="40"/>
        <v>-0.98484200000000044</v>
      </c>
      <c r="D705" s="4">
        <f t="shared" si="42"/>
        <v>6.754084000000006</v>
      </c>
      <c r="E705" s="3">
        <v>57.95</v>
      </c>
      <c r="F705" s="3">
        <v>20</v>
      </c>
      <c r="G705" s="3">
        <v>116.565416</v>
      </c>
      <c r="H705" s="4">
        <f t="shared" si="41"/>
        <v>-0.85606100000001106</v>
      </c>
      <c r="I705" s="4">
        <f t="shared" si="43"/>
        <v>6.5590160000000139</v>
      </c>
      <c r="J705" s="3">
        <v>57.95</v>
      </c>
      <c r="K705" s="3">
        <v>20</v>
      </c>
    </row>
    <row r="706" spans="1:11" x14ac:dyDescent="0.35">
      <c r="A706" s="2">
        <v>42709</v>
      </c>
      <c r="B706" s="3">
        <v>113.66443500000003</v>
      </c>
      <c r="C706" s="4">
        <f t="shared" si="40"/>
        <v>-5.6251999999986424E-2</v>
      </c>
      <c r="D706" s="4">
        <f t="shared" si="42"/>
        <v>6.9147350000000216</v>
      </c>
      <c r="E706" s="3">
        <v>57.95</v>
      </c>
      <c r="F706" s="3">
        <v>20</v>
      </c>
      <c r="G706" s="3">
        <v>116.75114600000001</v>
      </c>
      <c r="H706" s="4">
        <f t="shared" si="41"/>
        <v>0.18573000000000661</v>
      </c>
      <c r="I706" s="4">
        <f t="shared" si="43"/>
        <v>6.8269360000000177</v>
      </c>
      <c r="J706" s="3">
        <v>57.95</v>
      </c>
      <c r="K706" s="3">
        <v>20</v>
      </c>
    </row>
    <row r="707" spans="1:11" x14ac:dyDescent="0.35">
      <c r="A707" s="2">
        <v>42716</v>
      </c>
      <c r="B707" s="3">
        <v>114.22666000000001</v>
      </c>
      <c r="C707" s="4">
        <f t="shared" ref="C707:C770" si="44">B707-B706</f>
        <v>0.56222499999998377</v>
      </c>
      <c r="D707" s="4">
        <f t="shared" si="42"/>
        <v>10.230715000000004</v>
      </c>
      <c r="E707" s="3">
        <v>57.95</v>
      </c>
      <c r="F707" s="3">
        <v>20</v>
      </c>
      <c r="G707" s="3">
        <v>117.51436299999999</v>
      </c>
      <c r="H707" s="4">
        <f t="shared" ref="H707:H770" si="45">G707-G706</f>
        <v>0.76321699999998316</v>
      </c>
      <c r="I707" s="4">
        <f t="shared" si="43"/>
        <v>9.4405750000000097</v>
      </c>
      <c r="J707" s="3">
        <v>57.95</v>
      </c>
      <c r="K707" s="3">
        <v>20</v>
      </c>
    </row>
    <row r="708" spans="1:11" x14ac:dyDescent="0.35">
      <c r="A708" s="2">
        <v>42723</v>
      </c>
      <c r="B708" s="3">
        <v>115.000208</v>
      </c>
      <c r="C708" s="4">
        <f t="shared" si="44"/>
        <v>0.77354799999999102</v>
      </c>
      <c r="D708" s="4">
        <f t="shared" si="42"/>
        <v>12.667000999999985</v>
      </c>
      <c r="E708" s="3">
        <v>57.95</v>
      </c>
      <c r="F708" s="3">
        <v>20</v>
      </c>
      <c r="G708" s="3">
        <v>118.609262</v>
      </c>
      <c r="H708" s="4">
        <f t="shared" si="45"/>
        <v>1.0948990000000123</v>
      </c>
      <c r="I708" s="4">
        <f t="shared" si="43"/>
        <v>11.567813000000001</v>
      </c>
      <c r="J708" s="3">
        <v>57.95</v>
      </c>
      <c r="K708" s="3">
        <v>20</v>
      </c>
    </row>
    <row r="709" spans="1:11" x14ac:dyDescent="0.35">
      <c r="A709" s="2">
        <v>42730</v>
      </c>
      <c r="B709" s="3">
        <v>115.453509</v>
      </c>
      <c r="C709" s="4">
        <f t="shared" si="44"/>
        <v>0.45330099999999618</v>
      </c>
      <c r="D709" s="4">
        <f t="shared" si="42"/>
        <v>13.340264999999988</v>
      </c>
      <c r="E709" s="3">
        <v>57.95</v>
      </c>
      <c r="F709" s="3">
        <v>20</v>
      </c>
      <c r="G709" s="3">
        <v>119.029978</v>
      </c>
      <c r="H709" s="4">
        <f t="shared" si="45"/>
        <v>0.42071599999999876</v>
      </c>
      <c r="I709" s="4">
        <f t="shared" si="43"/>
        <v>12.596240999999992</v>
      </c>
      <c r="J709" s="3">
        <v>57.95</v>
      </c>
      <c r="K709" s="3">
        <v>20</v>
      </c>
    </row>
    <row r="710" spans="1:11" x14ac:dyDescent="0.35">
      <c r="A710" s="2">
        <v>42737</v>
      </c>
      <c r="B710" s="3">
        <v>117.000035</v>
      </c>
      <c r="C710" s="4">
        <f t="shared" si="44"/>
        <v>1.5465260000000001</v>
      </c>
      <c r="D710" s="4">
        <f t="shared" si="42"/>
        <v>15.002244999999988</v>
      </c>
      <c r="E710" s="3">
        <v>57.95</v>
      </c>
      <c r="F710" s="3">
        <v>20</v>
      </c>
      <c r="G710" s="3">
        <v>120.03114900000001</v>
      </c>
      <c r="H710" s="4">
        <f t="shared" si="45"/>
        <v>1.0011710000000136</v>
      </c>
      <c r="I710" s="4">
        <f t="shared" si="43"/>
        <v>13.709563000000003</v>
      </c>
      <c r="J710" s="3">
        <v>57.95</v>
      </c>
      <c r="K710" s="3">
        <v>20</v>
      </c>
    </row>
    <row r="711" spans="1:11" x14ac:dyDescent="0.35">
      <c r="A711" s="2">
        <v>42744</v>
      </c>
      <c r="B711" s="3">
        <v>117.97843300000001</v>
      </c>
      <c r="C711" s="4">
        <f t="shared" si="44"/>
        <v>0.97839800000001276</v>
      </c>
      <c r="D711" s="4">
        <f t="shared" si="42"/>
        <v>16.088643000000005</v>
      </c>
      <c r="E711" s="3">
        <v>57.95</v>
      </c>
      <c r="F711" s="3">
        <v>20</v>
      </c>
      <c r="G711" s="3">
        <v>121.30311699999999</v>
      </c>
      <c r="H711" s="4">
        <f t="shared" si="45"/>
        <v>1.2719679999999727</v>
      </c>
      <c r="I711" s="4">
        <f t="shared" si="43"/>
        <v>17.89087499999998</v>
      </c>
      <c r="J711" s="3">
        <v>57.95</v>
      </c>
      <c r="K711" s="3">
        <v>20</v>
      </c>
    </row>
    <row r="712" spans="1:11" x14ac:dyDescent="0.35">
      <c r="A712" s="2">
        <v>42751</v>
      </c>
      <c r="B712" s="3">
        <v>118.63427200000001</v>
      </c>
      <c r="C712" s="4">
        <f t="shared" si="44"/>
        <v>0.65583900000000028</v>
      </c>
      <c r="D712" s="4">
        <f t="shared" si="42"/>
        <v>16.829651000000013</v>
      </c>
      <c r="E712" s="3">
        <v>57.95</v>
      </c>
      <c r="F712" s="3">
        <v>20</v>
      </c>
      <c r="G712" s="3">
        <v>122.098974</v>
      </c>
      <c r="H712" s="4">
        <f t="shared" si="45"/>
        <v>0.79585700000001225</v>
      </c>
      <c r="I712" s="4">
        <f t="shared" si="43"/>
        <v>19.293660000000003</v>
      </c>
      <c r="J712" s="3">
        <v>57.95</v>
      </c>
      <c r="K712" s="3">
        <v>20</v>
      </c>
    </row>
    <row r="713" spans="1:11" x14ac:dyDescent="0.35">
      <c r="A713" s="2">
        <v>42758</v>
      </c>
      <c r="B713" s="3">
        <v>119.429013</v>
      </c>
      <c r="C713" s="4">
        <f t="shared" si="44"/>
        <v>0.79474099999998771</v>
      </c>
      <c r="D713" s="4">
        <f t="shared" si="42"/>
        <v>18.00550299999999</v>
      </c>
      <c r="E713" s="3">
        <v>57.95</v>
      </c>
      <c r="F713" s="3">
        <v>20</v>
      </c>
      <c r="G713" s="3">
        <v>122.74524700000001</v>
      </c>
      <c r="H713" s="4">
        <f t="shared" si="45"/>
        <v>0.64627300000000787</v>
      </c>
      <c r="I713" s="4">
        <f t="shared" si="43"/>
        <v>21.206697000000005</v>
      </c>
      <c r="J713" s="3">
        <v>57.95</v>
      </c>
      <c r="K713" s="3">
        <v>20</v>
      </c>
    </row>
    <row r="714" spans="1:11" x14ac:dyDescent="0.35">
      <c r="A714" s="2">
        <v>42765</v>
      </c>
      <c r="B714" s="3">
        <v>120.01122400000001</v>
      </c>
      <c r="C714" s="4">
        <f t="shared" si="44"/>
        <v>0.58221100000001513</v>
      </c>
      <c r="D714" s="4">
        <f t="shared" si="42"/>
        <v>18.650477000000009</v>
      </c>
      <c r="E714" s="3">
        <v>57.95</v>
      </c>
      <c r="F714" s="3">
        <v>20</v>
      </c>
      <c r="G714" s="3">
        <v>123.19443</v>
      </c>
      <c r="H714" s="4">
        <f t="shared" si="45"/>
        <v>0.44918299999999078</v>
      </c>
      <c r="I714" s="4">
        <f t="shared" si="43"/>
        <v>22.358489999999989</v>
      </c>
      <c r="J714" s="3">
        <v>57.95</v>
      </c>
      <c r="K714" s="3">
        <v>20</v>
      </c>
    </row>
    <row r="715" spans="1:11" x14ac:dyDescent="0.35">
      <c r="A715" s="2">
        <v>42772</v>
      </c>
      <c r="B715" s="3">
        <v>120.17708</v>
      </c>
      <c r="C715" s="4">
        <f t="shared" si="44"/>
        <v>0.1658559999999909</v>
      </c>
      <c r="D715" s="4">
        <f t="shared" si="42"/>
        <v>18.668089999999992</v>
      </c>
      <c r="E715" s="3">
        <v>57.95</v>
      </c>
      <c r="F715" s="3">
        <v>20</v>
      </c>
      <c r="G715" s="3">
        <v>123.24683099999999</v>
      </c>
      <c r="H715" s="4">
        <f t="shared" si="45"/>
        <v>5.240099999998904E-2</v>
      </c>
      <c r="I715" s="4">
        <f t="shared" si="43"/>
        <v>22.108484999999988</v>
      </c>
      <c r="J715" s="3">
        <v>57.95</v>
      </c>
      <c r="K715" s="3">
        <v>20</v>
      </c>
    </row>
    <row r="716" spans="1:11" x14ac:dyDescent="0.35">
      <c r="A716" s="2">
        <v>42779</v>
      </c>
      <c r="B716" s="3">
        <v>120.151674</v>
      </c>
      <c r="C716" s="4">
        <f t="shared" si="44"/>
        <v>-2.5406000000003814E-2</v>
      </c>
      <c r="D716" s="4">
        <f t="shared" si="42"/>
        <v>18.70096199999999</v>
      </c>
      <c r="E716" s="3">
        <v>57.95</v>
      </c>
      <c r="F716" s="3">
        <v>20</v>
      </c>
      <c r="G716" s="3">
        <v>123.170096</v>
      </c>
      <c r="H716" s="4">
        <f t="shared" si="45"/>
        <v>-7.6734999999985121E-2</v>
      </c>
      <c r="I716" s="4">
        <f t="shared" si="43"/>
        <v>21.955826999999999</v>
      </c>
      <c r="J716" s="3">
        <v>57.95</v>
      </c>
      <c r="K716" s="3">
        <v>20</v>
      </c>
    </row>
    <row r="717" spans="1:11" x14ac:dyDescent="0.35">
      <c r="A717" s="2">
        <v>42786</v>
      </c>
      <c r="B717" s="3">
        <v>120.19892399999999</v>
      </c>
      <c r="C717" s="4">
        <f t="shared" si="44"/>
        <v>4.7249999999991132E-2</v>
      </c>
      <c r="D717" s="4">
        <f t="shared" si="42"/>
        <v>18.807978999999989</v>
      </c>
      <c r="E717" s="3">
        <v>57.95</v>
      </c>
      <c r="F717" s="3">
        <v>20</v>
      </c>
      <c r="G717" s="3">
        <v>123.14599600000001</v>
      </c>
      <c r="H717" s="4">
        <f t="shared" si="45"/>
        <v>-2.4099999999990018E-2</v>
      </c>
      <c r="I717" s="4">
        <f t="shared" si="43"/>
        <v>22.019093000000012</v>
      </c>
      <c r="J717" s="3">
        <v>57.95</v>
      </c>
      <c r="K717" s="3">
        <v>20</v>
      </c>
    </row>
    <row r="718" spans="1:11" x14ac:dyDescent="0.35">
      <c r="A718" s="2">
        <v>42793</v>
      </c>
      <c r="B718" s="3">
        <v>120.121737</v>
      </c>
      <c r="C718" s="4">
        <f t="shared" si="44"/>
        <v>-7.718699999999501E-2</v>
      </c>
      <c r="D718" s="4">
        <f t="shared" si="42"/>
        <v>18.698297999999994</v>
      </c>
      <c r="E718" s="3">
        <v>57.95</v>
      </c>
      <c r="F718" s="3">
        <v>20</v>
      </c>
      <c r="G718" s="3">
        <v>123.05960499999999</v>
      </c>
      <c r="H718" s="4">
        <f t="shared" si="45"/>
        <v>-8.6391000000020313E-2</v>
      </c>
      <c r="I718" s="4">
        <f t="shared" si="43"/>
        <v>21.679203999999984</v>
      </c>
      <c r="J718" s="3">
        <v>57.95</v>
      </c>
      <c r="K718" s="3">
        <v>20</v>
      </c>
    </row>
    <row r="719" spans="1:11" x14ac:dyDescent="0.35">
      <c r="A719" s="2">
        <v>42800</v>
      </c>
      <c r="B719" s="3">
        <v>120.019535</v>
      </c>
      <c r="C719" s="4">
        <f t="shared" si="44"/>
        <v>-0.10220199999999124</v>
      </c>
      <c r="D719" s="4">
        <f t="shared" si="42"/>
        <v>18.556095999999997</v>
      </c>
      <c r="E719" s="3">
        <v>57.95</v>
      </c>
      <c r="F719" s="3">
        <v>20</v>
      </c>
      <c r="G719" s="3">
        <v>122.895616</v>
      </c>
      <c r="H719" s="4">
        <f t="shared" si="45"/>
        <v>-0.16398899999998662</v>
      </c>
      <c r="I719" s="4">
        <f t="shared" si="43"/>
        <v>21.221021000000007</v>
      </c>
      <c r="J719" s="3">
        <v>57.95</v>
      </c>
      <c r="K719" s="3">
        <v>20</v>
      </c>
    </row>
    <row r="720" spans="1:11" x14ac:dyDescent="0.35">
      <c r="A720" s="2">
        <v>42807</v>
      </c>
      <c r="B720" s="3">
        <v>119.802836</v>
      </c>
      <c r="C720" s="4">
        <f t="shared" si="44"/>
        <v>-0.21669900000000553</v>
      </c>
      <c r="D720" s="4">
        <f t="shared" si="42"/>
        <v>18.09613800000001</v>
      </c>
      <c r="E720" s="3">
        <v>57.95</v>
      </c>
      <c r="F720" s="3">
        <v>20</v>
      </c>
      <c r="G720" s="3">
        <v>122.76747899999998</v>
      </c>
      <c r="H720" s="4">
        <f t="shared" si="45"/>
        <v>-0.1281370000000237</v>
      </c>
      <c r="I720" s="4">
        <f t="shared" si="43"/>
        <v>20.247118999999969</v>
      </c>
      <c r="J720" s="3">
        <v>57.95</v>
      </c>
      <c r="K720" s="3">
        <v>20</v>
      </c>
    </row>
    <row r="721" spans="1:11" x14ac:dyDescent="0.35">
      <c r="A721" s="2">
        <v>42814</v>
      </c>
      <c r="B721" s="3">
        <v>118.94684700000001</v>
      </c>
      <c r="C721" s="4">
        <f t="shared" si="44"/>
        <v>-0.85598899999999389</v>
      </c>
      <c r="D721" s="4">
        <f t="shared" si="42"/>
        <v>16.367141000000004</v>
      </c>
      <c r="E721" s="3">
        <v>57.95</v>
      </c>
      <c r="F721" s="3">
        <v>20</v>
      </c>
      <c r="G721" s="3">
        <v>121.839519</v>
      </c>
      <c r="H721" s="4">
        <f t="shared" si="45"/>
        <v>-0.92795999999998457</v>
      </c>
      <c r="I721" s="4">
        <f t="shared" si="43"/>
        <v>18.199730999999986</v>
      </c>
      <c r="J721" s="3">
        <v>57.95</v>
      </c>
      <c r="K721" s="3">
        <v>20</v>
      </c>
    </row>
    <row r="722" spans="1:11" x14ac:dyDescent="0.35">
      <c r="A722" s="2">
        <v>42821</v>
      </c>
      <c r="B722" s="3">
        <v>118.02808513900001</v>
      </c>
      <c r="C722" s="4">
        <f t="shared" si="44"/>
        <v>-0.91876186099999302</v>
      </c>
      <c r="D722" s="4">
        <f t="shared" si="42"/>
        <v>14.626649139000008</v>
      </c>
      <c r="E722" s="3">
        <v>57.95</v>
      </c>
      <c r="F722" s="3">
        <v>20</v>
      </c>
      <c r="G722" s="3">
        <v>121.07811330400001</v>
      </c>
      <c r="H722" s="4">
        <f t="shared" si="45"/>
        <v>-0.76140569599998287</v>
      </c>
      <c r="I722" s="4">
        <f t="shared" si="43"/>
        <v>16.681481304000002</v>
      </c>
      <c r="J722" s="3">
        <v>57.95</v>
      </c>
      <c r="K722" s="3">
        <v>20</v>
      </c>
    </row>
    <row r="723" spans="1:11" x14ac:dyDescent="0.35">
      <c r="A723" s="2">
        <v>42828</v>
      </c>
      <c r="B723" s="3">
        <v>116.92654499999999</v>
      </c>
      <c r="C723" s="4">
        <f t="shared" si="44"/>
        <v>-1.1015401390000221</v>
      </c>
      <c r="D723" s="4">
        <f t="shared" si="42"/>
        <v>12.417516999999989</v>
      </c>
      <c r="E723" s="3">
        <v>57.95</v>
      </c>
      <c r="F723" s="3">
        <v>20</v>
      </c>
      <c r="G723" s="3">
        <v>119.91559199999999</v>
      </c>
      <c r="H723" s="4">
        <f t="shared" si="45"/>
        <v>-1.1625213040000233</v>
      </c>
      <c r="I723" s="4">
        <f t="shared" si="43"/>
        <v>14.59961899999999</v>
      </c>
      <c r="J723" s="3">
        <v>57.95</v>
      </c>
      <c r="K723" s="3">
        <v>20</v>
      </c>
    </row>
    <row r="724" spans="1:11" x14ac:dyDescent="0.35">
      <c r="A724" s="2">
        <v>42835</v>
      </c>
      <c r="B724" s="3">
        <v>117.02166</v>
      </c>
      <c r="C724" s="4">
        <f t="shared" si="44"/>
        <v>9.5115000000006944E-2</v>
      </c>
      <c r="D724" s="4">
        <f t="shared" si="42"/>
        <v>11.63108600000001</v>
      </c>
      <c r="E724" s="3">
        <v>57.95</v>
      </c>
      <c r="F724" s="3">
        <v>20</v>
      </c>
      <c r="G724" s="3">
        <v>119.97607199999999</v>
      </c>
      <c r="H724" s="4">
        <f t="shared" si="45"/>
        <v>6.0479999999998313E-2</v>
      </c>
      <c r="I724" s="4">
        <f t="shared" si="43"/>
        <v>13.997387999999987</v>
      </c>
      <c r="J724" s="3">
        <v>57.95</v>
      </c>
      <c r="K724" s="3">
        <v>20</v>
      </c>
    </row>
    <row r="725" spans="1:11" x14ac:dyDescent="0.35">
      <c r="A725" s="2">
        <v>42842</v>
      </c>
      <c r="B725" s="3">
        <v>117.53871200000002</v>
      </c>
      <c r="C725" s="4">
        <f t="shared" si="44"/>
        <v>0.51705200000002094</v>
      </c>
      <c r="D725" s="4">
        <f t="shared" si="42"/>
        <v>11.131992899000025</v>
      </c>
      <c r="E725" s="3">
        <v>57.95</v>
      </c>
      <c r="F725" s="3">
        <v>20</v>
      </c>
      <c r="G725" s="3">
        <v>120.36304</v>
      </c>
      <c r="H725" s="4">
        <f t="shared" si="45"/>
        <v>0.38696800000001019</v>
      </c>
      <c r="I725" s="4">
        <f t="shared" si="43"/>
        <v>13.392984304000009</v>
      </c>
      <c r="J725" s="3">
        <v>57.95</v>
      </c>
      <c r="K725" s="3">
        <v>20</v>
      </c>
    </row>
    <row r="726" spans="1:11" x14ac:dyDescent="0.35">
      <c r="A726" s="2">
        <v>42849</v>
      </c>
      <c r="B726" s="3">
        <v>118.14752200000001</v>
      </c>
      <c r="C726" s="4">
        <f t="shared" si="44"/>
        <v>0.60880999999999119</v>
      </c>
      <c r="D726" s="4">
        <f t="shared" si="42"/>
        <v>11.006344000000013</v>
      </c>
      <c r="E726" s="3">
        <v>57.95</v>
      </c>
      <c r="F726" s="3">
        <v>20</v>
      </c>
      <c r="G726" s="3">
        <v>120.769471</v>
      </c>
      <c r="H726" s="4">
        <f t="shared" si="45"/>
        <v>0.40643099999999777</v>
      </c>
      <c r="I726" s="4">
        <f t="shared" si="43"/>
        <v>13.097748999999993</v>
      </c>
      <c r="J726" s="3">
        <v>57.95</v>
      </c>
      <c r="K726" s="3">
        <v>20</v>
      </c>
    </row>
    <row r="727" spans="1:11" x14ac:dyDescent="0.35">
      <c r="A727" s="2">
        <v>42856</v>
      </c>
      <c r="B727" s="3">
        <v>118.08190500000001</v>
      </c>
      <c r="C727" s="4">
        <f t="shared" si="44"/>
        <v>-6.5617000000003145E-2</v>
      </c>
      <c r="D727" s="4">
        <f t="shared" si="42"/>
        <v>10.264257999999998</v>
      </c>
      <c r="E727" s="3">
        <v>57.95</v>
      </c>
      <c r="F727" s="3">
        <v>20</v>
      </c>
      <c r="G727" s="3">
        <v>120.77887400000002</v>
      </c>
      <c r="H727" s="4">
        <f t="shared" si="45"/>
        <v>9.4030000000202563E-3</v>
      </c>
      <c r="I727" s="4">
        <f t="shared" si="43"/>
        <v>12.200344000000015</v>
      </c>
      <c r="J727" s="3">
        <v>57.95</v>
      </c>
      <c r="K727" s="3">
        <v>20</v>
      </c>
    </row>
    <row r="728" spans="1:11" x14ac:dyDescent="0.35">
      <c r="A728" s="2">
        <v>42863</v>
      </c>
      <c r="B728" s="3">
        <v>117.05804500000001</v>
      </c>
      <c r="C728" s="4">
        <f t="shared" si="44"/>
        <v>-1.0238599999999991</v>
      </c>
      <c r="D728" s="4">
        <f t="shared" si="42"/>
        <v>8.8672980000000052</v>
      </c>
      <c r="E728" s="3">
        <v>57.95</v>
      </c>
      <c r="F728" s="3">
        <v>20</v>
      </c>
      <c r="G728" s="3">
        <v>119.340665</v>
      </c>
      <c r="H728" s="4">
        <f t="shared" si="45"/>
        <v>-1.4382090000000147</v>
      </c>
      <c r="I728" s="4">
        <f t="shared" si="43"/>
        <v>10.337006000000002</v>
      </c>
      <c r="J728" s="3">
        <v>57.95</v>
      </c>
      <c r="K728" s="3">
        <v>20</v>
      </c>
    </row>
    <row r="729" spans="1:11" x14ac:dyDescent="0.35">
      <c r="A729" s="2">
        <v>42870</v>
      </c>
      <c r="B729" s="3">
        <v>115.60102599999998</v>
      </c>
      <c r="C729" s="4">
        <f t="shared" si="44"/>
        <v>-1.4570190000000309</v>
      </c>
      <c r="D729" s="4">
        <f t="shared" si="42"/>
        <v>7.0728389999999735</v>
      </c>
      <c r="E729" s="3">
        <v>57.95</v>
      </c>
      <c r="F729" s="3">
        <v>20</v>
      </c>
      <c r="G729" s="3">
        <v>117.649216</v>
      </c>
      <c r="H729" s="4">
        <f t="shared" si="45"/>
        <v>-1.6914490000000058</v>
      </c>
      <c r="I729" s="4">
        <f t="shared" si="43"/>
        <v>8.3529819999999972</v>
      </c>
      <c r="J729" s="3">
        <v>57.95</v>
      </c>
      <c r="K729" s="3">
        <v>20</v>
      </c>
    </row>
    <row r="730" spans="1:11" x14ac:dyDescent="0.35">
      <c r="A730" s="2">
        <v>42877</v>
      </c>
      <c r="B730" s="3">
        <v>115.67225499999999</v>
      </c>
      <c r="C730" s="4">
        <f t="shared" si="44"/>
        <v>7.122900000001664E-2</v>
      </c>
      <c r="D730" s="4">
        <f t="shared" si="42"/>
        <v>6.549217999999982</v>
      </c>
      <c r="E730" s="3">
        <v>57.95</v>
      </c>
      <c r="F730" s="3">
        <v>20</v>
      </c>
      <c r="G730" s="3">
        <v>117.75771</v>
      </c>
      <c r="H730" s="4">
        <f t="shared" si="45"/>
        <v>0.10849400000000742</v>
      </c>
      <c r="I730" s="4">
        <f t="shared" si="43"/>
        <v>7.8527720000000159</v>
      </c>
      <c r="J730" s="3">
        <v>57.95</v>
      </c>
      <c r="K730" s="3">
        <v>20</v>
      </c>
    </row>
    <row r="731" spans="1:11" x14ac:dyDescent="0.35">
      <c r="A731" s="2">
        <v>42884</v>
      </c>
      <c r="B731" s="3">
        <v>115.79469332000001</v>
      </c>
      <c r="C731" s="4">
        <f t="shared" si="44"/>
        <v>0.12243832000001476</v>
      </c>
      <c r="D731" s="4">
        <f t="shared" si="42"/>
        <v>6.0085672780000152</v>
      </c>
      <c r="E731" s="3">
        <v>57.95</v>
      </c>
      <c r="F731" s="3">
        <v>20</v>
      </c>
      <c r="G731" s="3">
        <v>117.88009756000001</v>
      </c>
      <c r="H731" s="4">
        <f t="shared" si="45"/>
        <v>0.12238756000000706</v>
      </c>
      <c r="I731" s="4">
        <f t="shared" si="43"/>
        <v>7.1801427760000109</v>
      </c>
      <c r="J731" s="3">
        <v>57.95</v>
      </c>
      <c r="K731" s="3">
        <v>20</v>
      </c>
    </row>
    <row r="732" spans="1:11" x14ac:dyDescent="0.35">
      <c r="A732" s="2">
        <v>42891</v>
      </c>
      <c r="B732" s="3">
        <v>115.820833949</v>
      </c>
      <c r="C732" s="4">
        <f t="shared" si="44"/>
        <v>2.6140628999996807E-2</v>
      </c>
      <c r="D732" s="4">
        <f t="shared" si="42"/>
        <v>5.4185812430000055</v>
      </c>
      <c r="E732" s="3">
        <v>57.95</v>
      </c>
      <c r="F732" s="3">
        <v>20</v>
      </c>
      <c r="G732" s="3">
        <v>117.947298136</v>
      </c>
      <c r="H732" s="4">
        <f t="shared" si="45"/>
        <v>6.7200575999990519E-2</v>
      </c>
      <c r="I732" s="4">
        <f t="shared" si="43"/>
        <v>6.5199973039999861</v>
      </c>
      <c r="J732" s="3">
        <v>57.95</v>
      </c>
      <c r="K732" s="3">
        <v>20</v>
      </c>
    </row>
    <row r="733" spans="1:11" x14ac:dyDescent="0.35">
      <c r="A733" s="2">
        <v>42898</v>
      </c>
      <c r="B733" s="3">
        <v>115.69343849000001</v>
      </c>
      <c r="C733" s="4">
        <f t="shared" si="44"/>
        <v>-0.12739545899999882</v>
      </c>
      <c r="D733" s="4">
        <f t="shared" si="42"/>
        <v>4.6628354900000062</v>
      </c>
      <c r="E733" s="3">
        <v>57.95</v>
      </c>
      <c r="F733" s="3">
        <v>20</v>
      </c>
      <c r="G733" s="3">
        <v>117.760837096</v>
      </c>
      <c r="H733" s="4">
        <f t="shared" si="45"/>
        <v>-0.18646103999999752</v>
      </c>
      <c r="I733" s="4">
        <f t="shared" si="43"/>
        <v>5.7709460959999888</v>
      </c>
      <c r="J733" s="3">
        <v>57.95</v>
      </c>
      <c r="K733" s="3">
        <v>20</v>
      </c>
    </row>
    <row r="734" spans="1:11" x14ac:dyDescent="0.35">
      <c r="A734" s="2">
        <v>42905</v>
      </c>
      <c r="B734" s="3">
        <v>115.11818199999999</v>
      </c>
      <c r="C734" s="4">
        <f t="shared" si="44"/>
        <v>-0.57525649000001522</v>
      </c>
      <c r="D734" s="4">
        <f t="shared" si="42"/>
        <v>3.8956899999999877</v>
      </c>
      <c r="E734" s="3">
        <v>57.95</v>
      </c>
      <c r="F734" s="3">
        <v>20</v>
      </c>
      <c r="G734" s="3">
        <v>117.179143</v>
      </c>
      <c r="H734" s="4">
        <f t="shared" si="45"/>
        <v>-0.58169409600000677</v>
      </c>
      <c r="I734" s="4">
        <f t="shared" si="43"/>
        <v>4.8691290000000009</v>
      </c>
      <c r="J734" s="3">
        <v>57.95</v>
      </c>
      <c r="K734" s="3">
        <v>20</v>
      </c>
    </row>
    <row r="735" spans="1:11" x14ac:dyDescent="0.35">
      <c r="A735" s="2">
        <v>42912</v>
      </c>
      <c r="B735" s="3">
        <v>114.42645200000001</v>
      </c>
      <c r="C735" s="4">
        <f t="shared" si="44"/>
        <v>-0.69172999999997842</v>
      </c>
      <c r="D735" s="4">
        <f t="shared" si="42"/>
        <v>2.9835670000000079</v>
      </c>
      <c r="E735" s="3">
        <v>57.95</v>
      </c>
      <c r="F735" s="3">
        <v>20</v>
      </c>
      <c r="G735" s="3">
        <v>116.256883</v>
      </c>
      <c r="H735" s="4">
        <f t="shared" si="45"/>
        <v>-0.92225999999999431</v>
      </c>
      <c r="I735" s="4">
        <f t="shared" si="43"/>
        <v>3.6985240000000061</v>
      </c>
      <c r="J735" s="3">
        <v>57.95</v>
      </c>
      <c r="K735" s="3">
        <v>20</v>
      </c>
    </row>
    <row r="736" spans="1:11" x14ac:dyDescent="0.35">
      <c r="A736" s="2">
        <v>42919</v>
      </c>
      <c r="B736" s="3">
        <v>113.74064700000001</v>
      </c>
      <c r="C736" s="4">
        <f t="shared" si="44"/>
        <v>-0.685805000000002</v>
      </c>
      <c r="D736" s="4">
        <f t="shared" si="42"/>
        <v>2.0915930000000031</v>
      </c>
      <c r="E736" s="3">
        <v>57.95</v>
      </c>
      <c r="F736" s="3">
        <v>20</v>
      </c>
      <c r="G736" s="3">
        <v>115.62853399999999</v>
      </c>
      <c r="H736" s="4">
        <f t="shared" si="45"/>
        <v>-0.62834900000001426</v>
      </c>
      <c r="I736" s="4">
        <f t="shared" si="43"/>
        <v>2.7699539999999985</v>
      </c>
      <c r="J736" s="3">
        <v>57.95</v>
      </c>
      <c r="K736" s="3">
        <v>20</v>
      </c>
    </row>
    <row r="737" spans="1:11" x14ac:dyDescent="0.35">
      <c r="A737" s="2">
        <v>42926</v>
      </c>
      <c r="B737" s="3">
        <v>113.577129</v>
      </c>
      <c r="C737" s="4">
        <f t="shared" si="44"/>
        <v>-0.16351800000001049</v>
      </c>
      <c r="D737" s="4">
        <f t="shared" si="42"/>
        <v>1.6822930000000156</v>
      </c>
      <c r="E737" s="3">
        <v>57.95</v>
      </c>
      <c r="F737" s="3">
        <v>20</v>
      </c>
      <c r="G737" s="3">
        <v>115.29017899999998</v>
      </c>
      <c r="H737" s="4">
        <f t="shared" si="45"/>
        <v>-0.33835500000000707</v>
      </c>
      <c r="I737" s="4">
        <f t="shared" si="43"/>
        <v>2.1981139999999755</v>
      </c>
      <c r="J737" s="3">
        <v>57.95</v>
      </c>
      <c r="K737" s="3">
        <v>20</v>
      </c>
    </row>
    <row r="738" spans="1:11" x14ac:dyDescent="0.35">
      <c r="A738" s="2">
        <v>42933</v>
      </c>
      <c r="B738" s="3">
        <v>113.88767</v>
      </c>
      <c r="C738" s="4">
        <f t="shared" si="44"/>
        <v>0.31054100000000062</v>
      </c>
      <c r="D738" s="4">
        <f t="shared" si="42"/>
        <v>1.9711510000000061</v>
      </c>
      <c r="E738" s="3">
        <v>57.95</v>
      </c>
      <c r="F738" s="3">
        <v>20</v>
      </c>
      <c r="G738" s="3">
        <v>115.58325500000001</v>
      </c>
      <c r="H738" s="4">
        <f t="shared" si="45"/>
        <v>0.29307600000002765</v>
      </c>
      <c r="I738" s="4">
        <f t="shared" si="43"/>
        <v>2.5845280000000059</v>
      </c>
      <c r="J738" s="3">
        <v>57.95</v>
      </c>
      <c r="K738" s="3">
        <v>20</v>
      </c>
    </row>
    <row r="739" spans="1:11" x14ac:dyDescent="0.35">
      <c r="A739" s="2">
        <v>42940</v>
      </c>
      <c r="B739" s="3">
        <v>113.993246</v>
      </c>
      <c r="C739" s="4">
        <f t="shared" si="44"/>
        <v>0.10557599999999923</v>
      </c>
      <c r="D739" s="4">
        <f t="shared" si="42"/>
        <v>2.3025710000000004</v>
      </c>
      <c r="E739" s="3">
        <v>57.95</v>
      </c>
      <c r="F739" s="3">
        <v>20</v>
      </c>
      <c r="G739" s="3">
        <v>115.72938499999999</v>
      </c>
      <c r="H739" s="4">
        <f t="shared" si="45"/>
        <v>0.14612999999998522</v>
      </c>
      <c r="I739" s="4">
        <f t="shared" si="43"/>
        <v>2.8358089999999834</v>
      </c>
      <c r="J739" s="3">
        <v>57.95</v>
      </c>
      <c r="K739" s="3">
        <v>20</v>
      </c>
    </row>
    <row r="740" spans="1:11" x14ac:dyDescent="0.35">
      <c r="A740" s="2">
        <v>42947</v>
      </c>
      <c r="B740" s="3">
        <v>114.16122700000001</v>
      </c>
      <c r="C740" s="4">
        <f t="shared" si="44"/>
        <v>0.1679810000000117</v>
      </c>
      <c r="D740" s="4">
        <f t="shared" si="42"/>
        <v>3.1158920000000165</v>
      </c>
      <c r="E740" s="3">
        <v>57.95</v>
      </c>
      <c r="F740" s="3">
        <v>20</v>
      </c>
      <c r="G740" s="3">
        <v>115.98929800000001</v>
      </c>
      <c r="H740" s="4">
        <f t="shared" si="45"/>
        <v>0.25991300000001161</v>
      </c>
      <c r="I740" s="4">
        <f t="shared" si="43"/>
        <v>3.5636680000000069</v>
      </c>
      <c r="J740" s="3">
        <v>57.95</v>
      </c>
      <c r="K740" s="3">
        <v>20</v>
      </c>
    </row>
    <row r="741" spans="1:11" x14ac:dyDescent="0.35">
      <c r="A741" s="2">
        <v>42954</v>
      </c>
      <c r="B741" s="3">
        <v>114.78238599999999</v>
      </c>
      <c r="C741" s="4">
        <f t="shared" si="44"/>
        <v>0.62115899999997737</v>
      </c>
      <c r="D741" s="4">
        <f t="shared" si="42"/>
        <v>5.0338429999999761</v>
      </c>
      <c r="E741" s="3">
        <v>57.95</v>
      </c>
      <c r="F741" s="3">
        <v>20</v>
      </c>
      <c r="G741" s="3">
        <v>116.64198000000002</v>
      </c>
      <c r="H741" s="4">
        <f t="shared" si="45"/>
        <v>0.65268200000001286</v>
      </c>
      <c r="I741" s="4">
        <f t="shared" si="43"/>
        <v>5.2375780000000134</v>
      </c>
      <c r="J741" s="3">
        <v>57.95</v>
      </c>
      <c r="K741" s="3">
        <v>20</v>
      </c>
    </row>
    <row r="742" spans="1:11" x14ac:dyDescent="0.35">
      <c r="A742" s="2">
        <v>42961</v>
      </c>
      <c r="B742" s="3">
        <v>115.525835</v>
      </c>
      <c r="C742" s="4">
        <f t="shared" si="44"/>
        <v>0.74344900000001246</v>
      </c>
      <c r="D742" s="4">
        <f t="shared" si="42"/>
        <v>6.2492069999999984</v>
      </c>
      <c r="E742" s="3">
        <v>57.95</v>
      </c>
      <c r="F742" s="3">
        <v>20</v>
      </c>
      <c r="G742" s="3">
        <v>117.42689699999998</v>
      </c>
      <c r="H742" s="4">
        <f t="shared" si="45"/>
        <v>0.78491699999996456</v>
      </c>
      <c r="I742" s="4">
        <f t="shared" si="43"/>
        <v>6.4083269999999715</v>
      </c>
      <c r="J742" s="3">
        <v>57.95</v>
      </c>
      <c r="K742" s="3">
        <v>20</v>
      </c>
    </row>
    <row r="743" spans="1:11" x14ac:dyDescent="0.35">
      <c r="A743" s="2">
        <v>42968</v>
      </c>
      <c r="B743" s="3">
        <v>116.04348000000002</v>
      </c>
      <c r="C743" s="4">
        <f t="shared" si="44"/>
        <v>0.5176450000000159</v>
      </c>
      <c r="D743" s="4">
        <f t="shared" si="42"/>
        <v>6.4089170000000166</v>
      </c>
      <c r="E743" s="3">
        <v>57.95</v>
      </c>
      <c r="F743" s="3">
        <v>20</v>
      </c>
      <c r="G743" s="3">
        <v>118.046673</v>
      </c>
      <c r="H743" s="4">
        <f t="shared" si="45"/>
        <v>0.61977600000001587</v>
      </c>
      <c r="I743" s="4">
        <f t="shared" si="43"/>
        <v>6.3405589999999989</v>
      </c>
      <c r="J743" s="3">
        <v>57.95</v>
      </c>
      <c r="K743" s="3">
        <v>20</v>
      </c>
    </row>
    <row r="744" spans="1:11" x14ac:dyDescent="0.35">
      <c r="A744" s="2">
        <v>42975</v>
      </c>
      <c r="B744" s="3">
        <v>116.40229699999998</v>
      </c>
      <c r="C744" s="4">
        <f t="shared" si="44"/>
        <v>0.35881699999995931</v>
      </c>
      <c r="D744" s="4">
        <f t="shared" si="42"/>
        <v>5.9695999999999856</v>
      </c>
      <c r="E744" s="3">
        <v>57.95</v>
      </c>
      <c r="F744" s="3">
        <v>20</v>
      </c>
      <c r="G744" s="3">
        <v>118.241035</v>
      </c>
      <c r="H744" s="4">
        <f t="shared" si="45"/>
        <v>0.19436199999999815</v>
      </c>
      <c r="I744" s="4">
        <f t="shared" si="43"/>
        <v>5.6918889999999891</v>
      </c>
      <c r="J744" s="3">
        <v>57.95</v>
      </c>
      <c r="K744" s="3">
        <v>20</v>
      </c>
    </row>
    <row r="745" spans="1:11" x14ac:dyDescent="0.35">
      <c r="A745" s="2">
        <v>42982</v>
      </c>
      <c r="B745" s="3">
        <v>116.951427</v>
      </c>
      <c r="C745" s="4">
        <f t="shared" si="44"/>
        <v>0.54913000000001944</v>
      </c>
      <c r="D745" s="4">
        <f t="shared" si="42"/>
        <v>5.9805619999999919</v>
      </c>
      <c r="E745" s="3">
        <v>57.95</v>
      </c>
      <c r="F745" s="3">
        <v>20</v>
      </c>
      <c r="G745" s="3">
        <v>118.77000200000001</v>
      </c>
      <c r="H745" s="4">
        <f t="shared" si="45"/>
        <v>0.52896700000000862</v>
      </c>
      <c r="I745" s="4">
        <f t="shared" si="43"/>
        <v>5.6688950000000204</v>
      </c>
      <c r="J745" s="3">
        <v>57.95</v>
      </c>
      <c r="K745" s="3">
        <v>20</v>
      </c>
    </row>
    <row r="746" spans="1:11" x14ac:dyDescent="0.35">
      <c r="A746" s="2">
        <v>42989</v>
      </c>
      <c r="B746" s="3">
        <v>118.14317700000001</v>
      </c>
      <c r="C746" s="4">
        <f t="shared" si="44"/>
        <v>1.1917500000000132</v>
      </c>
      <c r="D746" s="4">
        <f t="shared" si="42"/>
        <v>6.8305679999999995</v>
      </c>
      <c r="E746" s="3">
        <v>57.95</v>
      </c>
      <c r="F746" s="3">
        <v>20</v>
      </c>
      <c r="G746" s="3">
        <v>119.938896</v>
      </c>
      <c r="H746" s="4">
        <f t="shared" si="45"/>
        <v>1.1688939999999945</v>
      </c>
      <c r="I746" s="4">
        <f t="shared" si="43"/>
        <v>6.5191839999999956</v>
      </c>
      <c r="J746" s="3">
        <v>57.95</v>
      </c>
      <c r="K746" s="3">
        <v>20</v>
      </c>
    </row>
    <row r="747" spans="1:11" x14ac:dyDescent="0.35">
      <c r="A747" s="2">
        <v>42996</v>
      </c>
      <c r="B747" s="3">
        <v>118.852492</v>
      </c>
      <c r="C747" s="4">
        <f t="shared" si="44"/>
        <v>0.70931499999998948</v>
      </c>
      <c r="D747" s="4">
        <f t="shared" si="42"/>
        <v>7.56673069</v>
      </c>
      <c r="E747" s="3">
        <v>57.95</v>
      </c>
      <c r="F747" s="3">
        <v>20</v>
      </c>
      <c r="G747" s="3">
        <v>120.59087299999999</v>
      </c>
      <c r="H747" s="4">
        <f t="shared" si="45"/>
        <v>0.65197699999998804</v>
      </c>
      <c r="I747" s="4">
        <f t="shared" si="43"/>
        <v>7.3655542240000074</v>
      </c>
      <c r="J747" s="3">
        <v>57.95</v>
      </c>
      <c r="K747" s="3">
        <v>20</v>
      </c>
    </row>
    <row r="748" spans="1:11" x14ac:dyDescent="0.35">
      <c r="A748" s="2">
        <v>43003</v>
      </c>
      <c r="B748" s="3">
        <v>118.86908100000001</v>
      </c>
      <c r="C748" s="4">
        <f t="shared" si="44"/>
        <v>1.6589000000010401E-2</v>
      </c>
      <c r="D748" s="4">
        <f t="shared" si="42"/>
        <v>7.5056071499999888</v>
      </c>
      <c r="E748" s="3">
        <v>57.95</v>
      </c>
      <c r="F748" s="3">
        <v>20</v>
      </c>
      <c r="G748" s="3">
        <v>120.91586700000001</v>
      </c>
      <c r="H748" s="4">
        <f t="shared" si="45"/>
        <v>0.32499400000001799</v>
      </c>
      <c r="I748" s="4">
        <f t="shared" si="43"/>
        <v>7.5408212320000132</v>
      </c>
      <c r="J748" s="3">
        <v>57.95</v>
      </c>
      <c r="K748" s="3">
        <v>20</v>
      </c>
    </row>
    <row r="749" spans="1:11" x14ac:dyDescent="0.35">
      <c r="A749" s="2">
        <v>43010</v>
      </c>
      <c r="B749" s="3">
        <v>118.13314399999999</v>
      </c>
      <c r="C749" s="4">
        <f t="shared" si="44"/>
        <v>-0.73593700000002116</v>
      </c>
      <c r="D749" s="4">
        <f t="shared" si="42"/>
        <v>6.4835982519999931</v>
      </c>
      <c r="E749" s="3">
        <v>57.95</v>
      </c>
      <c r="F749" s="3">
        <v>20</v>
      </c>
      <c r="G749" s="3">
        <v>120.37272200000001</v>
      </c>
      <c r="H749" s="4">
        <f t="shared" si="45"/>
        <v>-0.54314499999999555</v>
      </c>
      <c r="I749" s="4">
        <f t="shared" si="43"/>
        <v>6.6659824800000109</v>
      </c>
      <c r="J749" s="3">
        <v>57.95</v>
      </c>
      <c r="K749" s="3">
        <v>20</v>
      </c>
    </row>
    <row r="750" spans="1:11" x14ac:dyDescent="0.35">
      <c r="A750" s="2">
        <v>43017</v>
      </c>
      <c r="B750" s="3">
        <v>117.161768</v>
      </c>
      <c r="C750" s="4">
        <f t="shared" si="44"/>
        <v>-0.97137599999999225</v>
      </c>
      <c r="D750" s="4">
        <f t="shared" si="42"/>
        <v>4.8119069999999766</v>
      </c>
      <c r="E750" s="3">
        <v>57.95</v>
      </c>
      <c r="F750" s="3">
        <v>20</v>
      </c>
      <c r="G750" s="3">
        <v>120.51028300000002</v>
      </c>
      <c r="H750" s="4">
        <f t="shared" si="45"/>
        <v>0.13756100000000515</v>
      </c>
      <c r="I750" s="4">
        <f t="shared" si="43"/>
        <v>6.1069200000000166</v>
      </c>
      <c r="J750" s="3">
        <v>57.95</v>
      </c>
      <c r="K750" s="3">
        <v>20</v>
      </c>
    </row>
    <row r="751" spans="1:11" x14ac:dyDescent="0.35">
      <c r="A751" s="2">
        <v>43024</v>
      </c>
      <c r="B751" s="3">
        <v>117.00831112</v>
      </c>
      <c r="C751" s="4">
        <f t="shared" si="44"/>
        <v>-0.15345687999999313</v>
      </c>
      <c r="D751" s="4">
        <f t="shared" si="42"/>
        <v>3.2871571200000034</v>
      </c>
      <c r="E751" s="3">
        <v>57.95</v>
      </c>
      <c r="F751" s="3">
        <v>20</v>
      </c>
      <c r="G751" s="3">
        <v>120.41775072</v>
      </c>
      <c r="H751" s="4">
        <f t="shared" si="45"/>
        <v>-9.2532280000014566E-2</v>
      </c>
      <c r="I751" s="4">
        <f t="shared" si="43"/>
        <v>4.4218727199999961</v>
      </c>
      <c r="J751" s="3">
        <v>57.95</v>
      </c>
      <c r="K751" s="3">
        <v>20</v>
      </c>
    </row>
    <row r="752" spans="1:11" x14ac:dyDescent="0.35">
      <c r="A752" s="2">
        <v>43031</v>
      </c>
      <c r="B752" s="3">
        <v>117.044503789</v>
      </c>
      <c r="C752" s="4">
        <f t="shared" si="44"/>
        <v>3.6192669000001843E-2</v>
      </c>
      <c r="D752" s="4">
        <f t="shared" si="42"/>
        <v>1.8453497889999966</v>
      </c>
      <c r="E752" s="3">
        <v>57.95</v>
      </c>
      <c r="F752" s="3">
        <v>20</v>
      </c>
      <c r="G752" s="3">
        <v>120.65185460800001</v>
      </c>
      <c r="H752" s="4">
        <f t="shared" si="45"/>
        <v>0.23410388800000703</v>
      </c>
      <c r="I752" s="4">
        <f t="shared" si="43"/>
        <v>2.9527796080000002</v>
      </c>
      <c r="J752" s="3">
        <v>57.95</v>
      </c>
      <c r="K752" s="3">
        <v>20</v>
      </c>
    </row>
    <row r="753" spans="1:11" x14ac:dyDescent="0.35">
      <c r="A753" s="2">
        <v>43038</v>
      </c>
      <c r="B753" s="3">
        <v>117.05967799999999</v>
      </c>
      <c r="C753" s="4">
        <f t="shared" si="44"/>
        <v>1.5174210999987281E-2</v>
      </c>
      <c r="D753" s="4">
        <f t="shared" si="42"/>
        <v>1.0374239999999872</v>
      </c>
      <c r="E753" s="3">
        <v>57.95</v>
      </c>
      <c r="F753" s="3">
        <v>20</v>
      </c>
      <c r="G753" s="3">
        <v>120.63110500000001</v>
      </c>
      <c r="H753" s="4">
        <f t="shared" si="45"/>
        <v>-2.0749608000002695E-2</v>
      </c>
      <c r="I753" s="4">
        <f t="shared" si="43"/>
        <v>2.2116169999999897</v>
      </c>
      <c r="J753" s="3">
        <v>57.95</v>
      </c>
      <c r="K753" s="3">
        <v>20</v>
      </c>
    </row>
    <row r="754" spans="1:11" x14ac:dyDescent="0.35">
      <c r="A754" s="2">
        <v>43045</v>
      </c>
      <c r="B754" s="3">
        <v>117.574798</v>
      </c>
      <c r="C754" s="4">
        <f t="shared" si="44"/>
        <v>0.51512000000001024</v>
      </c>
      <c r="D754" s="4">
        <f t="shared" si="42"/>
        <v>1.0159830000000056</v>
      </c>
      <c r="E754" s="3">
        <v>57.95</v>
      </c>
      <c r="F754" s="3">
        <v>20</v>
      </c>
      <c r="G754" s="3">
        <v>121.270748</v>
      </c>
      <c r="H754" s="4">
        <f t="shared" si="45"/>
        <v>0.63964299999999241</v>
      </c>
      <c r="I754" s="4">
        <f t="shared" si="43"/>
        <v>2.2435559999999981</v>
      </c>
      <c r="J754" s="3">
        <v>57.95</v>
      </c>
      <c r="K754" s="3">
        <v>20</v>
      </c>
    </row>
    <row r="755" spans="1:11" x14ac:dyDescent="0.35">
      <c r="A755" s="2">
        <v>43052</v>
      </c>
      <c r="B755" s="3">
        <v>118.91045799999999</v>
      </c>
      <c r="C755" s="4">
        <f t="shared" si="44"/>
        <v>1.3356599999999901</v>
      </c>
      <c r="D755" s="4">
        <f t="shared" si="42"/>
        <v>2.4089529999999826</v>
      </c>
      <c r="E755" s="3">
        <v>57.95</v>
      </c>
      <c r="F755" s="3">
        <v>20</v>
      </c>
      <c r="G755" s="3">
        <v>122.69288299999999</v>
      </c>
      <c r="H755" s="4">
        <f t="shared" si="45"/>
        <v>1.4221349999999973</v>
      </c>
      <c r="I755" s="4">
        <f t="shared" si="43"/>
        <v>3.7721599999999995</v>
      </c>
      <c r="J755" s="3">
        <v>57.95</v>
      </c>
      <c r="K755" s="3">
        <v>20</v>
      </c>
    </row>
    <row r="756" spans="1:11" x14ac:dyDescent="0.35">
      <c r="A756" s="2">
        <v>43059</v>
      </c>
      <c r="B756" s="3">
        <v>119.67124500000001</v>
      </c>
      <c r="C756" s="4">
        <f t="shared" si="44"/>
        <v>0.76078700000002186</v>
      </c>
      <c r="D756" s="4">
        <f t="shared" si="42"/>
        <v>4.9657160000000005</v>
      </c>
      <c r="E756" s="3">
        <v>57.95</v>
      </c>
      <c r="F756" s="3">
        <v>20</v>
      </c>
      <c r="G756" s="3">
        <v>123.316999</v>
      </c>
      <c r="H756" s="4">
        <f t="shared" si="45"/>
        <v>0.62411600000000078</v>
      </c>
      <c r="I756" s="4">
        <f t="shared" si="43"/>
        <v>5.8955219999999855</v>
      </c>
      <c r="J756" s="3">
        <v>57.95</v>
      </c>
      <c r="K756" s="3">
        <v>20</v>
      </c>
    </row>
    <row r="757" spans="1:11" x14ac:dyDescent="0.35">
      <c r="A757" s="2">
        <v>43066</v>
      </c>
      <c r="B757" s="3">
        <v>120.12802599999999</v>
      </c>
      <c r="C757" s="4">
        <f t="shared" si="44"/>
        <v>0.45678099999997812</v>
      </c>
      <c r="D757" s="4">
        <f t="shared" si="42"/>
        <v>6.407338999999979</v>
      </c>
      <c r="E757" s="3">
        <v>57.95</v>
      </c>
      <c r="F757" s="3">
        <v>20</v>
      </c>
      <c r="G757" s="3">
        <v>123.79218900000001</v>
      </c>
      <c r="H757" s="4">
        <f t="shared" si="45"/>
        <v>0.47519000000001199</v>
      </c>
      <c r="I757" s="4">
        <f t="shared" si="43"/>
        <v>7.2267730000000086</v>
      </c>
      <c r="J757" s="3">
        <v>57.95</v>
      </c>
      <c r="K757" s="3">
        <v>20</v>
      </c>
    </row>
    <row r="758" spans="1:11" x14ac:dyDescent="0.35">
      <c r="A758" s="2">
        <v>43073</v>
      </c>
      <c r="B758" s="3">
        <v>119.754926</v>
      </c>
      <c r="C758" s="4">
        <f t="shared" si="44"/>
        <v>-0.37309999999999377</v>
      </c>
      <c r="D758" s="4">
        <f t="shared" si="42"/>
        <v>6.0904909999999717</v>
      </c>
      <c r="E758" s="3">
        <v>57.95</v>
      </c>
      <c r="F758" s="3">
        <v>20</v>
      </c>
      <c r="G758" s="3">
        <v>123.20770900000002</v>
      </c>
      <c r="H758" s="4">
        <f t="shared" si="45"/>
        <v>-0.58447999999998501</v>
      </c>
      <c r="I758" s="4">
        <f t="shared" si="43"/>
        <v>6.4565630000000169</v>
      </c>
      <c r="J758" s="3">
        <v>57.95</v>
      </c>
      <c r="K758" s="3">
        <v>20</v>
      </c>
    </row>
    <row r="759" spans="1:11" x14ac:dyDescent="0.35">
      <c r="A759" s="2">
        <v>43080</v>
      </c>
      <c r="B759" s="3">
        <v>119.905991</v>
      </c>
      <c r="C759" s="4">
        <f t="shared" si="44"/>
        <v>0.15106500000000267</v>
      </c>
      <c r="D759" s="4">
        <f t="shared" ref="D759:D822" si="46">B759-B707</f>
        <v>5.6793309999999906</v>
      </c>
      <c r="E759" s="3">
        <v>57.95</v>
      </c>
      <c r="F759" s="3">
        <v>20</v>
      </c>
      <c r="G759" s="3">
        <v>123.693477</v>
      </c>
      <c r="H759" s="4">
        <f t="shared" si="45"/>
        <v>0.48576799999997888</v>
      </c>
      <c r="I759" s="4">
        <f t="shared" ref="I759:I822" si="47">G759-G707</f>
        <v>6.1791140000000127</v>
      </c>
      <c r="J759" s="3">
        <v>57.95</v>
      </c>
      <c r="K759" s="3">
        <v>20</v>
      </c>
    </row>
    <row r="760" spans="1:11" x14ac:dyDescent="0.35">
      <c r="A760" s="2">
        <v>43087</v>
      </c>
      <c r="B760" s="3">
        <v>119.97797800000001</v>
      </c>
      <c r="C760" s="4">
        <f t="shared" si="44"/>
        <v>7.1987000000007129E-2</v>
      </c>
      <c r="D760" s="4">
        <f t="shared" si="46"/>
        <v>4.9777700000000067</v>
      </c>
      <c r="E760" s="3">
        <v>57.95</v>
      </c>
      <c r="F760" s="3">
        <v>20</v>
      </c>
      <c r="G760" s="3">
        <v>123.81079099999999</v>
      </c>
      <c r="H760" s="4">
        <f t="shared" si="45"/>
        <v>0.11731399999999326</v>
      </c>
      <c r="I760" s="4">
        <f t="shared" si="47"/>
        <v>5.2015289999999936</v>
      </c>
      <c r="J760" s="3">
        <v>57.95</v>
      </c>
      <c r="K760" s="3">
        <v>20</v>
      </c>
    </row>
    <row r="761" spans="1:11" x14ac:dyDescent="0.35">
      <c r="A761" s="2">
        <v>43094</v>
      </c>
      <c r="B761" s="3">
        <v>120.00400500000001</v>
      </c>
      <c r="C761" s="4">
        <f t="shared" si="44"/>
        <v>2.6026999999999134E-2</v>
      </c>
      <c r="D761" s="4">
        <f t="shared" si="46"/>
        <v>4.5504960000000096</v>
      </c>
      <c r="E761" s="3">
        <v>57.95</v>
      </c>
      <c r="F761" s="3">
        <v>20</v>
      </c>
      <c r="G761" s="3">
        <v>123.429379</v>
      </c>
      <c r="H761" s="4">
        <f t="shared" si="45"/>
        <v>-0.38141199999999742</v>
      </c>
      <c r="I761" s="4">
        <f t="shared" si="47"/>
        <v>4.3994009999999975</v>
      </c>
      <c r="J761" s="3">
        <v>57.95</v>
      </c>
      <c r="K761" s="3">
        <v>20</v>
      </c>
    </row>
    <row r="762" spans="1:11" x14ac:dyDescent="0.35">
      <c r="A762" s="2">
        <v>43101</v>
      </c>
      <c r="B762" s="3">
        <v>120.185446</v>
      </c>
      <c r="C762" s="4">
        <f t="shared" si="44"/>
        <v>0.18144099999999241</v>
      </c>
      <c r="D762" s="4">
        <f t="shared" si="46"/>
        <v>3.185411000000002</v>
      </c>
      <c r="E762" s="3">
        <v>57.95</v>
      </c>
      <c r="F762" s="3">
        <v>20</v>
      </c>
      <c r="G762" s="3">
        <v>123.51162099999999</v>
      </c>
      <c r="H762" s="4">
        <f t="shared" si="45"/>
        <v>8.2241999999993709E-2</v>
      </c>
      <c r="I762" s="4">
        <f t="shared" si="47"/>
        <v>3.4804719999999776</v>
      </c>
      <c r="J762" s="3">
        <v>57.95</v>
      </c>
      <c r="K762" s="3">
        <v>20</v>
      </c>
    </row>
    <row r="763" spans="1:11" x14ac:dyDescent="0.35">
      <c r="A763" s="2">
        <v>43108</v>
      </c>
      <c r="B763" s="3">
        <v>120.52207200000001</v>
      </c>
      <c r="C763" s="4">
        <f t="shared" si="44"/>
        <v>0.33662600000000964</v>
      </c>
      <c r="D763" s="4">
        <f t="shared" si="46"/>
        <v>2.5436389999999989</v>
      </c>
      <c r="E763" s="3">
        <v>57.95</v>
      </c>
      <c r="F763" s="3">
        <v>20</v>
      </c>
      <c r="G763" s="3">
        <v>123.97098400000002</v>
      </c>
      <c r="H763" s="4">
        <f t="shared" si="45"/>
        <v>0.45936300000002461</v>
      </c>
      <c r="I763" s="4">
        <f t="shared" si="47"/>
        <v>2.6678670000000295</v>
      </c>
      <c r="J763" s="3">
        <v>57.95</v>
      </c>
      <c r="K763" s="3">
        <v>20</v>
      </c>
    </row>
    <row r="764" spans="1:11" x14ac:dyDescent="0.35">
      <c r="A764" s="2">
        <v>43115</v>
      </c>
      <c r="B764" s="3">
        <v>120.96234400000002</v>
      </c>
      <c r="C764" s="4">
        <f t="shared" si="44"/>
        <v>0.44027200000000732</v>
      </c>
      <c r="D764" s="4">
        <f t="shared" si="46"/>
        <v>2.3280720000000059</v>
      </c>
      <c r="E764" s="3">
        <v>57.95</v>
      </c>
      <c r="F764" s="3">
        <v>20</v>
      </c>
      <c r="G764" s="3">
        <v>124.57901999999999</v>
      </c>
      <c r="H764" s="4">
        <f t="shared" si="45"/>
        <v>0.60803599999997004</v>
      </c>
      <c r="I764" s="4">
        <f t="shared" si="47"/>
        <v>2.4800459999999873</v>
      </c>
      <c r="J764" s="3">
        <v>57.95</v>
      </c>
      <c r="K764" s="3">
        <v>20</v>
      </c>
    </row>
    <row r="765" spans="1:11" x14ac:dyDescent="0.35">
      <c r="A765" s="2">
        <v>43122</v>
      </c>
      <c r="B765" s="3">
        <v>121.49825800000002</v>
      </c>
      <c r="C765" s="4">
        <f t="shared" si="44"/>
        <v>0.53591400000000533</v>
      </c>
      <c r="D765" s="4">
        <f t="shared" si="46"/>
        <v>2.0692450000000235</v>
      </c>
      <c r="E765" s="3">
        <v>57.95</v>
      </c>
      <c r="F765" s="3">
        <v>20</v>
      </c>
      <c r="G765" s="3">
        <v>125.067069</v>
      </c>
      <c r="H765" s="4">
        <f t="shared" si="45"/>
        <v>0.48804900000001794</v>
      </c>
      <c r="I765" s="4">
        <f t="shared" si="47"/>
        <v>2.3218219999999974</v>
      </c>
      <c r="J765" s="3">
        <v>57.95</v>
      </c>
      <c r="K765" s="3">
        <v>20</v>
      </c>
    </row>
    <row r="766" spans="1:11" x14ac:dyDescent="0.35">
      <c r="A766" s="2">
        <v>43129</v>
      </c>
      <c r="B766" s="3">
        <v>121.69471300000001</v>
      </c>
      <c r="C766" s="4">
        <f t="shared" si="44"/>
        <v>0.19645499999998606</v>
      </c>
      <c r="D766" s="4">
        <f t="shared" si="46"/>
        <v>1.6834889999999945</v>
      </c>
      <c r="E766" s="3">
        <v>57.95</v>
      </c>
      <c r="F766" s="3">
        <v>20</v>
      </c>
      <c r="G766" s="3">
        <v>125.320814</v>
      </c>
      <c r="H766" s="4">
        <f t="shared" si="45"/>
        <v>0.253744999999995</v>
      </c>
      <c r="I766" s="4">
        <f t="shared" si="47"/>
        <v>2.1263840000000016</v>
      </c>
      <c r="J766" s="3">
        <v>57.95</v>
      </c>
      <c r="K766" s="3">
        <v>20</v>
      </c>
    </row>
    <row r="767" spans="1:11" x14ac:dyDescent="0.35">
      <c r="A767" s="2">
        <v>43136</v>
      </c>
      <c r="B767" s="3">
        <v>121.727217</v>
      </c>
      <c r="C767" s="4">
        <f t="shared" si="44"/>
        <v>3.2503999999988764E-2</v>
      </c>
      <c r="D767" s="4">
        <f t="shared" si="46"/>
        <v>1.5501369999999923</v>
      </c>
      <c r="E767" s="3">
        <v>57.95</v>
      </c>
      <c r="F767" s="3">
        <v>20</v>
      </c>
      <c r="G767" s="3">
        <v>125.364497</v>
      </c>
      <c r="H767" s="4">
        <f t="shared" si="45"/>
        <v>4.3683000000001471E-2</v>
      </c>
      <c r="I767" s="4">
        <f t="shared" si="47"/>
        <v>2.117666000000014</v>
      </c>
      <c r="J767" s="3">
        <v>57.95</v>
      </c>
      <c r="K767" s="3">
        <v>20</v>
      </c>
    </row>
    <row r="768" spans="1:11" x14ac:dyDescent="0.35">
      <c r="A768" s="2">
        <v>43143</v>
      </c>
      <c r="B768" s="3">
        <v>121.58441200000001</v>
      </c>
      <c r="C768" s="4">
        <f t="shared" si="44"/>
        <v>-0.14280499999998142</v>
      </c>
      <c r="D768" s="4">
        <f t="shared" si="46"/>
        <v>1.4327380000000147</v>
      </c>
      <c r="E768" s="3">
        <v>57.95</v>
      </c>
      <c r="F768" s="3">
        <v>20</v>
      </c>
      <c r="G768" s="3">
        <v>125.01909800000001</v>
      </c>
      <c r="H768" s="4">
        <f t="shared" si="45"/>
        <v>-0.34539899999998624</v>
      </c>
      <c r="I768" s="4">
        <f t="shared" si="47"/>
        <v>1.8490020000000129</v>
      </c>
      <c r="J768" s="3">
        <v>57.95</v>
      </c>
      <c r="K768" s="3">
        <v>20</v>
      </c>
    </row>
    <row r="769" spans="1:11" x14ac:dyDescent="0.35">
      <c r="A769" s="2">
        <v>43150</v>
      </c>
      <c r="B769" s="3">
        <v>120.516921</v>
      </c>
      <c r="C769" s="4">
        <f t="shared" si="44"/>
        <v>-1.0674910000000182</v>
      </c>
      <c r="D769" s="4">
        <f t="shared" si="46"/>
        <v>0.31799700000000541</v>
      </c>
      <c r="E769" s="3">
        <v>57.95</v>
      </c>
      <c r="F769" s="3">
        <v>20</v>
      </c>
      <c r="G769" s="3">
        <v>124.181954</v>
      </c>
      <c r="H769" s="4">
        <f t="shared" si="45"/>
        <v>-0.83714400000000921</v>
      </c>
      <c r="I769" s="4">
        <f t="shared" si="47"/>
        <v>1.0359579999999937</v>
      </c>
      <c r="J769" s="3">
        <v>57.95</v>
      </c>
      <c r="K769" s="3">
        <v>20</v>
      </c>
    </row>
    <row r="770" spans="1:11" x14ac:dyDescent="0.35">
      <c r="A770" s="2">
        <v>43157</v>
      </c>
      <c r="B770" s="3">
        <v>119.55083900000001</v>
      </c>
      <c r="C770" s="4">
        <f t="shared" si="44"/>
        <v>-0.9660819999999859</v>
      </c>
      <c r="D770" s="4">
        <f t="shared" si="46"/>
        <v>-0.57089799999998547</v>
      </c>
      <c r="E770" s="3">
        <v>57.95</v>
      </c>
      <c r="F770" s="3">
        <v>20</v>
      </c>
      <c r="G770" s="3">
        <v>123.088251</v>
      </c>
      <c r="H770" s="4">
        <f t="shared" si="45"/>
        <v>-1.093703000000005</v>
      </c>
      <c r="I770" s="4">
        <f t="shared" si="47"/>
        <v>2.8646000000009053E-2</v>
      </c>
      <c r="J770" s="3">
        <v>57.95</v>
      </c>
      <c r="K770" s="3">
        <v>20</v>
      </c>
    </row>
    <row r="771" spans="1:11" x14ac:dyDescent="0.35">
      <c r="A771" s="2">
        <v>43164</v>
      </c>
      <c r="B771" s="3">
        <v>119.28533400000001</v>
      </c>
      <c r="C771" s="4">
        <f t="shared" ref="C771:C834" si="48">B771-B770</f>
        <v>-0.26550500000000454</v>
      </c>
      <c r="D771" s="4">
        <f t="shared" si="46"/>
        <v>-0.73420099999999877</v>
      </c>
      <c r="E771" s="3">
        <v>57.95</v>
      </c>
      <c r="F771" s="3">
        <v>20</v>
      </c>
      <c r="G771" s="3">
        <v>122.91853999999999</v>
      </c>
      <c r="H771" s="4">
        <f t="shared" ref="H771:H834" si="49">G771-G770</f>
        <v>-0.16971100000000661</v>
      </c>
      <c r="I771" s="4">
        <f t="shared" si="47"/>
        <v>2.2923999999989064E-2</v>
      </c>
      <c r="J771" s="3">
        <v>57.95</v>
      </c>
      <c r="K771" s="3">
        <v>20</v>
      </c>
    </row>
    <row r="772" spans="1:11" x14ac:dyDescent="0.35">
      <c r="A772" s="2">
        <v>43171</v>
      </c>
      <c r="B772" s="3">
        <v>119.11130999999999</v>
      </c>
      <c r="C772" s="4">
        <f t="shared" si="48"/>
        <v>-0.17402400000001705</v>
      </c>
      <c r="D772" s="4">
        <f t="shared" si="46"/>
        <v>-0.6915260000000103</v>
      </c>
      <c r="E772" s="3">
        <v>57.95</v>
      </c>
      <c r="F772" s="3">
        <v>20</v>
      </c>
      <c r="G772" s="3">
        <v>122.95577499999999</v>
      </c>
      <c r="H772" s="4">
        <f t="shared" si="49"/>
        <v>3.7234999999995466E-2</v>
      </c>
      <c r="I772" s="4">
        <f t="shared" si="47"/>
        <v>0.18829600000000823</v>
      </c>
      <c r="J772" s="3">
        <v>57.95</v>
      </c>
      <c r="K772" s="3">
        <v>20</v>
      </c>
    </row>
    <row r="773" spans="1:11" x14ac:dyDescent="0.35">
      <c r="A773" s="2">
        <v>43178</v>
      </c>
      <c r="B773" s="3">
        <v>119.165947</v>
      </c>
      <c r="C773" s="4">
        <f t="shared" si="48"/>
        <v>5.4637000000013813E-2</v>
      </c>
      <c r="D773" s="4">
        <f t="shared" si="46"/>
        <v>0.21909999999999741</v>
      </c>
      <c r="E773" s="3">
        <v>57.95</v>
      </c>
      <c r="F773" s="3">
        <v>20</v>
      </c>
      <c r="G773" s="3">
        <v>122.83579800000001</v>
      </c>
      <c r="H773" s="4">
        <f t="shared" si="49"/>
        <v>-0.11997699999997735</v>
      </c>
      <c r="I773" s="4">
        <f t="shared" si="47"/>
        <v>0.99627900000001546</v>
      </c>
      <c r="J773" s="3">
        <v>57.95</v>
      </c>
      <c r="K773" s="3">
        <v>20</v>
      </c>
    </row>
    <row r="774" spans="1:11" x14ac:dyDescent="0.35">
      <c r="A774" s="2">
        <v>43185</v>
      </c>
      <c r="B774" s="3">
        <v>119.22547800000001</v>
      </c>
      <c r="C774" s="4">
        <f t="shared" si="48"/>
        <v>5.9531000000006884E-2</v>
      </c>
      <c r="D774" s="4">
        <f t="shared" si="46"/>
        <v>1.1973928609999973</v>
      </c>
      <c r="E774" s="3">
        <v>57.95</v>
      </c>
      <c r="F774" s="3">
        <v>20</v>
      </c>
      <c r="G774" s="3">
        <v>122.89773199999999</v>
      </c>
      <c r="H774" s="4">
        <f t="shared" si="49"/>
        <v>6.1933999999979505E-2</v>
      </c>
      <c r="I774" s="4">
        <f t="shared" si="47"/>
        <v>1.8196186959999778</v>
      </c>
      <c r="J774" s="3">
        <v>57.95</v>
      </c>
      <c r="K774" s="3">
        <v>20</v>
      </c>
    </row>
    <row r="775" spans="1:11" x14ac:dyDescent="0.35">
      <c r="A775" s="2">
        <v>43192</v>
      </c>
      <c r="B775" s="3">
        <v>119.42798300000001</v>
      </c>
      <c r="C775" s="4">
        <f t="shared" si="48"/>
        <v>0.20250500000000216</v>
      </c>
      <c r="D775" s="4">
        <f t="shared" si="46"/>
        <v>2.5014380000000216</v>
      </c>
      <c r="E775" s="3">
        <v>57.95</v>
      </c>
      <c r="F775" s="3">
        <v>20</v>
      </c>
      <c r="G775" s="3">
        <v>123.05310900000001</v>
      </c>
      <c r="H775" s="4">
        <f t="shared" si="49"/>
        <v>0.15537700000001564</v>
      </c>
      <c r="I775" s="4">
        <f t="shared" si="47"/>
        <v>3.1375170000000168</v>
      </c>
      <c r="J775" s="3">
        <v>57.95</v>
      </c>
      <c r="K775" s="3">
        <v>20</v>
      </c>
    </row>
    <row r="776" spans="1:11" x14ac:dyDescent="0.35">
      <c r="A776" s="2">
        <v>43199</v>
      </c>
      <c r="B776" s="3">
        <v>119.96192599999999</v>
      </c>
      <c r="C776" s="4">
        <f t="shared" si="48"/>
        <v>0.53394299999997941</v>
      </c>
      <c r="D776" s="4">
        <f t="shared" si="46"/>
        <v>2.9402659999999941</v>
      </c>
      <c r="E776" s="3">
        <v>57.95</v>
      </c>
      <c r="F776" s="3">
        <v>20</v>
      </c>
      <c r="G776" s="3">
        <v>123.58152700000001</v>
      </c>
      <c r="H776" s="4">
        <f t="shared" si="49"/>
        <v>0.52841800000000205</v>
      </c>
      <c r="I776" s="4">
        <f t="shared" si="47"/>
        <v>3.6054550000000205</v>
      </c>
      <c r="J776" s="3">
        <v>57.95</v>
      </c>
      <c r="K776" s="3">
        <v>20</v>
      </c>
    </row>
    <row r="777" spans="1:11" x14ac:dyDescent="0.35">
      <c r="A777" s="2">
        <v>43206</v>
      </c>
      <c r="B777" s="3">
        <v>120.56344551000001</v>
      </c>
      <c r="C777" s="4">
        <f t="shared" si="48"/>
        <v>0.60151951000001702</v>
      </c>
      <c r="D777" s="4">
        <f t="shared" si="46"/>
        <v>3.0247335099999901</v>
      </c>
      <c r="E777" s="3">
        <v>57.95</v>
      </c>
      <c r="F777" s="3">
        <v>20</v>
      </c>
      <c r="G777" s="3">
        <v>124.28966511200001</v>
      </c>
      <c r="H777" s="4">
        <f t="shared" si="49"/>
        <v>0.70813811200000032</v>
      </c>
      <c r="I777" s="4">
        <f t="shared" si="47"/>
        <v>3.9266251120000106</v>
      </c>
      <c r="J777" s="3">
        <v>57.95</v>
      </c>
      <c r="K777" s="3">
        <v>20</v>
      </c>
    </row>
    <row r="778" spans="1:11" x14ac:dyDescent="0.35">
      <c r="A778" s="2">
        <v>43213</v>
      </c>
      <c r="B778" s="3">
        <v>121.44402841800002</v>
      </c>
      <c r="C778" s="4">
        <f t="shared" si="48"/>
        <v>0.88058290800000805</v>
      </c>
      <c r="D778" s="4">
        <f t="shared" si="46"/>
        <v>3.296506418000007</v>
      </c>
      <c r="E778" s="3">
        <v>57.95</v>
      </c>
      <c r="F778" s="3">
        <v>20</v>
      </c>
      <c r="G778" s="3">
        <v>125.387530168</v>
      </c>
      <c r="H778" s="4">
        <f t="shared" si="49"/>
        <v>1.0978650559999892</v>
      </c>
      <c r="I778" s="4">
        <f t="shared" si="47"/>
        <v>4.618059168000002</v>
      </c>
      <c r="J778" s="3">
        <v>57.95</v>
      </c>
      <c r="K778" s="3">
        <v>20</v>
      </c>
    </row>
    <row r="779" spans="1:11" x14ac:dyDescent="0.35">
      <c r="A779" s="2">
        <v>43220</v>
      </c>
      <c r="B779" s="3">
        <v>122.218777</v>
      </c>
      <c r="C779" s="4">
        <f t="shared" si="48"/>
        <v>0.77474858199998664</v>
      </c>
      <c r="D779" s="4">
        <f t="shared" si="46"/>
        <v>4.1368719999999968</v>
      </c>
      <c r="E779" s="3">
        <v>57.95</v>
      </c>
      <c r="F779" s="3">
        <v>20</v>
      </c>
      <c r="G779" s="3">
        <v>126.012658</v>
      </c>
      <c r="H779" s="4">
        <f t="shared" si="49"/>
        <v>0.62512783200000399</v>
      </c>
      <c r="I779" s="4">
        <f t="shared" si="47"/>
        <v>5.2337839999999858</v>
      </c>
      <c r="J779" s="3">
        <v>57.95</v>
      </c>
      <c r="K779" s="3">
        <v>20</v>
      </c>
    </row>
    <row r="780" spans="1:11" x14ac:dyDescent="0.35">
      <c r="A780" s="2">
        <v>43227</v>
      </c>
      <c r="B780" s="3">
        <v>123.26680999999999</v>
      </c>
      <c r="C780" s="4">
        <f t="shared" si="48"/>
        <v>1.0480329999999896</v>
      </c>
      <c r="D780" s="4">
        <f t="shared" si="46"/>
        <v>6.2087649999999854</v>
      </c>
      <c r="E780" s="3">
        <v>57.95</v>
      </c>
      <c r="F780" s="3">
        <v>20</v>
      </c>
      <c r="G780" s="3">
        <v>126.99148700000001</v>
      </c>
      <c r="H780" s="4">
        <f t="shared" si="49"/>
        <v>0.97882900000000461</v>
      </c>
      <c r="I780" s="4">
        <f t="shared" si="47"/>
        <v>7.6508220000000051</v>
      </c>
      <c r="J780" s="3">
        <v>57.95</v>
      </c>
      <c r="K780" s="3">
        <v>20</v>
      </c>
    </row>
    <row r="781" spans="1:11" x14ac:dyDescent="0.35">
      <c r="A781" s="2">
        <v>43234</v>
      </c>
      <c r="B781" s="3">
        <v>124.32063099999998</v>
      </c>
      <c r="C781" s="4">
        <f t="shared" si="48"/>
        <v>1.053820999999985</v>
      </c>
      <c r="D781" s="4">
        <f t="shared" si="46"/>
        <v>8.7196050000000014</v>
      </c>
      <c r="E781" s="3">
        <v>57.95</v>
      </c>
      <c r="F781" s="3">
        <v>20</v>
      </c>
      <c r="G781" s="3">
        <v>128.28306999999998</v>
      </c>
      <c r="H781" s="4">
        <f t="shared" si="49"/>
        <v>1.2915829999999744</v>
      </c>
      <c r="I781" s="4">
        <f t="shared" si="47"/>
        <v>10.633853999999985</v>
      </c>
      <c r="J781" s="3">
        <v>57.95</v>
      </c>
      <c r="K781" s="3">
        <v>20</v>
      </c>
    </row>
    <row r="782" spans="1:11" x14ac:dyDescent="0.35">
      <c r="A782" s="2">
        <v>43241</v>
      </c>
      <c r="B782" s="3">
        <v>125.92610000000001</v>
      </c>
      <c r="C782" s="4">
        <f t="shared" si="48"/>
        <v>1.6054690000000278</v>
      </c>
      <c r="D782" s="4">
        <f t="shared" si="46"/>
        <v>10.253845000000013</v>
      </c>
      <c r="E782" s="3">
        <v>57.95</v>
      </c>
      <c r="F782" s="3">
        <v>20</v>
      </c>
      <c r="G782" s="3">
        <v>130.03868</v>
      </c>
      <c r="H782" s="4">
        <f t="shared" si="49"/>
        <v>1.7556100000000185</v>
      </c>
      <c r="I782" s="4">
        <f t="shared" si="47"/>
        <v>12.280969999999996</v>
      </c>
      <c r="J782" s="3">
        <v>57.95</v>
      </c>
      <c r="K782" s="3">
        <v>20</v>
      </c>
    </row>
    <row r="783" spans="1:11" x14ac:dyDescent="0.35">
      <c r="A783" s="2">
        <v>43248</v>
      </c>
      <c r="B783" s="3">
        <v>127.57543233</v>
      </c>
      <c r="C783" s="4">
        <f t="shared" si="48"/>
        <v>1.6493323299999929</v>
      </c>
      <c r="D783" s="4">
        <f t="shared" si="46"/>
        <v>11.780739009999991</v>
      </c>
      <c r="E783" s="3">
        <v>57.95</v>
      </c>
      <c r="F783" s="3">
        <v>20</v>
      </c>
      <c r="G783" s="3">
        <v>131.65999488</v>
      </c>
      <c r="H783" s="4">
        <f t="shared" si="49"/>
        <v>1.6213148799999999</v>
      </c>
      <c r="I783" s="4">
        <f t="shared" si="47"/>
        <v>13.779897319999989</v>
      </c>
      <c r="J783" s="3">
        <v>57.95</v>
      </c>
      <c r="K783" s="3">
        <v>20</v>
      </c>
    </row>
    <row r="784" spans="1:11" x14ac:dyDescent="0.35">
      <c r="A784" s="2">
        <v>43255</v>
      </c>
      <c r="B784" s="3">
        <v>128.42974326300001</v>
      </c>
      <c r="C784" s="4">
        <f t="shared" si="48"/>
        <v>0.85431093300000782</v>
      </c>
      <c r="D784" s="4">
        <f t="shared" si="46"/>
        <v>12.608909314000002</v>
      </c>
      <c r="E784" s="3">
        <v>57.95</v>
      </c>
      <c r="F784" s="3">
        <v>20</v>
      </c>
      <c r="G784" s="3">
        <v>132.34200096000001</v>
      </c>
      <c r="H784" s="4">
        <f t="shared" si="49"/>
        <v>0.68200608000000784</v>
      </c>
      <c r="I784" s="4">
        <f t="shared" si="47"/>
        <v>14.394702824000007</v>
      </c>
      <c r="J784" s="3">
        <v>57.95</v>
      </c>
      <c r="K784" s="3">
        <v>20</v>
      </c>
    </row>
    <row r="785" spans="1:11" x14ac:dyDescent="0.35">
      <c r="A785" s="2">
        <v>43262</v>
      </c>
      <c r="B785" s="3">
        <v>128.60734199999999</v>
      </c>
      <c r="C785" s="4">
        <f t="shared" si="48"/>
        <v>0.17759873699998252</v>
      </c>
      <c r="D785" s="4">
        <f t="shared" si="46"/>
        <v>12.913903509999983</v>
      </c>
      <c r="E785" s="3">
        <v>57.95</v>
      </c>
      <c r="F785" s="3">
        <v>20</v>
      </c>
      <c r="G785" s="3">
        <v>132.620206</v>
      </c>
      <c r="H785" s="4">
        <f t="shared" si="49"/>
        <v>0.27820503999998891</v>
      </c>
      <c r="I785" s="4">
        <f t="shared" si="47"/>
        <v>14.859368903999993</v>
      </c>
      <c r="J785" s="3">
        <v>57.95</v>
      </c>
      <c r="K785" s="3">
        <v>20</v>
      </c>
    </row>
    <row r="786" spans="1:11" x14ac:dyDescent="0.35">
      <c r="A786" s="2">
        <v>43269</v>
      </c>
      <c r="B786" s="3">
        <v>127.924651</v>
      </c>
      <c r="C786" s="4">
        <f t="shared" si="48"/>
        <v>-0.68269099999999128</v>
      </c>
      <c r="D786" s="4">
        <f t="shared" si="46"/>
        <v>12.806469000000007</v>
      </c>
      <c r="E786" s="3">
        <v>57.95</v>
      </c>
      <c r="F786" s="3">
        <v>20</v>
      </c>
      <c r="G786" s="3">
        <v>131.983036</v>
      </c>
      <c r="H786" s="4">
        <f t="shared" si="49"/>
        <v>-0.63716999999999757</v>
      </c>
      <c r="I786" s="4">
        <f t="shared" si="47"/>
        <v>14.803893000000002</v>
      </c>
      <c r="J786" s="3">
        <v>57.95</v>
      </c>
      <c r="K786" s="3">
        <v>20</v>
      </c>
    </row>
    <row r="787" spans="1:11" x14ac:dyDescent="0.35">
      <c r="A787" s="2">
        <v>43276</v>
      </c>
      <c r="B787" s="3">
        <v>127.177041</v>
      </c>
      <c r="C787" s="4">
        <f t="shared" si="48"/>
        <v>-0.74760999999999456</v>
      </c>
      <c r="D787" s="4">
        <f t="shared" si="46"/>
        <v>12.750588999999991</v>
      </c>
      <c r="E787" s="3">
        <v>57.95</v>
      </c>
      <c r="F787" s="3">
        <v>20</v>
      </c>
      <c r="G787" s="3">
        <v>131.26603499999999</v>
      </c>
      <c r="H787" s="4">
        <f t="shared" si="49"/>
        <v>-0.71700100000001044</v>
      </c>
      <c r="I787" s="4">
        <f t="shared" si="47"/>
        <v>15.009151999999986</v>
      </c>
      <c r="J787" s="3">
        <v>57.95</v>
      </c>
      <c r="K787" s="3">
        <v>20</v>
      </c>
    </row>
    <row r="788" spans="1:11" x14ac:dyDescent="0.35">
      <c r="A788" s="2">
        <v>43283</v>
      </c>
      <c r="B788" s="3">
        <v>126.541259</v>
      </c>
      <c r="C788" s="4">
        <f t="shared" si="48"/>
        <v>-0.63578200000000606</v>
      </c>
      <c r="D788" s="4">
        <f t="shared" si="46"/>
        <v>12.800611999999987</v>
      </c>
      <c r="E788" s="3">
        <v>57.95</v>
      </c>
      <c r="F788" s="3">
        <v>20</v>
      </c>
      <c r="G788" s="3">
        <v>130.83313799999999</v>
      </c>
      <c r="H788" s="4">
        <f t="shared" si="49"/>
        <v>-0.43289699999999698</v>
      </c>
      <c r="I788" s="4">
        <f t="shared" si="47"/>
        <v>15.204604000000003</v>
      </c>
      <c r="J788" s="3">
        <v>57.95</v>
      </c>
      <c r="K788" s="3">
        <v>20</v>
      </c>
    </row>
    <row r="789" spans="1:11" x14ac:dyDescent="0.35">
      <c r="A789" s="2">
        <v>43290</v>
      </c>
      <c r="B789" s="3">
        <v>126.97262899999998</v>
      </c>
      <c r="C789" s="4">
        <f t="shared" si="48"/>
        <v>0.43136999999998693</v>
      </c>
      <c r="D789" s="4">
        <f t="shared" si="46"/>
        <v>13.395499999999984</v>
      </c>
      <c r="E789" s="3">
        <v>57.95</v>
      </c>
      <c r="F789" s="3">
        <v>20</v>
      </c>
      <c r="G789" s="3">
        <v>131.530137</v>
      </c>
      <c r="H789" s="4">
        <f t="shared" si="49"/>
        <v>0.69699900000000525</v>
      </c>
      <c r="I789" s="4">
        <f t="shared" si="47"/>
        <v>16.239958000000016</v>
      </c>
      <c r="J789" s="3">
        <v>57.95</v>
      </c>
      <c r="K789" s="3">
        <v>20</v>
      </c>
    </row>
    <row r="790" spans="1:11" x14ac:dyDescent="0.35">
      <c r="A790" s="2">
        <v>43297</v>
      </c>
      <c r="B790" s="3">
        <v>127.471738</v>
      </c>
      <c r="C790" s="4">
        <f t="shared" si="48"/>
        <v>0.49910900000001845</v>
      </c>
      <c r="D790" s="4">
        <f t="shared" si="46"/>
        <v>13.584068000000002</v>
      </c>
      <c r="E790" s="3">
        <v>57.95</v>
      </c>
      <c r="F790" s="3">
        <v>20</v>
      </c>
      <c r="G790" s="3">
        <v>131.84939800000001</v>
      </c>
      <c r="H790" s="4">
        <f t="shared" si="49"/>
        <v>0.31926100000001156</v>
      </c>
      <c r="I790" s="4">
        <f t="shared" si="47"/>
        <v>16.266143</v>
      </c>
      <c r="J790" s="3">
        <v>57.95</v>
      </c>
      <c r="K790" s="3">
        <v>20</v>
      </c>
    </row>
    <row r="791" spans="1:11" x14ac:dyDescent="0.35">
      <c r="A791" s="2">
        <v>43304</v>
      </c>
      <c r="B791" s="3">
        <v>127.50429199999999</v>
      </c>
      <c r="C791" s="4">
        <f t="shared" si="48"/>
        <v>3.2553999999990424E-2</v>
      </c>
      <c r="D791" s="4">
        <f t="shared" si="46"/>
        <v>13.511045999999993</v>
      </c>
      <c r="E791" s="3">
        <v>57.95</v>
      </c>
      <c r="F791" s="3">
        <v>20</v>
      </c>
      <c r="G791" s="3">
        <v>131.90086500000001</v>
      </c>
      <c r="H791" s="4">
        <f t="shared" si="49"/>
        <v>5.1467000000002372E-2</v>
      </c>
      <c r="I791" s="4">
        <f t="shared" si="47"/>
        <v>16.171480000000017</v>
      </c>
      <c r="J791" s="3">
        <v>57.95</v>
      </c>
      <c r="K791" s="3">
        <v>20</v>
      </c>
    </row>
    <row r="792" spans="1:11" x14ac:dyDescent="0.35">
      <c r="A792" s="2">
        <v>43311</v>
      </c>
      <c r="B792" s="3">
        <v>127.53762500000001</v>
      </c>
      <c r="C792" s="4">
        <f t="shared" si="48"/>
        <v>3.3333000000013158E-2</v>
      </c>
      <c r="D792" s="4">
        <f t="shared" si="46"/>
        <v>13.376397999999995</v>
      </c>
      <c r="E792" s="3">
        <v>57.95</v>
      </c>
      <c r="F792" s="3">
        <v>20</v>
      </c>
      <c r="G792" s="3">
        <v>131.93920199999999</v>
      </c>
      <c r="H792" s="4">
        <f t="shared" si="49"/>
        <v>3.83369999999843E-2</v>
      </c>
      <c r="I792" s="4">
        <f t="shared" si="47"/>
        <v>15.949903999999989</v>
      </c>
      <c r="J792" s="3">
        <v>57.95</v>
      </c>
      <c r="K792" s="3">
        <v>20</v>
      </c>
    </row>
    <row r="793" spans="1:11" x14ac:dyDescent="0.35">
      <c r="A793" s="2">
        <v>43318</v>
      </c>
      <c r="B793" s="3">
        <v>128.02387999999999</v>
      </c>
      <c r="C793" s="4">
        <f t="shared" si="48"/>
        <v>0.48625499999998567</v>
      </c>
      <c r="D793" s="4">
        <f t="shared" si="46"/>
        <v>13.241494000000003</v>
      </c>
      <c r="E793" s="3">
        <v>57.95</v>
      </c>
      <c r="F793" s="3">
        <v>20</v>
      </c>
      <c r="G793" s="3">
        <v>132.38832400000001</v>
      </c>
      <c r="H793" s="4">
        <f t="shared" si="49"/>
        <v>0.4491220000000169</v>
      </c>
      <c r="I793" s="4">
        <f t="shared" si="47"/>
        <v>15.746343999999993</v>
      </c>
      <c r="J793" s="3">
        <v>57.95</v>
      </c>
      <c r="K793" s="3">
        <v>20</v>
      </c>
    </row>
    <row r="794" spans="1:11" x14ac:dyDescent="0.35">
      <c r="A794" s="2">
        <v>43325</v>
      </c>
      <c r="B794" s="3">
        <v>128.39324500000001</v>
      </c>
      <c r="C794" s="4">
        <f t="shared" si="48"/>
        <v>0.36936500000001615</v>
      </c>
      <c r="D794" s="4">
        <f t="shared" si="46"/>
        <v>12.867410000000007</v>
      </c>
      <c r="E794" s="3">
        <v>57.95</v>
      </c>
      <c r="F794" s="3">
        <v>20</v>
      </c>
      <c r="G794" s="3">
        <v>132.56224400000002</v>
      </c>
      <c r="H794" s="4">
        <f t="shared" si="49"/>
        <v>0.17392000000000962</v>
      </c>
      <c r="I794" s="4">
        <f t="shared" si="47"/>
        <v>15.135347000000039</v>
      </c>
      <c r="J794" s="3">
        <v>57.95</v>
      </c>
      <c r="K794" s="3">
        <v>20</v>
      </c>
    </row>
    <row r="795" spans="1:11" x14ac:dyDescent="0.35">
      <c r="A795" s="2">
        <v>43332</v>
      </c>
      <c r="B795" s="3">
        <v>128.78913299999999</v>
      </c>
      <c r="C795" s="4">
        <f t="shared" si="48"/>
        <v>0.39588799999998514</v>
      </c>
      <c r="D795" s="4">
        <f t="shared" si="46"/>
        <v>12.745652999999976</v>
      </c>
      <c r="E795" s="3">
        <v>57.95</v>
      </c>
      <c r="F795" s="3">
        <v>20</v>
      </c>
      <c r="G795" s="3">
        <v>132.97248100000002</v>
      </c>
      <c r="H795" s="4">
        <f t="shared" si="49"/>
        <v>0.41023699999999508</v>
      </c>
      <c r="I795" s="4">
        <f t="shared" si="47"/>
        <v>14.925808000000018</v>
      </c>
      <c r="J795" s="3">
        <v>57.95</v>
      </c>
      <c r="K795" s="3">
        <v>20</v>
      </c>
    </row>
    <row r="796" spans="1:11" x14ac:dyDescent="0.35">
      <c r="A796" s="2">
        <v>43339</v>
      </c>
      <c r="B796" s="3">
        <v>129.18053699999999</v>
      </c>
      <c r="C796" s="4">
        <f t="shared" si="48"/>
        <v>0.39140399999999431</v>
      </c>
      <c r="D796" s="4">
        <f t="shared" si="46"/>
        <v>12.778240000000011</v>
      </c>
      <c r="E796" s="3">
        <v>57.95</v>
      </c>
      <c r="F796" s="3">
        <v>20</v>
      </c>
      <c r="G796" s="3">
        <v>133.20041900000001</v>
      </c>
      <c r="H796" s="4">
        <f t="shared" si="49"/>
        <v>0.22793799999999464</v>
      </c>
      <c r="I796" s="4">
        <f t="shared" si="47"/>
        <v>14.959384000000014</v>
      </c>
      <c r="J796" s="3">
        <v>57.95</v>
      </c>
      <c r="K796" s="3">
        <v>20</v>
      </c>
    </row>
    <row r="797" spans="1:11" x14ac:dyDescent="0.35">
      <c r="A797" s="2">
        <v>43346</v>
      </c>
      <c r="B797" s="3">
        <v>129.758881</v>
      </c>
      <c r="C797" s="4">
        <f t="shared" si="48"/>
        <v>0.57834400000001551</v>
      </c>
      <c r="D797" s="4">
        <f t="shared" si="46"/>
        <v>12.807454000000007</v>
      </c>
      <c r="E797" s="3">
        <v>57.95</v>
      </c>
      <c r="F797" s="3">
        <v>20</v>
      </c>
      <c r="G797" s="3">
        <v>133.66730900000002</v>
      </c>
      <c r="H797" s="4">
        <f t="shared" si="49"/>
        <v>0.46689000000000647</v>
      </c>
      <c r="I797" s="4">
        <f t="shared" si="47"/>
        <v>14.897307000000012</v>
      </c>
      <c r="J797" s="3">
        <v>57.95</v>
      </c>
      <c r="K797" s="3">
        <v>20</v>
      </c>
    </row>
    <row r="798" spans="1:11" x14ac:dyDescent="0.35">
      <c r="A798" s="2">
        <v>43353</v>
      </c>
      <c r="B798" s="3">
        <v>130.24139099999999</v>
      </c>
      <c r="C798" s="4">
        <f t="shared" si="48"/>
        <v>0.48250999999999067</v>
      </c>
      <c r="D798" s="4">
        <f t="shared" si="46"/>
        <v>12.098213999999984</v>
      </c>
      <c r="E798" s="3">
        <v>57.95</v>
      </c>
      <c r="F798" s="3">
        <v>20</v>
      </c>
      <c r="G798" s="3">
        <v>134.30754699999997</v>
      </c>
      <c r="H798" s="4">
        <f t="shared" si="49"/>
        <v>0.6402379999999539</v>
      </c>
      <c r="I798" s="4">
        <f t="shared" si="47"/>
        <v>14.368650999999971</v>
      </c>
      <c r="J798" s="3">
        <v>57.95</v>
      </c>
      <c r="K798" s="3">
        <v>20</v>
      </c>
    </row>
    <row r="799" spans="1:11" x14ac:dyDescent="0.35">
      <c r="A799" s="2">
        <v>43360</v>
      </c>
      <c r="B799" s="3">
        <v>130.59118100000001</v>
      </c>
      <c r="C799" s="4">
        <f t="shared" si="48"/>
        <v>0.34979000000001292</v>
      </c>
      <c r="D799" s="4">
        <f t="shared" si="46"/>
        <v>11.738689000000008</v>
      </c>
      <c r="E799" s="3">
        <v>57.95</v>
      </c>
      <c r="F799" s="3">
        <v>20</v>
      </c>
      <c r="G799" s="3">
        <v>134.56762000000001</v>
      </c>
      <c r="H799" s="4">
        <f t="shared" si="49"/>
        <v>0.26007300000003397</v>
      </c>
      <c r="I799" s="4">
        <f t="shared" si="47"/>
        <v>13.976747000000017</v>
      </c>
      <c r="J799" s="3">
        <v>57.95</v>
      </c>
      <c r="K799" s="3">
        <v>20</v>
      </c>
    </row>
    <row r="800" spans="1:11" x14ac:dyDescent="0.35">
      <c r="A800" s="2">
        <v>43367</v>
      </c>
      <c r="B800" s="3">
        <v>130.58930599999999</v>
      </c>
      <c r="C800" s="4">
        <f t="shared" si="48"/>
        <v>-1.8750000000125056E-3</v>
      </c>
      <c r="D800" s="4">
        <f t="shared" si="46"/>
        <v>11.720224999999985</v>
      </c>
      <c r="E800" s="3">
        <v>57.95</v>
      </c>
      <c r="F800" s="3">
        <v>20</v>
      </c>
      <c r="G800" s="3">
        <v>134.76879300000002</v>
      </c>
      <c r="H800" s="4">
        <f t="shared" si="49"/>
        <v>0.20117300000001137</v>
      </c>
      <c r="I800" s="4">
        <f t="shared" si="47"/>
        <v>13.852926000000011</v>
      </c>
      <c r="J800" s="3">
        <v>57.95</v>
      </c>
      <c r="K800" s="3">
        <v>20</v>
      </c>
    </row>
    <row r="801" spans="1:11" x14ac:dyDescent="0.35">
      <c r="A801" s="2">
        <v>43374</v>
      </c>
      <c r="B801" s="3">
        <v>129.97690618999999</v>
      </c>
      <c r="C801" s="4">
        <f t="shared" si="48"/>
        <v>-0.61239980999999943</v>
      </c>
      <c r="D801" s="4">
        <f t="shared" si="46"/>
        <v>11.843762190000007</v>
      </c>
      <c r="E801" s="3">
        <v>57.95</v>
      </c>
      <c r="F801" s="3">
        <v>20</v>
      </c>
      <c r="G801" s="3">
        <v>134.85787044</v>
      </c>
      <c r="H801" s="4">
        <f t="shared" si="49"/>
        <v>8.9077439999982744E-2</v>
      </c>
      <c r="I801" s="4">
        <f t="shared" si="47"/>
        <v>14.485148439999989</v>
      </c>
      <c r="J801" s="3">
        <v>57.95</v>
      </c>
      <c r="K801" s="3">
        <v>20</v>
      </c>
    </row>
    <row r="802" spans="1:11" x14ac:dyDescent="0.35">
      <c r="A802" s="2">
        <v>43381</v>
      </c>
      <c r="B802" s="3">
        <v>130.14655041499998</v>
      </c>
      <c r="C802" s="4">
        <f t="shared" si="48"/>
        <v>0.16964422499998477</v>
      </c>
      <c r="D802" s="4">
        <f t="shared" si="46"/>
        <v>12.984782414999984</v>
      </c>
      <c r="E802" s="3">
        <v>57.95</v>
      </c>
      <c r="F802" s="3">
        <v>20</v>
      </c>
      <c r="G802" s="3">
        <v>135.532345496</v>
      </c>
      <c r="H802" s="4">
        <f t="shared" si="49"/>
        <v>0.67447505600000568</v>
      </c>
      <c r="I802" s="4">
        <f t="shared" si="47"/>
        <v>15.02206249599999</v>
      </c>
      <c r="J802" s="3">
        <v>57.95</v>
      </c>
      <c r="K802" s="3">
        <v>20</v>
      </c>
    </row>
    <row r="803" spans="1:11" x14ac:dyDescent="0.35">
      <c r="A803" s="2">
        <v>43388</v>
      </c>
      <c r="B803" s="3">
        <v>130.811042644</v>
      </c>
      <c r="C803" s="4">
        <f t="shared" si="48"/>
        <v>0.66449222900001814</v>
      </c>
      <c r="D803" s="4">
        <f t="shared" si="46"/>
        <v>13.802731523999995</v>
      </c>
      <c r="E803" s="3">
        <v>57.95</v>
      </c>
      <c r="F803" s="3">
        <v>20</v>
      </c>
      <c r="G803" s="3">
        <v>136.627661112</v>
      </c>
      <c r="H803" s="4">
        <f t="shared" si="49"/>
        <v>1.0953156159999935</v>
      </c>
      <c r="I803" s="4">
        <f t="shared" si="47"/>
        <v>16.209910391999998</v>
      </c>
      <c r="J803" s="3">
        <v>57.95</v>
      </c>
      <c r="K803" s="3">
        <v>20</v>
      </c>
    </row>
    <row r="804" spans="1:11" x14ac:dyDescent="0.35">
      <c r="A804" s="2">
        <v>43395</v>
      </c>
      <c r="B804" s="3">
        <v>130.98051899999999</v>
      </c>
      <c r="C804" s="4">
        <f t="shared" si="48"/>
        <v>0.16947635599998989</v>
      </c>
      <c r="D804" s="4">
        <f t="shared" si="46"/>
        <v>13.936015210999983</v>
      </c>
      <c r="E804" s="3">
        <v>57.95</v>
      </c>
      <c r="F804" s="3">
        <v>20</v>
      </c>
      <c r="G804" s="3">
        <v>136.926725</v>
      </c>
      <c r="H804" s="4">
        <f t="shared" si="49"/>
        <v>0.29906388800000627</v>
      </c>
      <c r="I804" s="4">
        <f t="shared" si="47"/>
        <v>16.274870391999997</v>
      </c>
      <c r="J804" s="3">
        <v>57.95</v>
      </c>
      <c r="K804" s="3">
        <v>20</v>
      </c>
    </row>
    <row r="805" spans="1:11" x14ac:dyDescent="0.35">
      <c r="A805" s="2">
        <v>43402</v>
      </c>
      <c r="B805" s="3">
        <v>130.64254199999999</v>
      </c>
      <c r="C805" s="4">
        <f t="shared" si="48"/>
        <v>-0.33797699999999509</v>
      </c>
      <c r="D805" s="4">
        <f t="shared" si="46"/>
        <v>13.582864000000001</v>
      </c>
      <c r="E805" s="3">
        <v>57.95</v>
      </c>
      <c r="F805" s="3">
        <v>20</v>
      </c>
      <c r="G805" s="3">
        <v>136.99369200000001</v>
      </c>
      <c r="H805" s="4">
        <f t="shared" si="49"/>
        <v>6.6967000000005328E-2</v>
      </c>
      <c r="I805" s="4">
        <f t="shared" si="47"/>
        <v>16.362587000000005</v>
      </c>
      <c r="J805" s="3">
        <v>57.95</v>
      </c>
      <c r="K805" s="3">
        <v>20</v>
      </c>
    </row>
    <row r="806" spans="1:11" x14ac:dyDescent="0.35">
      <c r="A806" s="2">
        <v>43409</v>
      </c>
      <c r="B806" s="3">
        <v>130.10606200000001</v>
      </c>
      <c r="C806" s="4">
        <f t="shared" si="48"/>
        <v>-0.53647999999998319</v>
      </c>
      <c r="D806" s="4">
        <f t="shared" si="46"/>
        <v>12.531264000000007</v>
      </c>
      <c r="E806" s="3">
        <v>57.95</v>
      </c>
      <c r="F806" s="3">
        <v>20</v>
      </c>
      <c r="G806" s="3">
        <v>137.029427</v>
      </c>
      <c r="H806" s="4">
        <f t="shared" si="49"/>
        <v>3.5734999999988304E-2</v>
      </c>
      <c r="I806" s="4">
        <f t="shared" si="47"/>
        <v>15.758679000000001</v>
      </c>
      <c r="J806" s="3">
        <v>57.95</v>
      </c>
      <c r="K806" s="3">
        <v>20</v>
      </c>
    </row>
    <row r="807" spans="1:11" x14ac:dyDescent="0.35">
      <c r="A807" s="2">
        <v>43416</v>
      </c>
      <c r="B807" s="3">
        <v>128.93599600000002</v>
      </c>
      <c r="C807" s="4">
        <f t="shared" si="48"/>
        <v>-1.1700659999999914</v>
      </c>
      <c r="D807" s="4">
        <f t="shared" si="46"/>
        <v>10.025538000000026</v>
      </c>
      <c r="E807" s="3">
        <v>57.95</v>
      </c>
      <c r="F807" s="3">
        <v>20</v>
      </c>
      <c r="G807" s="3">
        <v>137.08407</v>
      </c>
      <c r="H807" s="4">
        <f t="shared" si="49"/>
        <v>5.4642999999998665E-2</v>
      </c>
      <c r="I807" s="4">
        <f t="shared" si="47"/>
        <v>14.391187000000002</v>
      </c>
      <c r="J807" s="3">
        <v>57.95</v>
      </c>
      <c r="K807" s="3">
        <v>20</v>
      </c>
    </row>
    <row r="808" spans="1:11" x14ac:dyDescent="0.35">
      <c r="A808" s="2">
        <v>43423</v>
      </c>
      <c r="B808" s="3">
        <v>127.39887600000002</v>
      </c>
      <c r="C808" s="4">
        <f t="shared" si="48"/>
        <v>-1.5371200000000016</v>
      </c>
      <c r="D808" s="4">
        <f t="shared" si="46"/>
        <v>7.7276310000000024</v>
      </c>
      <c r="E808" s="3">
        <v>57.95</v>
      </c>
      <c r="F808" s="3">
        <v>20</v>
      </c>
      <c r="G808" s="3">
        <v>136.38403299999999</v>
      </c>
      <c r="H808" s="4">
        <f t="shared" si="49"/>
        <v>-0.7000370000000089</v>
      </c>
      <c r="I808" s="4">
        <f t="shared" si="47"/>
        <v>13.067033999999992</v>
      </c>
      <c r="J808" s="3">
        <v>57.95</v>
      </c>
      <c r="K808" s="3">
        <v>20</v>
      </c>
    </row>
    <row r="809" spans="1:11" x14ac:dyDescent="0.35">
      <c r="A809" s="2">
        <v>43430</v>
      </c>
      <c r="B809" s="3">
        <v>125.770549</v>
      </c>
      <c r="C809" s="4">
        <f t="shared" si="48"/>
        <v>-1.628327000000013</v>
      </c>
      <c r="D809" s="4">
        <f t="shared" si="46"/>
        <v>5.6425230000000113</v>
      </c>
      <c r="E809" s="3">
        <v>57.95</v>
      </c>
      <c r="F809" s="3">
        <v>20</v>
      </c>
      <c r="G809" s="3">
        <v>135.427627</v>
      </c>
      <c r="H809" s="4">
        <f t="shared" si="49"/>
        <v>-0.95640599999998699</v>
      </c>
      <c r="I809" s="4">
        <f t="shared" si="47"/>
        <v>11.635437999999994</v>
      </c>
      <c r="J809" s="3">
        <v>57.95</v>
      </c>
      <c r="K809" s="3">
        <v>20</v>
      </c>
    </row>
    <row r="810" spans="1:11" x14ac:dyDescent="0.35">
      <c r="A810" s="2">
        <v>43437</v>
      </c>
      <c r="B810" s="3">
        <v>124.30094299999999</v>
      </c>
      <c r="C810" s="4">
        <f t="shared" si="48"/>
        <v>-1.4696060000000131</v>
      </c>
      <c r="D810" s="4">
        <f t="shared" si="46"/>
        <v>4.546016999999992</v>
      </c>
      <c r="E810" s="3">
        <v>57.95</v>
      </c>
      <c r="F810" s="3">
        <v>20</v>
      </c>
      <c r="G810" s="3">
        <v>134.3822212</v>
      </c>
      <c r="H810" s="4">
        <f t="shared" si="49"/>
        <v>-1.0454057999999975</v>
      </c>
      <c r="I810" s="4">
        <f t="shared" si="47"/>
        <v>11.174512199999981</v>
      </c>
      <c r="J810" s="3">
        <v>57.95</v>
      </c>
      <c r="K810" s="3">
        <v>20</v>
      </c>
    </row>
    <row r="811" spans="1:11" x14ac:dyDescent="0.35">
      <c r="A811" s="2">
        <v>43444</v>
      </c>
      <c r="B811" s="3">
        <v>122.36820900000001</v>
      </c>
      <c r="C811" s="4">
        <f t="shared" si="48"/>
        <v>-1.9327339999999822</v>
      </c>
      <c r="D811" s="4">
        <f t="shared" si="46"/>
        <v>2.4622180000000071</v>
      </c>
      <c r="E811" s="3">
        <v>57.95</v>
      </c>
      <c r="F811" s="3">
        <v>20</v>
      </c>
      <c r="G811" s="3">
        <v>132.50459000000001</v>
      </c>
      <c r="H811" s="4">
        <f t="shared" si="49"/>
        <v>-1.8776311999999962</v>
      </c>
      <c r="I811" s="4">
        <f t="shared" si="47"/>
        <v>8.811113000000006</v>
      </c>
      <c r="J811" s="3">
        <v>57.95</v>
      </c>
      <c r="K811" s="3">
        <v>20</v>
      </c>
    </row>
    <row r="812" spans="1:11" x14ac:dyDescent="0.35">
      <c r="A812" s="2">
        <v>43451</v>
      </c>
      <c r="B812" s="3">
        <v>121.02439699999999</v>
      </c>
      <c r="C812" s="4">
        <f t="shared" si="48"/>
        <v>-1.343812000000014</v>
      </c>
      <c r="D812" s="4">
        <f t="shared" si="46"/>
        <v>1.046418999999986</v>
      </c>
      <c r="E812" s="3">
        <v>57.95</v>
      </c>
      <c r="F812" s="3">
        <v>20</v>
      </c>
      <c r="G812" s="3">
        <v>131.259118</v>
      </c>
      <c r="H812" s="4">
        <f t="shared" si="49"/>
        <v>-1.2454720000000066</v>
      </c>
      <c r="I812" s="4">
        <f t="shared" si="47"/>
        <v>7.4483270000000061</v>
      </c>
      <c r="J812" s="3">
        <v>57.95</v>
      </c>
      <c r="K812" s="3">
        <v>20</v>
      </c>
    </row>
    <row r="813" spans="1:11" x14ac:dyDescent="0.35">
      <c r="A813" s="2">
        <v>43458</v>
      </c>
      <c r="B813" s="3">
        <v>120.61384200000001</v>
      </c>
      <c r="C813" s="4">
        <f t="shared" si="48"/>
        <v>-0.41055499999998801</v>
      </c>
      <c r="D813" s="4">
        <f t="shared" si="46"/>
        <v>0.60983699999999885</v>
      </c>
      <c r="E813" s="3">
        <v>57.95</v>
      </c>
      <c r="F813" s="3">
        <v>20</v>
      </c>
      <c r="G813" s="3">
        <v>130.90695299999999</v>
      </c>
      <c r="H813" s="4">
        <f t="shared" si="49"/>
        <v>-0.35216500000001361</v>
      </c>
      <c r="I813" s="4">
        <f t="shared" si="47"/>
        <v>7.47757399999999</v>
      </c>
      <c r="J813" s="3">
        <v>57.95</v>
      </c>
      <c r="K813" s="3">
        <v>20</v>
      </c>
    </row>
    <row r="814" spans="1:11" x14ac:dyDescent="0.35">
      <c r="A814" s="2">
        <v>43465</v>
      </c>
      <c r="B814" s="3">
        <v>120.179132</v>
      </c>
      <c r="C814" s="4">
        <f t="shared" si="48"/>
        <v>-0.4347100000000097</v>
      </c>
      <c r="D814" s="4">
        <f t="shared" si="46"/>
        <v>-6.3140000000032614E-3</v>
      </c>
      <c r="E814" s="3">
        <v>57.95</v>
      </c>
      <c r="F814" s="3">
        <v>20</v>
      </c>
      <c r="G814" s="3">
        <v>130.258599</v>
      </c>
      <c r="H814" s="4">
        <f t="shared" si="49"/>
        <v>-0.64835399999998344</v>
      </c>
      <c r="I814" s="4">
        <f t="shared" si="47"/>
        <v>6.7469780000000128</v>
      </c>
      <c r="J814" s="3">
        <v>57.95</v>
      </c>
      <c r="K814" s="3">
        <v>20</v>
      </c>
    </row>
    <row r="815" spans="1:11" x14ac:dyDescent="0.35">
      <c r="A815" s="2">
        <v>43472</v>
      </c>
      <c r="B815" s="3">
        <v>120.27482300000001</v>
      </c>
      <c r="C815" s="4">
        <f t="shared" si="48"/>
        <v>9.5691000000016402E-2</v>
      </c>
      <c r="D815" s="4">
        <f t="shared" si="46"/>
        <v>-0.2472489999999965</v>
      </c>
      <c r="E815" s="3">
        <v>57.95</v>
      </c>
      <c r="F815" s="3">
        <v>20</v>
      </c>
      <c r="G815" s="3">
        <v>130.32910800000002</v>
      </c>
      <c r="H815" s="4">
        <f t="shared" si="49"/>
        <v>7.0509000000015476E-2</v>
      </c>
      <c r="I815" s="4">
        <f t="shared" si="47"/>
        <v>6.3581240000000037</v>
      </c>
      <c r="J815" s="3">
        <v>57.95</v>
      </c>
      <c r="K815" s="3">
        <v>20</v>
      </c>
    </row>
    <row r="816" spans="1:11" x14ac:dyDescent="0.35">
      <c r="A816" s="2">
        <v>43479</v>
      </c>
      <c r="B816" s="3">
        <v>119.526061</v>
      </c>
      <c r="C816" s="4">
        <f t="shared" si="48"/>
        <v>-0.74876200000001347</v>
      </c>
      <c r="D816" s="4">
        <f t="shared" si="46"/>
        <v>-1.4362830000000173</v>
      </c>
      <c r="E816" s="3">
        <v>57.95</v>
      </c>
      <c r="F816" s="3">
        <v>20</v>
      </c>
      <c r="G816" s="3">
        <v>129.46869099999998</v>
      </c>
      <c r="H816" s="4">
        <f t="shared" si="49"/>
        <v>-0.86041700000004084</v>
      </c>
      <c r="I816" s="4">
        <f t="shared" si="47"/>
        <v>4.8896709999999928</v>
      </c>
      <c r="J816" s="3">
        <v>57.95</v>
      </c>
      <c r="K816" s="3">
        <v>20</v>
      </c>
    </row>
    <row r="817" spans="1:11" x14ac:dyDescent="0.35">
      <c r="A817" s="2">
        <v>43486</v>
      </c>
      <c r="B817" s="3">
        <v>119.12088641500002</v>
      </c>
      <c r="C817" s="4">
        <f t="shared" si="48"/>
        <v>-0.40517458499998327</v>
      </c>
      <c r="D817" s="4">
        <f t="shared" si="46"/>
        <v>-2.3773715850000059</v>
      </c>
      <c r="E817" s="3">
        <v>57.95</v>
      </c>
      <c r="F817" s="3">
        <v>20</v>
      </c>
      <c r="G817" s="3">
        <v>128.92254433600002</v>
      </c>
      <c r="H817" s="4">
        <f t="shared" si="49"/>
        <v>-0.54614666399996281</v>
      </c>
      <c r="I817" s="4">
        <f t="shared" si="47"/>
        <v>3.855475336000012</v>
      </c>
      <c r="J817" s="3">
        <v>57.95</v>
      </c>
      <c r="K817" s="3">
        <v>20</v>
      </c>
    </row>
    <row r="818" spans="1:11" x14ac:dyDescent="0.35">
      <c r="A818" s="2">
        <v>43493</v>
      </c>
      <c r="B818" s="3">
        <v>119.28875509800001</v>
      </c>
      <c r="C818" s="4">
        <f t="shared" si="48"/>
        <v>0.16786868299999469</v>
      </c>
      <c r="D818" s="4">
        <f t="shared" si="46"/>
        <v>-2.4059579019999973</v>
      </c>
      <c r="E818" s="3">
        <v>57.95</v>
      </c>
      <c r="F818" s="3">
        <v>20</v>
      </c>
      <c r="G818" s="3">
        <v>129.09685058399998</v>
      </c>
      <c r="H818" s="4">
        <f t="shared" si="49"/>
        <v>0.17430624799996508</v>
      </c>
      <c r="I818" s="4">
        <f t="shared" si="47"/>
        <v>3.7760365839999821</v>
      </c>
      <c r="J818" s="3">
        <v>57.95</v>
      </c>
      <c r="K818" s="3">
        <v>20</v>
      </c>
    </row>
    <row r="819" spans="1:11" x14ac:dyDescent="0.35">
      <c r="A819" s="2">
        <v>43500</v>
      </c>
      <c r="B819" s="3">
        <v>119.12663400000001</v>
      </c>
      <c r="C819" s="4">
        <f t="shared" si="48"/>
        <v>-0.16212109800000007</v>
      </c>
      <c r="D819" s="4">
        <f t="shared" si="46"/>
        <v>-2.6005829999999861</v>
      </c>
      <c r="E819" s="3">
        <v>57.95</v>
      </c>
      <c r="F819" s="3">
        <v>20</v>
      </c>
      <c r="G819" s="3">
        <v>129.13307699999999</v>
      </c>
      <c r="H819" s="4">
        <f t="shared" si="49"/>
        <v>3.6226416000005202E-2</v>
      </c>
      <c r="I819" s="4">
        <f t="shared" si="47"/>
        <v>3.7685799999999858</v>
      </c>
      <c r="J819" s="3">
        <v>57.95</v>
      </c>
      <c r="K819" s="3">
        <v>20</v>
      </c>
    </row>
    <row r="820" spans="1:11" x14ac:dyDescent="0.35">
      <c r="A820" s="2">
        <v>43507</v>
      </c>
      <c r="B820" s="3">
        <v>118.96756499999999</v>
      </c>
      <c r="C820" s="4">
        <f t="shared" si="48"/>
        <v>-0.15906900000001656</v>
      </c>
      <c r="D820" s="4">
        <f t="shared" si="46"/>
        <v>-2.6168470000000212</v>
      </c>
      <c r="E820" s="3">
        <v>57.95</v>
      </c>
      <c r="F820" s="3">
        <v>20</v>
      </c>
      <c r="G820" s="3">
        <v>129.17187099999998</v>
      </c>
      <c r="H820" s="4">
        <f t="shared" si="49"/>
        <v>3.8793999999995776E-2</v>
      </c>
      <c r="I820" s="4">
        <f t="shared" si="47"/>
        <v>4.1527729999999679</v>
      </c>
      <c r="J820" s="3">
        <v>57.95</v>
      </c>
      <c r="K820" s="3">
        <v>20</v>
      </c>
    </row>
    <row r="821" spans="1:11" x14ac:dyDescent="0.35">
      <c r="A821" s="2">
        <v>43514</v>
      </c>
      <c r="B821" s="3">
        <v>119.04932299999999</v>
      </c>
      <c r="C821" s="4">
        <f t="shared" si="48"/>
        <v>8.1757999999993558E-2</v>
      </c>
      <c r="D821" s="4">
        <f t="shared" si="46"/>
        <v>-1.4675980000000095</v>
      </c>
      <c r="E821" s="3">
        <v>57.95</v>
      </c>
      <c r="F821" s="3">
        <v>20</v>
      </c>
      <c r="G821" s="3">
        <v>129.232439</v>
      </c>
      <c r="H821" s="4">
        <f t="shared" si="49"/>
        <v>6.0568000000017719E-2</v>
      </c>
      <c r="I821" s="4">
        <f t="shared" si="47"/>
        <v>5.0504849999999948</v>
      </c>
      <c r="J821" s="3">
        <v>57.95</v>
      </c>
      <c r="K821" s="3">
        <v>20</v>
      </c>
    </row>
    <row r="822" spans="1:11" x14ac:dyDescent="0.35">
      <c r="A822" s="2">
        <v>43521</v>
      </c>
      <c r="B822" s="3">
        <v>119.22175799999999</v>
      </c>
      <c r="C822" s="4">
        <f t="shared" si="48"/>
        <v>0.17243500000000722</v>
      </c>
      <c r="D822" s="4">
        <f t="shared" si="46"/>
        <v>-0.32908100000001639</v>
      </c>
      <c r="E822" s="3">
        <v>57.95</v>
      </c>
      <c r="F822" s="3">
        <v>20</v>
      </c>
      <c r="G822" s="3">
        <v>129.66267300000001</v>
      </c>
      <c r="H822" s="4">
        <f t="shared" si="49"/>
        <v>0.43023400000001288</v>
      </c>
      <c r="I822" s="4">
        <f t="shared" si="47"/>
        <v>6.5744220000000126</v>
      </c>
      <c r="J822" s="3">
        <v>57.95</v>
      </c>
      <c r="K822" s="3">
        <v>20</v>
      </c>
    </row>
    <row r="823" spans="1:11" x14ac:dyDescent="0.35">
      <c r="A823" s="2">
        <v>43528</v>
      </c>
      <c r="B823" s="3">
        <v>119.720921</v>
      </c>
      <c r="C823" s="4">
        <f t="shared" si="48"/>
        <v>0.49916300000001002</v>
      </c>
      <c r="D823" s="4">
        <f t="shared" ref="D823:D886" si="50">B823-B771</f>
        <v>0.43558699999999817</v>
      </c>
      <c r="E823" s="3">
        <v>57.95</v>
      </c>
      <c r="F823" s="3">
        <v>20</v>
      </c>
      <c r="G823" s="3">
        <v>130.250911</v>
      </c>
      <c r="H823" s="4">
        <f t="shared" si="49"/>
        <v>0.58823799999998982</v>
      </c>
      <c r="I823" s="4">
        <f t="shared" ref="I823:I886" si="51">G823-G771</f>
        <v>7.3323710000000091</v>
      </c>
      <c r="J823" s="3">
        <v>57.95</v>
      </c>
      <c r="K823" s="3">
        <v>20</v>
      </c>
    </row>
    <row r="824" spans="1:11" x14ac:dyDescent="0.35">
      <c r="A824" s="2">
        <v>43535</v>
      </c>
      <c r="B824" s="3">
        <v>120.104434783</v>
      </c>
      <c r="C824" s="4">
        <f t="shared" si="48"/>
        <v>0.38351378299999794</v>
      </c>
      <c r="D824" s="4">
        <f t="shared" si="50"/>
        <v>0.99312478300001317</v>
      </c>
      <c r="E824" s="3">
        <v>57.95</v>
      </c>
      <c r="F824" s="3">
        <v>20</v>
      </c>
      <c r="G824" s="3">
        <v>130.59186642399999</v>
      </c>
      <c r="H824" s="4">
        <f t="shared" si="49"/>
        <v>0.34095542399998635</v>
      </c>
      <c r="I824" s="4">
        <f t="shared" si="51"/>
        <v>7.636091424</v>
      </c>
      <c r="J824" s="3">
        <v>57.95</v>
      </c>
      <c r="K824" s="3">
        <v>20</v>
      </c>
    </row>
    <row r="825" spans="1:11" x14ac:dyDescent="0.35">
      <c r="A825" s="2">
        <v>43542</v>
      </c>
      <c r="B825" s="3">
        <v>120.47507599999999</v>
      </c>
      <c r="C825" s="4">
        <f t="shared" si="48"/>
        <v>0.37064121699998509</v>
      </c>
      <c r="D825" s="4">
        <f t="shared" si="50"/>
        <v>1.3091289999999844</v>
      </c>
      <c r="E825" s="3">
        <v>57.95</v>
      </c>
      <c r="F825" s="3">
        <v>20</v>
      </c>
      <c r="G825" s="3">
        <v>130.85225</v>
      </c>
      <c r="H825" s="4">
        <f t="shared" si="49"/>
        <v>0.2603835760000095</v>
      </c>
      <c r="I825" s="4">
        <f t="shared" si="51"/>
        <v>8.0164519999999868</v>
      </c>
      <c r="J825" s="3">
        <v>57.95</v>
      </c>
      <c r="K825" s="3">
        <v>20</v>
      </c>
    </row>
    <row r="826" spans="1:11" x14ac:dyDescent="0.35">
      <c r="A826" s="2">
        <v>43549</v>
      </c>
      <c r="B826" s="3">
        <v>120.83399000000001</v>
      </c>
      <c r="C826" s="4">
        <f t="shared" si="48"/>
        <v>0.35891400000002704</v>
      </c>
      <c r="D826" s="4">
        <f t="shared" si="50"/>
        <v>1.6085120000000046</v>
      </c>
      <c r="E826" s="3">
        <v>57.95</v>
      </c>
      <c r="F826" s="3">
        <v>20</v>
      </c>
      <c r="G826" s="3">
        <v>131.15213199999999</v>
      </c>
      <c r="H826" s="4">
        <f t="shared" si="49"/>
        <v>0.29988199999999665</v>
      </c>
      <c r="I826" s="4">
        <f t="shared" si="51"/>
        <v>8.254400000000004</v>
      </c>
      <c r="J826" s="3">
        <v>57.95</v>
      </c>
      <c r="K826" s="3">
        <v>20</v>
      </c>
    </row>
    <row r="827" spans="1:11" x14ac:dyDescent="0.35">
      <c r="A827" s="2">
        <v>43556</v>
      </c>
      <c r="B827" s="3">
        <v>121.70400244599999</v>
      </c>
      <c r="C827" s="4">
        <f t="shared" si="48"/>
        <v>0.87001244599997563</v>
      </c>
      <c r="D827" s="4">
        <f t="shared" si="50"/>
        <v>2.2760194459999781</v>
      </c>
      <c r="E827" s="3">
        <v>57.95</v>
      </c>
      <c r="F827" s="3">
        <v>20</v>
      </c>
      <c r="G827" s="3">
        <v>131.48396620800003</v>
      </c>
      <c r="H827" s="4">
        <f t="shared" si="49"/>
        <v>0.33183420800003205</v>
      </c>
      <c r="I827" s="4">
        <f t="shared" si="51"/>
        <v>8.4308572080000204</v>
      </c>
      <c r="J827" s="3">
        <v>57.95</v>
      </c>
      <c r="K827" s="3">
        <v>20</v>
      </c>
    </row>
    <row r="828" spans="1:11" x14ac:dyDescent="0.35">
      <c r="A828" s="2">
        <v>43563</v>
      </c>
      <c r="B828" s="3">
        <v>122.664817</v>
      </c>
      <c r="C828" s="4">
        <f t="shared" si="48"/>
        <v>0.96081455400000948</v>
      </c>
      <c r="D828" s="4">
        <f t="shared" si="50"/>
        <v>2.7028910000000081</v>
      </c>
      <c r="E828" s="3">
        <v>57.95</v>
      </c>
      <c r="F828" s="3">
        <v>20</v>
      </c>
      <c r="G828" s="3">
        <v>132.08424600000001</v>
      </c>
      <c r="H828" s="4">
        <f t="shared" si="49"/>
        <v>0.60027979199998072</v>
      </c>
      <c r="I828" s="4">
        <f t="shared" si="51"/>
        <v>8.502718999999999</v>
      </c>
      <c r="J828" s="3">
        <v>57.95</v>
      </c>
      <c r="K828" s="3">
        <v>20</v>
      </c>
    </row>
    <row r="829" spans="1:11" x14ac:dyDescent="0.35">
      <c r="A829" s="2">
        <v>43570</v>
      </c>
      <c r="B829" s="3">
        <v>124.05550700000001</v>
      </c>
      <c r="C829" s="4">
        <f t="shared" si="48"/>
        <v>1.3906900000000064</v>
      </c>
      <c r="D829" s="4">
        <f t="shared" si="50"/>
        <v>3.4920614899999975</v>
      </c>
      <c r="E829" s="3">
        <v>57.95</v>
      </c>
      <c r="F829" s="3">
        <v>20</v>
      </c>
      <c r="G829" s="3">
        <v>132.96357799999998</v>
      </c>
      <c r="H829" s="4">
        <f t="shared" si="49"/>
        <v>0.87933199999997669</v>
      </c>
      <c r="I829" s="4">
        <f t="shared" si="51"/>
        <v>8.6739128879999754</v>
      </c>
      <c r="J829" s="3">
        <v>57.95</v>
      </c>
      <c r="K829" s="3">
        <v>20</v>
      </c>
    </row>
    <row r="830" spans="1:11" x14ac:dyDescent="0.35">
      <c r="A830" s="2">
        <v>43577</v>
      </c>
      <c r="B830" s="3">
        <v>125.429169</v>
      </c>
      <c r="C830" s="4">
        <f t="shared" si="48"/>
        <v>1.3736619999999959</v>
      </c>
      <c r="D830" s="4">
        <f t="shared" si="50"/>
        <v>3.9851405819999854</v>
      </c>
      <c r="E830" s="3">
        <v>57.95</v>
      </c>
      <c r="F830" s="3">
        <v>20</v>
      </c>
      <c r="G830" s="3">
        <v>133.993045</v>
      </c>
      <c r="H830" s="4">
        <f t="shared" si="49"/>
        <v>1.029467000000011</v>
      </c>
      <c r="I830" s="4">
        <f t="shared" si="51"/>
        <v>8.6055148319999972</v>
      </c>
      <c r="J830" s="3">
        <v>57.95</v>
      </c>
      <c r="K830" s="3">
        <v>20</v>
      </c>
    </row>
    <row r="831" spans="1:11" x14ac:dyDescent="0.35">
      <c r="A831" s="2">
        <v>43584</v>
      </c>
      <c r="B831" s="3">
        <v>126.360643</v>
      </c>
      <c r="C831" s="4">
        <f t="shared" si="48"/>
        <v>0.93147399999999436</v>
      </c>
      <c r="D831" s="4">
        <f t="shared" si="50"/>
        <v>4.1418659999999932</v>
      </c>
      <c r="E831" s="3">
        <v>57.95</v>
      </c>
      <c r="F831" s="3">
        <v>20</v>
      </c>
      <c r="G831" s="3">
        <v>134.60391199999998</v>
      </c>
      <c r="H831" s="4">
        <f t="shared" si="49"/>
        <v>0.61086699999998473</v>
      </c>
      <c r="I831" s="4">
        <f t="shared" si="51"/>
        <v>8.591253999999978</v>
      </c>
      <c r="J831" s="3">
        <v>57.95</v>
      </c>
      <c r="K831" s="3">
        <v>20</v>
      </c>
    </row>
    <row r="832" spans="1:11" x14ac:dyDescent="0.35">
      <c r="A832" s="2">
        <v>43591</v>
      </c>
      <c r="B832" s="3">
        <v>127.49724900000001</v>
      </c>
      <c r="C832" s="4">
        <f t="shared" si="48"/>
        <v>1.1366060000000147</v>
      </c>
      <c r="D832" s="4">
        <f t="shared" si="50"/>
        <v>4.2304390000000183</v>
      </c>
      <c r="E832" s="3">
        <v>57.95</v>
      </c>
      <c r="F832" s="3">
        <v>20</v>
      </c>
      <c r="G832" s="3">
        <v>135.40746299999998</v>
      </c>
      <c r="H832" s="4">
        <f t="shared" si="49"/>
        <v>0.80355099999999879</v>
      </c>
      <c r="I832" s="4">
        <f t="shared" si="51"/>
        <v>8.4159759999999721</v>
      </c>
      <c r="J832" s="3">
        <v>57.95</v>
      </c>
      <c r="K832" s="3">
        <v>20</v>
      </c>
    </row>
    <row r="833" spans="1:11" x14ac:dyDescent="0.35">
      <c r="A833" s="2">
        <v>43598</v>
      </c>
      <c r="B833" s="3">
        <v>127.97096900000001</v>
      </c>
      <c r="C833" s="4">
        <f t="shared" si="48"/>
        <v>0.47372000000000014</v>
      </c>
      <c r="D833" s="4">
        <f t="shared" si="50"/>
        <v>3.6503380000000334</v>
      </c>
      <c r="E833" s="3">
        <v>57.95</v>
      </c>
      <c r="F833" s="3">
        <v>20</v>
      </c>
      <c r="G833" s="3">
        <v>135.35876199999998</v>
      </c>
      <c r="H833" s="4">
        <f t="shared" si="49"/>
        <v>-4.870099999999411E-2</v>
      </c>
      <c r="I833" s="4">
        <f t="shared" si="51"/>
        <v>7.0756920000000036</v>
      </c>
      <c r="J833" s="3">
        <v>57.95</v>
      </c>
      <c r="K833" s="3">
        <v>20</v>
      </c>
    </row>
    <row r="834" spans="1:11" x14ac:dyDescent="0.35">
      <c r="A834" s="2">
        <v>43605</v>
      </c>
      <c r="B834" s="3">
        <v>128.509333</v>
      </c>
      <c r="C834" s="4">
        <f t="shared" si="48"/>
        <v>0.53836399999998719</v>
      </c>
      <c r="D834" s="4">
        <f t="shared" si="50"/>
        <v>2.5832329999999928</v>
      </c>
      <c r="E834" s="3">
        <v>57.95</v>
      </c>
      <c r="F834" s="3">
        <v>20</v>
      </c>
      <c r="G834" s="3">
        <v>135.82256599999999</v>
      </c>
      <c r="H834" s="4">
        <f t="shared" si="49"/>
        <v>0.46380400000001032</v>
      </c>
      <c r="I834" s="4">
        <f t="shared" si="51"/>
        <v>5.7838859999999954</v>
      </c>
      <c r="J834" s="3">
        <v>57.95</v>
      </c>
      <c r="K834" s="3">
        <v>20</v>
      </c>
    </row>
    <row r="835" spans="1:11" x14ac:dyDescent="0.35">
      <c r="A835" s="2">
        <v>43612</v>
      </c>
      <c r="B835" s="3">
        <v>129.14256900000001</v>
      </c>
      <c r="C835" s="4">
        <f t="shared" ref="C835:C898" si="52">B835-B834</f>
        <v>0.63323600000001079</v>
      </c>
      <c r="D835" s="4">
        <f t="shared" si="50"/>
        <v>1.5671366700000107</v>
      </c>
      <c r="E835" s="3">
        <v>57.95</v>
      </c>
      <c r="F835" s="3">
        <v>20</v>
      </c>
      <c r="G835" s="3">
        <v>136.446383</v>
      </c>
      <c r="H835" s="4">
        <f t="shared" ref="H835:H898" si="53">G835-G834</f>
        <v>0.62381700000000251</v>
      </c>
      <c r="I835" s="4">
        <f t="shared" si="51"/>
        <v>4.786388119999998</v>
      </c>
      <c r="J835" s="3">
        <v>57.95</v>
      </c>
      <c r="K835" s="3">
        <v>20</v>
      </c>
    </row>
    <row r="836" spans="1:11" x14ac:dyDescent="0.35">
      <c r="A836" s="2">
        <v>43619</v>
      </c>
      <c r="B836" s="3">
        <v>129.407206</v>
      </c>
      <c r="C836" s="4">
        <f t="shared" si="52"/>
        <v>0.26463699999999335</v>
      </c>
      <c r="D836" s="4">
        <f t="shared" si="50"/>
        <v>0.9774627369999962</v>
      </c>
      <c r="E836" s="3">
        <v>57.95</v>
      </c>
      <c r="F836" s="3">
        <v>20</v>
      </c>
      <c r="G836" s="3">
        <v>136.393553</v>
      </c>
      <c r="H836" s="4">
        <f t="shared" si="53"/>
        <v>-5.2830000000000155E-2</v>
      </c>
      <c r="I836" s="4">
        <f t="shared" si="51"/>
        <v>4.05155203999999</v>
      </c>
      <c r="J836" s="3">
        <v>57.95</v>
      </c>
      <c r="K836" s="3">
        <v>20</v>
      </c>
    </row>
    <row r="837" spans="1:11" x14ac:dyDescent="0.35">
      <c r="A837" s="2">
        <v>43626</v>
      </c>
      <c r="B837" s="3">
        <v>128.88566800000001</v>
      </c>
      <c r="C837" s="4">
        <f t="shared" si="52"/>
        <v>-0.52153799999999251</v>
      </c>
      <c r="D837" s="4">
        <f t="shared" si="50"/>
        <v>0.27832600000002117</v>
      </c>
      <c r="E837" s="3">
        <v>57.95</v>
      </c>
      <c r="F837" s="3">
        <v>20</v>
      </c>
      <c r="G837" s="3">
        <v>135.40170000000001</v>
      </c>
      <c r="H837" s="4">
        <f t="shared" si="53"/>
        <v>-0.99185299999999188</v>
      </c>
      <c r="I837" s="4">
        <f t="shared" si="51"/>
        <v>2.7814940000000092</v>
      </c>
      <c r="J837" s="3">
        <v>57.95</v>
      </c>
      <c r="K837" s="3">
        <v>20</v>
      </c>
    </row>
    <row r="838" spans="1:11" x14ac:dyDescent="0.35">
      <c r="A838" s="2">
        <v>43633</v>
      </c>
      <c r="B838" s="3">
        <v>127.66077299999999</v>
      </c>
      <c r="C838" s="4">
        <f t="shared" si="52"/>
        <v>-1.2248950000000178</v>
      </c>
      <c r="D838" s="4">
        <f t="shared" si="50"/>
        <v>-0.26387800000000539</v>
      </c>
      <c r="E838" s="3">
        <v>57.95</v>
      </c>
      <c r="F838" s="3">
        <v>20</v>
      </c>
      <c r="G838" s="3">
        <v>133.758456</v>
      </c>
      <c r="H838" s="4">
        <f t="shared" si="53"/>
        <v>-1.6432440000000099</v>
      </c>
      <c r="I838" s="4">
        <f t="shared" si="51"/>
        <v>1.7754199999999969</v>
      </c>
      <c r="J838" s="3">
        <v>57.95</v>
      </c>
      <c r="K838" s="3">
        <v>20</v>
      </c>
    </row>
    <row r="839" spans="1:11" x14ac:dyDescent="0.35">
      <c r="A839" s="2">
        <v>43640</v>
      </c>
      <c r="B839" s="3">
        <v>126.66311600000002</v>
      </c>
      <c r="C839" s="4">
        <f t="shared" si="52"/>
        <v>-0.99765699999997537</v>
      </c>
      <c r="D839" s="4">
        <f t="shared" si="50"/>
        <v>-0.5139249999999862</v>
      </c>
      <c r="E839" s="3">
        <v>57.95</v>
      </c>
      <c r="F839" s="3">
        <v>20</v>
      </c>
      <c r="G839" s="3">
        <v>131.813941</v>
      </c>
      <c r="H839" s="4">
        <f t="shared" si="53"/>
        <v>-1.9445149999999956</v>
      </c>
      <c r="I839" s="4">
        <f t="shared" si="51"/>
        <v>0.54790600000001177</v>
      </c>
      <c r="J839" s="3">
        <v>57.95</v>
      </c>
      <c r="K839" s="3">
        <v>20</v>
      </c>
    </row>
    <row r="840" spans="1:11" x14ac:dyDescent="0.35">
      <c r="A840" s="2">
        <v>43647</v>
      </c>
      <c r="B840" s="3">
        <v>126.48721100000002</v>
      </c>
      <c r="C840" s="4">
        <f t="shared" si="52"/>
        <v>-0.1759050000000002</v>
      </c>
      <c r="D840" s="4">
        <f t="shared" si="50"/>
        <v>-5.4047999999980334E-2</v>
      </c>
      <c r="E840" s="3">
        <v>57.95</v>
      </c>
      <c r="F840" s="3">
        <v>20</v>
      </c>
      <c r="G840" s="3">
        <v>131.554757</v>
      </c>
      <c r="H840" s="4">
        <f t="shared" si="53"/>
        <v>-0.25918400000000474</v>
      </c>
      <c r="I840" s="4">
        <f t="shared" si="51"/>
        <v>0.72161900000000401</v>
      </c>
      <c r="J840" s="3">
        <v>57.95</v>
      </c>
      <c r="K840" s="3">
        <v>20</v>
      </c>
    </row>
    <row r="841" spans="1:11" x14ac:dyDescent="0.35">
      <c r="A841" s="2">
        <v>43654</v>
      </c>
      <c r="B841" s="3">
        <v>126.86261400000001</v>
      </c>
      <c r="C841" s="4">
        <f t="shared" si="52"/>
        <v>0.37540299999999149</v>
      </c>
      <c r="D841" s="4">
        <f t="shared" si="50"/>
        <v>-0.11001499999997577</v>
      </c>
      <c r="E841" s="3">
        <v>57.95</v>
      </c>
      <c r="F841" s="3">
        <v>20</v>
      </c>
      <c r="G841" s="3">
        <v>131.68070699999998</v>
      </c>
      <c r="H841" s="4">
        <f t="shared" si="53"/>
        <v>0.1259499999999889</v>
      </c>
      <c r="I841" s="4">
        <f t="shared" si="51"/>
        <v>0.15056999999998766</v>
      </c>
      <c r="J841" s="3">
        <v>57.95</v>
      </c>
      <c r="K841" s="3">
        <v>20</v>
      </c>
    </row>
    <row r="842" spans="1:11" x14ac:dyDescent="0.35">
      <c r="A842" s="2">
        <v>43661</v>
      </c>
      <c r="B842" s="3">
        <v>127.127914</v>
      </c>
      <c r="C842" s="4">
        <f t="shared" si="52"/>
        <v>0.26529999999999632</v>
      </c>
      <c r="D842" s="4">
        <f t="shared" si="50"/>
        <v>-0.34382399999999791</v>
      </c>
      <c r="E842" s="3">
        <v>57.95</v>
      </c>
      <c r="F842" s="3">
        <v>20</v>
      </c>
      <c r="G842" s="3">
        <v>131.859849</v>
      </c>
      <c r="H842" s="4">
        <f t="shared" si="53"/>
        <v>0.17914200000001301</v>
      </c>
      <c r="I842" s="4">
        <f t="shared" si="51"/>
        <v>1.0450999999989108E-2</v>
      </c>
      <c r="J842" s="3">
        <v>57.95</v>
      </c>
      <c r="K842" s="3">
        <v>20</v>
      </c>
    </row>
    <row r="843" spans="1:11" x14ac:dyDescent="0.35">
      <c r="A843" s="2">
        <v>43668</v>
      </c>
      <c r="B843" s="3">
        <v>127.809271</v>
      </c>
      <c r="C843" s="4">
        <f t="shared" si="52"/>
        <v>0.68135699999999133</v>
      </c>
      <c r="D843" s="4">
        <f t="shared" si="50"/>
        <v>0.304979000000003</v>
      </c>
      <c r="E843" s="3">
        <v>57.95</v>
      </c>
      <c r="F843" s="3">
        <v>20</v>
      </c>
      <c r="G843" s="3">
        <v>132.214248</v>
      </c>
      <c r="H843" s="4">
        <f t="shared" si="53"/>
        <v>0.3543990000000008</v>
      </c>
      <c r="I843" s="4">
        <f t="shared" si="51"/>
        <v>0.31338299999998753</v>
      </c>
      <c r="J843" s="3">
        <v>57.95</v>
      </c>
      <c r="K843" s="3">
        <v>20</v>
      </c>
    </row>
    <row r="844" spans="1:11" x14ac:dyDescent="0.35">
      <c r="A844" s="2">
        <v>43675</v>
      </c>
      <c r="B844" s="3">
        <v>128.03377699999999</v>
      </c>
      <c r="C844" s="4">
        <f t="shared" si="52"/>
        <v>0.22450599999999099</v>
      </c>
      <c r="D844" s="4">
        <f t="shared" si="50"/>
        <v>0.49615199999998083</v>
      </c>
      <c r="E844" s="3">
        <v>57.95</v>
      </c>
      <c r="F844" s="3">
        <v>20</v>
      </c>
      <c r="G844" s="3">
        <v>132.59614400000001</v>
      </c>
      <c r="H844" s="4">
        <f t="shared" si="53"/>
        <v>0.38189600000001178</v>
      </c>
      <c r="I844" s="4">
        <f t="shared" si="51"/>
        <v>0.65694200000001501</v>
      </c>
      <c r="J844" s="3">
        <v>57.95</v>
      </c>
      <c r="K844" s="3">
        <v>20</v>
      </c>
    </row>
    <row r="845" spans="1:11" x14ac:dyDescent="0.35">
      <c r="A845" s="2">
        <v>43682</v>
      </c>
      <c r="B845" s="3">
        <v>128.37035900000001</v>
      </c>
      <c r="C845" s="4">
        <f t="shared" si="52"/>
        <v>0.33658200000002125</v>
      </c>
      <c r="D845" s="4">
        <f t="shared" si="50"/>
        <v>0.34647900000001641</v>
      </c>
      <c r="E845" s="3">
        <v>57.95</v>
      </c>
      <c r="F845" s="3">
        <v>20</v>
      </c>
      <c r="G845" s="3">
        <v>132.60573299999999</v>
      </c>
      <c r="H845" s="4">
        <f t="shared" si="53"/>
        <v>9.5889999999769771E-3</v>
      </c>
      <c r="I845" s="4">
        <f t="shared" si="51"/>
        <v>0.21740899999997509</v>
      </c>
      <c r="J845" s="3">
        <v>57.95</v>
      </c>
      <c r="K845" s="3">
        <v>20</v>
      </c>
    </row>
    <row r="846" spans="1:11" x14ac:dyDescent="0.35">
      <c r="A846" s="2">
        <v>43689</v>
      </c>
      <c r="B846" s="3">
        <v>128.361242</v>
      </c>
      <c r="C846" s="4">
        <f t="shared" si="52"/>
        <v>-9.1170000000033724E-3</v>
      </c>
      <c r="D846" s="4">
        <f t="shared" si="50"/>
        <v>-3.2003000000003112E-2</v>
      </c>
      <c r="E846" s="3">
        <v>57.95</v>
      </c>
      <c r="F846" s="3">
        <v>20</v>
      </c>
      <c r="G846" s="3">
        <v>132.588686</v>
      </c>
      <c r="H846" s="4">
        <f t="shared" si="53"/>
        <v>-1.7046999999990931E-2</v>
      </c>
      <c r="I846" s="4">
        <f t="shared" si="51"/>
        <v>2.6441999999974541E-2</v>
      </c>
      <c r="J846" s="3">
        <v>57.95</v>
      </c>
      <c r="K846" s="3">
        <v>20</v>
      </c>
    </row>
    <row r="847" spans="1:11" x14ac:dyDescent="0.35">
      <c r="A847" s="2">
        <v>43696</v>
      </c>
      <c r="B847" s="3">
        <v>128.16598299999998</v>
      </c>
      <c r="C847" s="4">
        <f t="shared" si="52"/>
        <v>-0.19525900000002139</v>
      </c>
      <c r="D847" s="4">
        <f t="shared" si="50"/>
        <v>-0.62315000000000964</v>
      </c>
      <c r="E847" s="3">
        <v>57.95</v>
      </c>
      <c r="F847" s="3">
        <v>20</v>
      </c>
      <c r="G847" s="3">
        <v>132.59598700000001</v>
      </c>
      <c r="H847" s="4">
        <f t="shared" si="53"/>
        <v>7.3010000000124364E-3</v>
      </c>
      <c r="I847" s="4">
        <f t="shared" si="51"/>
        <v>-0.3764940000000081</v>
      </c>
      <c r="J847" s="3">
        <v>57.95</v>
      </c>
      <c r="K847" s="3">
        <v>20</v>
      </c>
    </row>
    <row r="848" spans="1:11" x14ac:dyDescent="0.35">
      <c r="A848" s="2">
        <v>43703</v>
      </c>
      <c r="B848" s="3">
        <v>128.221036</v>
      </c>
      <c r="C848" s="4">
        <f t="shared" si="52"/>
        <v>5.5053000000015118E-2</v>
      </c>
      <c r="D848" s="4">
        <f t="shared" si="50"/>
        <v>-0.95950099999998884</v>
      </c>
      <c r="E848" s="3">
        <v>57.95</v>
      </c>
      <c r="F848" s="3">
        <v>20</v>
      </c>
      <c r="G848" s="3">
        <v>132.51085499999999</v>
      </c>
      <c r="H848" s="4">
        <f t="shared" si="53"/>
        <v>-8.5132000000015751E-2</v>
      </c>
      <c r="I848" s="4">
        <f t="shared" si="51"/>
        <v>-0.6895640000000185</v>
      </c>
      <c r="J848" s="3">
        <v>57.95</v>
      </c>
      <c r="K848" s="3">
        <v>20</v>
      </c>
    </row>
    <row r="849" spans="1:11" x14ac:dyDescent="0.35">
      <c r="A849" s="2">
        <v>43710</v>
      </c>
      <c r="B849" s="3">
        <v>127.864315</v>
      </c>
      <c r="C849" s="4">
        <f t="shared" si="52"/>
        <v>-0.35672099999999318</v>
      </c>
      <c r="D849" s="4">
        <f t="shared" si="50"/>
        <v>-1.8945659999999975</v>
      </c>
      <c r="E849" s="3">
        <v>57.95</v>
      </c>
      <c r="F849" s="3">
        <v>20</v>
      </c>
      <c r="G849" s="3">
        <v>132.29071999999999</v>
      </c>
      <c r="H849" s="4">
        <f t="shared" si="53"/>
        <v>-0.22013499999999908</v>
      </c>
      <c r="I849" s="4">
        <f t="shared" si="51"/>
        <v>-1.376589000000024</v>
      </c>
      <c r="J849" s="3">
        <v>57.95</v>
      </c>
      <c r="K849" s="3">
        <v>20</v>
      </c>
    </row>
    <row r="850" spans="1:11" x14ac:dyDescent="0.35">
      <c r="A850" s="2">
        <v>43717</v>
      </c>
      <c r="B850" s="3">
        <v>127.78941630300001</v>
      </c>
      <c r="C850" s="4">
        <f t="shared" si="52"/>
        <v>-7.4898696999994741E-2</v>
      </c>
      <c r="D850" s="4">
        <f t="shared" si="50"/>
        <v>-2.4519746969999829</v>
      </c>
      <c r="E850" s="3">
        <v>57.95</v>
      </c>
      <c r="F850" s="3">
        <v>20</v>
      </c>
      <c r="G850" s="3">
        <v>131.886735888</v>
      </c>
      <c r="H850" s="4">
        <f t="shared" si="53"/>
        <v>-0.40398411199998918</v>
      </c>
      <c r="I850" s="4">
        <f t="shared" si="51"/>
        <v>-2.4208111119999671</v>
      </c>
      <c r="J850" s="3">
        <v>57.95</v>
      </c>
      <c r="K850" s="3">
        <v>20</v>
      </c>
    </row>
    <row r="851" spans="1:11" x14ac:dyDescent="0.35">
      <c r="A851" s="2">
        <v>43724</v>
      </c>
      <c r="B851" s="3">
        <v>126.91823550600002</v>
      </c>
      <c r="C851" s="4">
        <f t="shared" si="52"/>
        <v>-0.87118079699999385</v>
      </c>
      <c r="D851" s="4">
        <f t="shared" si="50"/>
        <v>-3.6729454939999897</v>
      </c>
      <c r="E851" s="3">
        <v>57.95</v>
      </c>
      <c r="F851" s="3">
        <v>20</v>
      </c>
      <c r="G851" s="3">
        <v>131.34646807999999</v>
      </c>
      <c r="H851" s="4">
        <f t="shared" si="53"/>
        <v>-0.54026780800001006</v>
      </c>
      <c r="I851" s="4">
        <f t="shared" si="51"/>
        <v>-3.2211519200000112</v>
      </c>
      <c r="J851" s="3">
        <v>57.95</v>
      </c>
      <c r="K851" s="3">
        <v>20</v>
      </c>
    </row>
    <row r="852" spans="1:11" x14ac:dyDescent="0.35">
      <c r="A852" s="2">
        <v>43731</v>
      </c>
      <c r="B852" s="3">
        <v>126.77891231400001</v>
      </c>
      <c r="C852" s="4">
        <f t="shared" si="52"/>
        <v>-0.1393231920000062</v>
      </c>
      <c r="D852" s="4">
        <f t="shared" si="50"/>
        <v>-3.8103936859999834</v>
      </c>
      <c r="E852" s="3">
        <v>57.95</v>
      </c>
      <c r="F852" s="3">
        <v>20</v>
      </c>
      <c r="G852" s="3">
        <v>131.52317466400001</v>
      </c>
      <c r="H852" s="4">
        <f t="shared" si="53"/>
        <v>0.17670658400001571</v>
      </c>
      <c r="I852" s="4">
        <f t="shared" si="51"/>
        <v>-3.2456183360000068</v>
      </c>
      <c r="J852" s="3">
        <v>57.95</v>
      </c>
      <c r="K852" s="3">
        <v>20</v>
      </c>
    </row>
    <row r="853" spans="1:11" x14ac:dyDescent="0.35">
      <c r="A853" s="2">
        <v>43738</v>
      </c>
      <c r="B853" s="3">
        <v>126.92396400000001</v>
      </c>
      <c r="C853" s="4">
        <f t="shared" si="52"/>
        <v>0.14505168600000218</v>
      </c>
      <c r="D853" s="4">
        <f t="shared" si="50"/>
        <v>-3.0529421899999818</v>
      </c>
      <c r="E853" s="3">
        <v>57.95</v>
      </c>
      <c r="F853" s="3">
        <v>20</v>
      </c>
      <c r="G853" s="3">
        <v>131.83384999999998</v>
      </c>
      <c r="H853" s="4">
        <f t="shared" si="53"/>
        <v>0.31067533599997432</v>
      </c>
      <c r="I853" s="4">
        <f t="shared" si="51"/>
        <v>-3.0240204400000152</v>
      </c>
      <c r="J853" s="3">
        <v>57.95</v>
      </c>
      <c r="K853" s="3">
        <v>20</v>
      </c>
    </row>
    <row r="854" spans="1:11" x14ac:dyDescent="0.35">
      <c r="A854" s="2">
        <v>43745</v>
      </c>
      <c r="B854" s="3">
        <v>126.86949499999999</v>
      </c>
      <c r="C854" s="4">
        <f t="shared" si="52"/>
        <v>-5.4469000000025858E-2</v>
      </c>
      <c r="D854" s="4">
        <f t="shared" si="50"/>
        <v>-3.2770554149999924</v>
      </c>
      <c r="E854" s="3">
        <v>57.95</v>
      </c>
      <c r="F854" s="3">
        <v>20</v>
      </c>
      <c r="G854" s="3">
        <v>131.82080299999998</v>
      </c>
      <c r="H854" s="4">
        <f t="shared" si="53"/>
        <v>-1.3047000000000253E-2</v>
      </c>
      <c r="I854" s="4">
        <f t="shared" si="51"/>
        <v>-3.7115424960000212</v>
      </c>
      <c r="J854" s="3">
        <v>57.95</v>
      </c>
      <c r="K854" s="3">
        <v>20</v>
      </c>
    </row>
    <row r="855" spans="1:11" x14ac:dyDescent="0.35">
      <c r="A855" s="2">
        <v>43752</v>
      </c>
      <c r="B855" s="3">
        <v>126.90649099999999</v>
      </c>
      <c r="C855" s="4">
        <f t="shared" si="52"/>
        <v>3.6996000000002027E-2</v>
      </c>
      <c r="D855" s="4">
        <f t="shared" si="50"/>
        <v>-3.9045516440000085</v>
      </c>
      <c r="E855" s="3">
        <v>57.95</v>
      </c>
      <c r="F855" s="3">
        <v>20</v>
      </c>
      <c r="G855" s="3">
        <v>131.89290799999998</v>
      </c>
      <c r="H855" s="4">
        <f t="shared" si="53"/>
        <v>7.2104999999993424E-2</v>
      </c>
      <c r="I855" s="4">
        <f t="shared" si="51"/>
        <v>-4.7347531120000212</v>
      </c>
      <c r="J855" s="3">
        <v>57.95</v>
      </c>
      <c r="K855" s="3">
        <v>20</v>
      </c>
    </row>
    <row r="856" spans="1:11" x14ac:dyDescent="0.35">
      <c r="A856" s="2">
        <v>43759</v>
      </c>
      <c r="B856" s="3">
        <v>126.40242000000001</v>
      </c>
      <c r="C856" s="4">
        <f t="shared" si="52"/>
        <v>-0.50407099999998195</v>
      </c>
      <c r="D856" s="4">
        <f t="shared" si="50"/>
        <v>-4.5780989999999804</v>
      </c>
      <c r="E856" s="3">
        <v>57.95</v>
      </c>
      <c r="F856" s="3">
        <v>20</v>
      </c>
      <c r="G856" s="3">
        <v>131.27925299999998</v>
      </c>
      <c r="H856" s="4">
        <f t="shared" si="53"/>
        <v>-0.61365499999999429</v>
      </c>
      <c r="I856" s="4">
        <f t="shared" si="51"/>
        <v>-5.6474720000000218</v>
      </c>
      <c r="J856" s="3">
        <v>57.95</v>
      </c>
      <c r="K856" s="3">
        <v>20</v>
      </c>
    </row>
    <row r="857" spans="1:11" x14ac:dyDescent="0.35">
      <c r="A857" s="2">
        <v>43766</v>
      </c>
      <c r="B857" s="3">
        <v>125.76551399999998</v>
      </c>
      <c r="C857" s="4">
        <f t="shared" si="52"/>
        <v>-0.63690600000002462</v>
      </c>
      <c r="D857" s="4">
        <f t="shared" si="50"/>
        <v>-4.8770280000000099</v>
      </c>
      <c r="E857" s="3">
        <v>57.95</v>
      </c>
      <c r="F857" s="3">
        <v>20</v>
      </c>
      <c r="G857" s="3">
        <v>130.603532</v>
      </c>
      <c r="H857" s="4">
        <f t="shared" si="53"/>
        <v>-0.67572099999998159</v>
      </c>
      <c r="I857" s="4">
        <f t="shared" si="51"/>
        <v>-6.3901600000000087</v>
      </c>
      <c r="J857" s="3">
        <v>57.95</v>
      </c>
      <c r="K857" s="3">
        <v>20</v>
      </c>
    </row>
    <row r="858" spans="1:11" x14ac:dyDescent="0.35">
      <c r="A858" s="2">
        <v>43773</v>
      </c>
      <c r="B858" s="3">
        <v>125.558701</v>
      </c>
      <c r="C858" s="4">
        <f t="shared" si="52"/>
        <v>-0.20681299999998259</v>
      </c>
      <c r="D858" s="4">
        <f t="shared" si="50"/>
        <v>-4.5473610000000093</v>
      </c>
      <c r="E858" s="3">
        <v>57.95</v>
      </c>
      <c r="F858" s="3">
        <v>20</v>
      </c>
      <c r="G858" s="3">
        <v>130.37609499999999</v>
      </c>
      <c r="H858" s="4">
        <f t="shared" si="53"/>
        <v>-0.22743700000000899</v>
      </c>
      <c r="I858" s="4">
        <f t="shared" si="51"/>
        <v>-6.653332000000006</v>
      </c>
      <c r="J858" s="3">
        <v>57.95</v>
      </c>
      <c r="K858" s="3">
        <v>20</v>
      </c>
    </row>
    <row r="859" spans="1:11" x14ac:dyDescent="0.35">
      <c r="A859" s="2">
        <v>43780</v>
      </c>
      <c r="B859" s="3">
        <v>125.59399900000001</v>
      </c>
      <c r="C859" s="4">
        <f t="shared" si="52"/>
        <v>3.5298000000011598E-2</v>
      </c>
      <c r="D859" s="4">
        <f t="shared" si="50"/>
        <v>-3.3419970000000063</v>
      </c>
      <c r="E859" s="3">
        <v>57.95</v>
      </c>
      <c r="F859" s="3">
        <v>20</v>
      </c>
      <c r="G859" s="3">
        <v>130.42490999999998</v>
      </c>
      <c r="H859" s="4">
        <f t="shared" si="53"/>
        <v>4.8814999999990505E-2</v>
      </c>
      <c r="I859" s="4">
        <f t="shared" si="51"/>
        <v>-6.6591600000000142</v>
      </c>
      <c r="J859" s="3">
        <v>57.95</v>
      </c>
      <c r="K859" s="3">
        <v>20</v>
      </c>
    </row>
    <row r="860" spans="1:11" x14ac:dyDescent="0.35">
      <c r="A860" s="2">
        <v>43787</v>
      </c>
      <c r="B860" s="3">
        <v>125.582346</v>
      </c>
      <c r="C860" s="4">
        <f t="shared" si="52"/>
        <v>-1.1653000000009683E-2</v>
      </c>
      <c r="D860" s="4">
        <f t="shared" si="50"/>
        <v>-1.8165300000000144</v>
      </c>
      <c r="E860" s="3">
        <v>57.95</v>
      </c>
      <c r="F860" s="3">
        <v>20</v>
      </c>
      <c r="G860" s="3">
        <v>130.345595</v>
      </c>
      <c r="H860" s="4">
        <f t="shared" si="53"/>
        <v>-7.9314999999979818E-2</v>
      </c>
      <c r="I860" s="4">
        <f t="shared" si="51"/>
        <v>-6.0384379999999851</v>
      </c>
      <c r="J860" s="3">
        <v>57.95</v>
      </c>
      <c r="K860" s="3">
        <v>20</v>
      </c>
    </row>
    <row r="861" spans="1:11" x14ac:dyDescent="0.35">
      <c r="A861" s="2">
        <v>43794</v>
      </c>
      <c r="B861" s="3">
        <v>125.31979800000001</v>
      </c>
      <c r="C861" s="4">
        <f t="shared" si="52"/>
        <v>-0.26254799999999534</v>
      </c>
      <c r="D861" s="4">
        <f t="shared" si="50"/>
        <v>-0.45075099999999679</v>
      </c>
      <c r="E861" s="3">
        <v>57.95</v>
      </c>
      <c r="F861" s="3">
        <v>20</v>
      </c>
      <c r="G861" s="3">
        <v>130.07831300000001</v>
      </c>
      <c r="H861" s="4">
        <f t="shared" si="53"/>
        <v>-0.26728199999999447</v>
      </c>
      <c r="I861" s="4">
        <f t="shared" si="51"/>
        <v>-5.3493139999999926</v>
      </c>
      <c r="J861" s="3">
        <v>57.95</v>
      </c>
      <c r="K861" s="3">
        <v>20</v>
      </c>
    </row>
    <row r="862" spans="1:11" x14ac:dyDescent="0.35">
      <c r="A862" s="2">
        <v>43801</v>
      </c>
      <c r="B862" s="3">
        <v>124.80878300000001</v>
      </c>
      <c r="C862" s="4">
        <f t="shared" si="52"/>
        <v>-0.51101500000000044</v>
      </c>
      <c r="D862" s="4">
        <f t="shared" si="50"/>
        <v>0.50784000000001583</v>
      </c>
      <c r="E862" s="3">
        <v>57.95</v>
      </c>
      <c r="F862" s="3">
        <v>20</v>
      </c>
      <c r="G862" s="3">
        <v>129.79383300000001</v>
      </c>
      <c r="H862" s="4">
        <f t="shared" si="53"/>
        <v>-0.28448000000000206</v>
      </c>
      <c r="I862" s="4">
        <f t="shared" si="51"/>
        <v>-4.5883881999999971</v>
      </c>
      <c r="J862" s="3">
        <v>57.95</v>
      </c>
      <c r="K862" s="3">
        <v>20</v>
      </c>
    </row>
    <row r="863" spans="1:11" x14ac:dyDescent="0.35">
      <c r="A863" s="2">
        <v>43808</v>
      </c>
      <c r="B863" s="3">
        <v>124.748176</v>
      </c>
      <c r="C863" s="4">
        <f t="shared" si="52"/>
        <v>-6.0607000000004518E-2</v>
      </c>
      <c r="D863" s="4">
        <f t="shared" si="50"/>
        <v>2.3799669999999935</v>
      </c>
      <c r="E863" s="3">
        <v>57.95</v>
      </c>
      <c r="F863" s="3">
        <v>20</v>
      </c>
      <c r="G863" s="3">
        <v>129.79018500000001</v>
      </c>
      <c r="H863" s="4">
        <f t="shared" si="53"/>
        <v>-3.6479999999983193E-3</v>
      </c>
      <c r="I863" s="4">
        <f t="shared" si="51"/>
        <v>-2.7144049999999993</v>
      </c>
      <c r="J863" s="3">
        <v>57.95</v>
      </c>
      <c r="K863" s="3">
        <v>20</v>
      </c>
    </row>
    <row r="864" spans="1:11" x14ac:dyDescent="0.35">
      <c r="A864" s="2">
        <v>43815</v>
      </c>
      <c r="B864" s="3">
        <v>124.32997</v>
      </c>
      <c r="C864" s="4">
        <f t="shared" si="52"/>
        <v>-0.41820599999999786</v>
      </c>
      <c r="D864" s="4">
        <f t="shared" si="50"/>
        <v>3.3055730000000096</v>
      </c>
      <c r="E864" s="3">
        <v>57.95</v>
      </c>
      <c r="F864" s="3">
        <v>20</v>
      </c>
      <c r="G864" s="3">
        <v>129.56176199999999</v>
      </c>
      <c r="H864" s="4">
        <f t="shared" si="53"/>
        <v>-0.22842300000002069</v>
      </c>
      <c r="I864" s="4">
        <f t="shared" si="51"/>
        <v>-1.6973560000000134</v>
      </c>
      <c r="J864" s="3">
        <v>57.95</v>
      </c>
      <c r="K864" s="3">
        <v>20</v>
      </c>
    </row>
    <row r="865" spans="1:11" x14ac:dyDescent="0.35">
      <c r="A865" s="2">
        <v>43822</v>
      </c>
      <c r="B865" s="3">
        <v>124.15753999999998</v>
      </c>
      <c r="C865" s="4">
        <f t="shared" si="52"/>
        <v>-0.17243000000001985</v>
      </c>
      <c r="D865" s="4">
        <f t="shared" si="50"/>
        <v>3.5436979999999778</v>
      </c>
      <c r="E865" s="3">
        <v>57.95</v>
      </c>
      <c r="F865" s="3">
        <v>20</v>
      </c>
      <c r="G865" s="3">
        <v>129.81113200000001</v>
      </c>
      <c r="H865" s="4">
        <f t="shared" si="53"/>
        <v>0.2493700000000274</v>
      </c>
      <c r="I865" s="4">
        <f t="shared" si="51"/>
        <v>-1.0958209999999724</v>
      </c>
      <c r="J865" s="3">
        <v>57.95</v>
      </c>
      <c r="K865" s="3">
        <v>20</v>
      </c>
    </row>
    <row r="866" spans="1:11" x14ac:dyDescent="0.35">
      <c r="A866" s="2">
        <v>43829</v>
      </c>
      <c r="B866" s="3">
        <v>124.96215100000001</v>
      </c>
      <c r="C866" s="4">
        <f t="shared" si="52"/>
        <v>0.80461100000002261</v>
      </c>
      <c r="D866" s="4">
        <f t="shared" si="50"/>
        <v>4.7830190000000101</v>
      </c>
      <c r="E866" s="3">
        <v>57.95</v>
      </c>
      <c r="F866" s="3">
        <v>20</v>
      </c>
      <c r="G866" s="3">
        <v>130.542046</v>
      </c>
      <c r="H866" s="4">
        <f t="shared" si="53"/>
        <v>0.7309139999999843</v>
      </c>
      <c r="I866" s="4">
        <f t="shared" si="51"/>
        <v>0.28344699999999534</v>
      </c>
      <c r="J866" s="3">
        <v>57.95</v>
      </c>
      <c r="K866" s="3">
        <v>20</v>
      </c>
    </row>
    <row r="867" spans="1:11" x14ac:dyDescent="0.35">
      <c r="A867" s="2">
        <v>43836</v>
      </c>
      <c r="B867" s="3">
        <v>126.085869</v>
      </c>
      <c r="C867" s="4">
        <f t="shared" si="52"/>
        <v>1.1237179999999967</v>
      </c>
      <c r="D867" s="4">
        <f t="shared" si="50"/>
        <v>5.8110459999999904</v>
      </c>
      <c r="E867" s="3">
        <v>57.95</v>
      </c>
      <c r="F867" s="3">
        <v>20</v>
      </c>
      <c r="G867" s="3">
        <v>131.55515700000001</v>
      </c>
      <c r="H867" s="4">
        <f t="shared" si="53"/>
        <v>1.0131110000000092</v>
      </c>
      <c r="I867" s="4">
        <f t="shared" si="51"/>
        <v>1.2260489999999891</v>
      </c>
      <c r="J867" s="3">
        <v>57.95</v>
      </c>
      <c r="K867" s="3">
        <v>20</v>
      </c>
    </row>
    <row r="868" spans="1:11" x14ac:dyDescent="0.35">
      <c r="A868" s="2">
        <v>43843</v>
      </c>
      <c r="B868" s="3">
        <v>127.16739200000001</v>
      </c>
      <c r="C868" s="4">
        <f t="shared" si="52"/>
        <v>1.0815230000000042</v>
      </c>
      <c r="D868" s="4">
        <f t="shared" si="50"/>
        <v>7.6413310000000081</v>
      </c>
      <c r="E868" s="3">
        <v>57.95</v>
      </c>
      <c r="F868" s="3">
        <v>20</v>
      </c>
      <c r="G868" s="3">
        <v>132.68823499999999</v>
      </c>
      <c r="H868" s="4">
        <f t="shared" si="53"/>
        <v>1.1330779999999834</v>
      </c>
      <c r="I868" s="4">
        <f t="shared" si="51"/>
        <v>3.2195440000000133</v>
      </c>
      <c r="J868" s="3">
        <v>57.95</v>
      </c>
      <c r="K868" s="3">
        <v>20</v>
      </c>
    </row>
    <row r="869" spans="1:11" x14ac:dyDescent="0.35">
      <c r="A869" s="2">
        <v>43850</v>
      </c>
      <c r="B869" s="3">
        <v>127.177227</v>
      </c>
      <c r="C869" s="4">
        <f t="shared" si="52"/>
        <v>9.8349999999953752E-3</v>
      </c>
      <c r="D869" s="4">
        <f t="shared" si="50"/>
        <v>8.0563405849999867</v>
      </c>
      <c r="E869" s="3">
        <v>57.95</v>
      </c>
      <c r="F869" s="3">
        <v>20</v>
      </c>
      <c r="G869" s="3">
        <v>132.739754</v>
      </c>
      <c r="H869" s="4">
        <f t="shared" si="53"/>
        <v>5.1519000000013193E-2</v>
      </c>
      <c r="I869" s="4">
        <f t="shared" si="51"/>
        <v>3.8172096639999893</v>
      </c>
      <c r="J869" s="3">
        <v>57.95</v>
      </c>
      <c r="K869" s="3">
        <v>20</v>
      </c>
    </row>
    <row r="870" spans="1:11" x14ac:dyDescent="0.35">
      <c r="A870" s="2">
        <v>43857</v>
      </c>
      <c r="B870" s="3">
        <v>127.33458900000001</v>
      </c>
      <c r="C870" s="4">
        <f t="shared" si="52"/>
        <v>0.15736200000000622</v>
      </c>
      <c r="D870" s="4">
        <f t="shared" si="50"/>
        <v>8.0458339019999983</v>
      </c>
      <c r="E870" s="3">
        <v>57.95</v>
      </c>
      <c r="F870" s="3">
        <v>20</v>
      </c>
      <c r="G870" s="3">
        <v>132.88088099999999</v>
      </c>
      <c r="H870" s="4">
        <f t="shared" si="53"/>
        <v>0.14112699999998313</v>
      </c>
      <c r="I870" s="4">
        <f t="shared" si="51"/>
        <v>3.7840304160000073</v>
      </c>
      <c r="J870" s="3">
        <v>57.95</v>
      </c>
      <c r="K870" s="3">
        <v>20</v>
      </c>
    </row>
    <row r="871" spans="1:11" x14ac:dyDescent="0.35">
      <c r="A871" s="2">
        <v>43864</v>
      </c>
      <c r="B871" s="3">
        <v>125.84808699999999</v>
      </c>
      <c r="C871" s="4">
        <f t="shared" si="52"/>
        <v>-1.4865020000000158</v>
      </c>
      <c r="D871" s="4">
        <f t="shared" si="50"/>
        <v>6.7214529999999826</v>
      </c>
      <c r="E871" s="3">
        <v>57.95</v>
      </c>
      <c r="F871" s="3">
        <v>20</v>
      </c>
      <c r="G871" s="3">
        <v>131.475672</v>
      </c>
      <c r="H871" s="4">
        <f t="shared" si="53"/>
        <v>-1.4052089999999851</v>
      </c>
      <c r="I871" s="4">
        <f t="shared" si="51"/>
        <v>2.3425950000000171</v>
      </c>
      <c r="J871" s="3">
        <v>57.95</v>
      </c>
      <c r="K871" s="3">
        <v>20</v>
      </c>
    </row>
    <row r="872" spans="1:11" x14ac:dyDescent="0.35">
      <c r="A872" s="2">
        <v>43871</v>
      </c>
      <c r="B872" s="3">
        <v>124.72935999999999</v>
      </c>
      <c r="C872" s="4">
        <f t="shared" si="52"/>
        <v>-1.1187270000000069</v>
      </c>
      <c r="D872" s="4">
        <f t="shared" si="50"/>
        <v>5.7617949999999922</v>
      </c>
      <c r="E872" s="3">
        <v>57.95</v>
      </c>
      <c r="F872" s="3">
        <v>20</v>
      </c>
      <c r="G872" s="3">
        <v>129.70444699999999</v>
      </c>
      <c r="H872" s="4">
        <f t="shared" si="53"/>
        <v>-1.7712250000000154</v>
      </c>
      <c r="I872" s="4">
        <f t="shared" si="51"/>
        <v>0.53257600000000593</v>
      </c>
      <c r="J872" s="3">
        <v>57.95</v>
      </c>
      <c r="K872" s="3">
        <v>20</v>
      </c>
    </row>
    <row r="873" spans="1:11" x14ac:dyDescent="0.35">
      <c r="A873" s="2">
        <v>43878</v>
      </c>
      <c r="B873" s="3">
        <v>123.796075</v>
      </c>
      <c r="C873" s="4">
        <f t="shared" si="52"/>
        <v>-0.93328499999998371</v>
      </c>
      <c r="D873" s="4">
        <f t="shared" si="50"/>
        <v>4.746752000000015</v>
      </c>
      <c r="E873" s="3">
        <v>57.95</v>
      </c>
      <c r="F873" s="3">
        <v>20</v>
      </c>
      <c r="G873" s="3">
        <v>128.20284899999999</v>
      </c>
      <c r="H873" s="4">
        <f t="shared" si="53"/>
        <v>-1.5015980000000013</v>
      </c>
      <c r="I873" s="4">
        <f t="shared" si="51"/>
        <v>-1.0295900000000131</v>
      </c>
      <c r="J873" s="3">
        <v>57.95</v>
      </c>
      <c r="K873" s="3">
        <v>20</v>
      </c>
    </row>
    <row r="874" spans="1:11" x14ac:dyDescent="0.35">
      <c r="A874" s="2">
        <v>43885</v>
      </c>
      <c r="B874" s="3">
        <v>123.44644915299999</v>
      </c>
      <c r="C874" s="4">
        <f t="shared" si="52"/>
        <v>-0.34962584700001287</v>
      </c>
      <c r="D874" s="4">
        <f t="shared" si="50"/>
        <v>4.2246911529999949</v>
      </c>
      <c r="E874" s="3">
        <v>57.95</v>
      </c>
      <c r="F874" s="3">
        <v>20</v>
      </c>
      <c r="G874" s="3">
        <v>127.67442647200001</v>
      </c>
      <c r="H874" s="4">
        <f t="shared" si="53"/>
        <v>-0.5284225279999788</v>
      </c>
      <c r="I874" s="4">
        <f t="shared" si="51"/>
        <v>-1.9882465280000048</v>
      </c>
      <c r="J874" s="3">
        <v>57.95</v>
      </c>
      <c r="K874" s="3">
        <v>20</v>
      </c>
    </row>
    <row r="875" spans="1:11" x14ac:dyDescent="0.35">
      <c r="A875" s="2">
        <v>43892</v>
      </c>
      <c r="B875" s="3">
        <v>122.43127200000001</v>
      </c>
      <c r="C875" s="4">
        <f t="shared" si="52"/>
        <v>-1.015177152999982</v>
      </c>
      <c r="D875" s="4">
        <f t="shared" si="50"/>
        <v>2.7103510000000028</v>
      </c>
      <c r="E875" s="3">
        <v>57.95</v>
      </c>
      <c r="F875" s="3">
        <v>20</v>
      </c>
      <c r="G875" s="3">
        <v>126.62246399999999</v>
      </c>
      <c r="H875" s="4">
        <f t="shared" si="53"/>
        <v>-1.0519624720000138</v>
      </c>
      <c r="I875" s="4">
        <f t="shared" si="51"/>
        <v>-3.6284470000000084</v>
      </c>
      <c r="J875" s="3">
        <v>57.95</v>
      </c>
      <c r="K875" s="3">
        <v>20</v>
      </c>
    </row>
    <row r="876" spans="1:11" x14ac:dyDescent="0.35">
      <c r="A876" s="2">
        <v>43899</v>
      </c>
      <c r="B876" s="3">
        <v>122.24398099999999</v>
      </c>
      <c r="C876" s="4">
        <f t="shared" si="52"/>
        <v>-0.18729100000001608</v>
      </c>
      <c r="D876" s="4">
        <f t="shared" si="50"/>
        <v>2.1395462169999888</v>
      </c>
      <c r="E876" s="3">
        <v>57.95</v>
      </c>
      <c r="F876" s="3">
        <v>20</v>
      </c>
      <c r="G876" s="3">
        <v>126.25264799999999</v>
      </c>
      <c r="H876" s="4">
        <f t="shared" si="53"/>
        <v>-0.36981600000000014</v>
      </c>
      <c r="I876" s="4">
        <f t="shared" si="51"/>
        <v>-4.3392184239999949</v>
      </c>
      <c r="J876" s="3">
        <v>57.95</v>
      </c>
      <c r="K876" s="3">
        <v>20</v>
      </c>
    </row>
    <row r="877" spans="1:11" x14ac:dyDescent="0.35">
      <c r="A877" s="2">
        <v>43906</v>
      </c>
      <c r="B877" s="3">
        <v>120.328169</v>
      </c>
      <c r="C877" s="4">
        <f t="shared" si="52"/>
        <v>-1.9158119999999883</v>
      </c>
      <c r="D877" s="4">
        <f t="shared" si="50"/>
        <v>-0.14690699999998458</v>
      </c>
      <c r="E877" s="3">
        <v>57.95</v>
      </c>
      <c r="F877" s="3">
        <v>20</v>
      </c>
      <c r="G877" s="3">
        <v>124.363474</v>
      </c>
      <c r="H877" s="4">
        <f t="shared" si="53"/>
        <v>-1.889173999999997</v>
      </c>
      <c r="I877" s="4">
        <f t="shared" si="51"/>
        <v>-6.4887760000000014</v>
      </c>
      <c r="J877" s="3">
        <v>57.95</v>
      </c>
      <c r="K877" s="3">
        <v>20</v>
      </c>
    </row>
    <row r="878" spans="1:11" x14ac:dyDescent="0.35">
      <c r="A878" s="2">
        <v>43913</v>
      </c>
      <c r="B878" s="3">
        <v>119.64450399999998</v>
      </c>
      <c r="C878" s="4">
        <f t="shared" si="52"/>
        <v>-0.68366500000001906</v>
      </c>
      <c r="D878" s="4">
        <f t="shared" si="50"/>
        <v>-1.1894860000000307</v>
      </c>
      <c r="E878" s="3">
        <v>57.95</v>
      </c>
      <c r="F878" s="3">
        <v>20</v>
      </c>
      <c r="G878" s="3">
        <v>123.40948499999999</v>
      </c>
      <c r="H878" s="4">
        <f t="shared" si="53"/>
        <v>-0.95398900000000708</v>
      </c>
      <c r="I878" s="4">
        <f t="shared" si="51"/>
        <v>-7.7426470000000052</v>
      </c>
      <c r="J878" s="3">
        <v>57.95</v>
      </c>
      <c r="K878" s="3">
        <v>20</v>
      </c>
    </row>
    <row r="879" spans="1:11" x14ac:dyDescent="0.35">
      <c r="A879" s="2">
        <v>43920</v>
      </c>
      <c r="B879" s="3">
        <v>112.452709</v>
      </c>
      <c r="C879" s="4">
        <f t="shared" si="52"/>
        <v>-7.1917949999999848</v>
      </c>
      <c r="D879" s="4">
        <f t="shared" si="50"/>
        <v>-9.2512934459999911</v>
      </c>
      <c r="E879" s="3">
        <v>57.95</v>
      </c>
      <c r="F879" s="3">
        <v>20</v>
      </c>
      <c r="G879" s="3">
        <v>118.59799800000002</v>
      </c>
      <c r="H879" s="4">
        <f t="shared" si="53"/>
        <v>-4.8114869999999712</v>
      </c>
      <c r="I879" s="4">
        <f t="shared" si="51"/>
        <v>-12.885968208000008</v>
      </c>
      <c r="J879" s="3">
        <v>57.95</v>
      </c>
      <c r="K879" s="3">
        <v>20</v>
      </c>
    </row>
    <row r="880" spans="1:11" x14ac:dyDescent="0.35">
      <c r="A880" s="2">
        <v>43927</v>
      </c>
      <c r="B880" s="3">
        <v>110.234797</v>
      </c>
      <c r="C880" s="4">
        <f t="shared" si="52"/>
        <v>-2.2179119999999983</v>
      </c>
      <c r="D880" s="4">
        <f t="shared" si="50"/>
        <v>-12.430019999999999</v>
      </c>
      <c r="E880" s="3">
        <v>57.95</v>
      </c>
      <c r="F880" s="3">
        <v>20</v>
      </c>
      <c r="G880" s="3">
        <v>116.833354</v>
      </c>
      <c r="H880" s="4">
        <f t="shared" si="53"/>
        <v>-1.7646440000000183</v>
      </c>
      <c r="I880" s="4">
        <f t="shared" si="51"/>
        <v>-15.250892000000007</v>
      </c>
      <c r="J880" s="3">
        <v>57.95</v>
      </c>
      <c r="K880" s="3">
        <v>20</v>
      </c>
    </row>
    <row r="881" spans="1:11" x14ac:dyDescent="0.35">
      <c r="A881" s="2">
        <v>43934</v>
      </c>
      <c r="B881" s="3">
        <v>109.26581899999999</v>
      </c>
      <c r="C881" s="4">
        <f t="shared" si="52"/>
        <v>-0.968978000000007</v>
      </c>
      <c r="D881" s="4">
        <f t="shared" si="50"/>
        <v>-14.789688000000012</v>
      </c>
      <c r="E881" s="3">
        <v>57.95</v>
      </c>
      <c r="F881" s="3">
        <v>20</v>
      </c>
      <c r="G881" s="3">
        <v>116.150812</v>
      </c>
      <c r="H881" s="4">
        <f t="shared" si="53"/>
        <v>-0.68254199999999798</v>
      </c>
      <c r="I881" s="4">
        <f t="shared" si="51"/>
        <v>-16.812765999999982</v>
      </c>
      <c r="J881" s="3">
        <v>57.95</v>
      </c>
      <c r="K881" s="3">
        <v>20</v>
      </c>
    </row>
    <row r="882" spans="1:11" x14ac:dyDescent="0.35">
      <c r="A882" s="2">
        <v>43941</v>
      </c>
      <c r="B882" s="3">
        <v>108.63274699999999</v>
      </c>
      <c r="C882" s="4">
        <f t="shared" si="52"/>
        <v>-0.63307199999999852</v>
      </c>
      <c r="D882" s="4">
        <f t="shared" si="50"/>
        <v>-16.796422000000007</v>
      </c>
      <c r="E882" s="3">
        <v>57.95</v>
      </c>
      <c r="F882" s="3">
        <v>20</v>
      </c>
      <c r="G882" s="3">
        <v>115.732573</v>
      </c>
      <c r="H882" s="4">
        <f t="shared" si="53"/>
        <v>-0.41823899999999981</v>
      </c>
      <c r="I882" s="4">
        <f t="shared" si="51"/>
        <v>-18.260471999999993</v>
      </c>
      <c r="J882" s="3">
        <v>57.95</v>
      </c>
      <c r="K882" s="3">
        <v>20</v>
      </c>
    </row>
    <row r="883" spans="1:11" x14ac:dyDescent="0.35">
      <c r="A883" s="2">
        <v>43948</v>
      </c>
      <c r="B883" s="3">
        <v>107.87505999999999</v>
      </c>
      <c r="C883" s="4">
        <f t="shared" si="52"/>
        <v>-0.75768700000000422</v>
      </c>
      <c r="D883" s="4">
        <f t="shared" si="50"/>
        <v>-18.485583000000005</v>
      </c>
      <c r="E883" s="3">
        <v>57.95</v>
      </c>
      <c r="F883" s="3">
        <v>20</v>
      </c>
      <c r="G883" s="3">
        <v>115.21615199999999</v>
      </c>
      <c r="H883" s="4">
        <f t="shared" si="53"/>
        <v>-0.51642100000000823</v>
      </c>
      <c r="I883" s="4">
        <f t="shared" si="51"/>
        <v>-19.387759999999986</v>
      </c>
      <c r="J883" s="3">
        <v>57.95</v>
      </c>
      <c r="K883" s="3">
        <v>20</v>
      </c>
    </row>
    <row r="884" spans="1:11" x14ac:dyDescent="0.35">
      <c r="A884" s="2">
        <v>43955</v>
      </c>
      <c r="B884" s="3">
        <v>107.55538900000002</v>
      </c>
      <c r="C884" s="4">
        <f t="shared" si="52"/>
        <v>-0.31967099999997117</v>
      </c>
      <c r="D884" s="4">
        <f t="shared" si="50"/>
        <v>-19.941859999999991</v>
      </c>
      <c r="E884" s="3">
        <v>57.95</v>
      </c>
      <c r="F884" s="3">
        <v>20</v>
      </c>
      <c r="G884" s="3">
        <v>114.93898399999999</v>
      </c>
      <c r="H884" s="4">
        <f t="shared" si="53"/>
        <v>-0.27716800000000319</v>
      </c>
      <c r="I884" s="4">
        <f t="shared" si="51"/>
        <v>-20.468478999999988</v>
      </c>
      <c r="J884" s="3">
        <v>57.95</v>
      </c>
      <c r="K884" s="3">
        <v>20</v>
      </c>
    </row>
    <row r="885" spans="1:11" x14ac:dyDescent="0.35">
      <c r="A885" s="2">
        <v>43962</v>
      </c>
      <c r="B885" s="3">
        <v>107.45436000000001</v>
      </c>
      <c r="C885" s="4">
        <f t="shared" si="52"/>
        <v>-0.10102900000001114</v>
      </c>
      <c r="D885" s="4">
        <f t="shared" si="50"/>
        <v>-20.516609000000003</v>
      </c>
      <c r="E885" s="3">
        <v>57.95</v>
      </c>
      <c r="F885" s="3">
        <v>20</v>
      </c>
      <c r="G885" s="3">
        <v>114.827827</v>
      </c>
      <c r="H885" s="4">
        <f t="shared" si="53"/>
        <v>-0.11115699999999151</v>
      </c>
      <c r="I885" s="4">
        <f t="shared" si="51"/>
        <v>-20.530934999999985</v>
      </c>
      <c r="J885" s="3">
        <v>57.95</v>
      </c>
      <c r="K885" s="3">
        <v>20</v>
      </c>
    </row>
    <row r="886" spans="1:11" x14ac:dyDescent="0.35">
      <c r="A886" s="2">
        <v>43969</v>
      </c>
      <c r="B886" s="3">
        <v>105.093524</v>
      </c>
      <c r="C886" s="4">
        <f t="shared" si="52"/>
        <v>-2.3608360000000062</v>
      </c>
      <c r="D886" s="4">
        <f t="shared" si="50"/>
        <v>-23.415808999999996</v>
      </c>
      <c r="E886" s="3">
        <v>57.95</v>
      </c>
      <c r="F886" s="3">
        <v>20</v>
      </c>
      <c r="G886" s="3">
        <v>112.22185500000001</v>
      </c>
      <c r="H886" s="4">
        <f t="shared" si="53"/>
        <v>-2.6059719999999942</v>
      </c>
      <c r="I886" s="4">
        <f t="shared" si="51"/>
        <v>-23.60071099999999</v>
      </c>
      <c r="J886" s="3">
        <v>57.95</v>
      </c>
      <c r="K886" s="3">
        <v>20</v>
      </c>
    </row>
    <row r="887" spans="1:11" x14ac:dyDescent="0.35">
      <c r="A887" s="2">
        <v>43976</v>
      </c>
      <c r="B887" s="3">
        <v>104.869348</v>
      </c>
      <c r="C887" s="4">
        <f t="shared" si="52"/>
        <v>-0.22417599999999993</v>
      </c>
      <c r="D887" s="4">
        <f t="shared" ref="D887:D950" si="54">B887-B835</f>
        <v>-24.273221000000007</v>
      </c>
      <c r="E887" s="3">
        <v>57.95</v>
      </c>
      <c r="F887" s="3">
        <v>20</v>
      </c>
      <c r="G887" s="3">
        <v>111.70437499999998</v>
      </c>
      <c r="H887" s="4">
        <f t="shared" si="53"/>
        <v>-0.51748000000002037</v>
      </c>
      <c r="I887" s="4">
        <f t="shared" ref="I887:I950" si="55">G887-G835</f>
        <v>-24.742008000000013</v>
      </c>
      <c r="J887" s="3">
        <v>57.95</v>
      </c>
      <c r="K887" s="3">
        <v>20</v>
      </c>
    </row>
    <row r="888" spans="1:11" x14ac:dyDescent="0.35">
      <c r="A888" s="2">
        <v>43983</v>
      </c>
      <c r="B888" s="3">
        <v>105.17289400000001</v>
      </c>
      <c r="C888" s="4">
        <f t="shared" si="52"/>
        <v>0.30354600000001142</v>
      </c>
      <c r="D888" s="4">
        <f t="shared" si="54"/>
        <v>-24.234311999999989</v>
      </c>
      <c r="E888" s="3">
        <v>57.95</v>
      </c>
      <c r="F888" s="3">
        <v>20</v>
      </c>
      <c r="G888" s="3">
        <v>111.76470599999999</v>
      </c>
      <c r="H888" s="4">
        <f t="shared" si="53"/>
        <v>6.033100000000502E-2</v>
      </c>
      <c r="I888" s="4">
        <f t="shared" si="55"/>
        <v>-24.628847000000007</v>
      </c>
      <c r="J888" s="3">
        <v>57.95</v>
      </c>
      <c r="K888" s="3">
        <v>20</v>
      </c>
    </row>
    <row r="889" spans="1:11" x14ac:dyDescent="0.35">
      <c r="A889" s="2">
        <v>43990</v>
      </c>
      <c r="B889" s="3">
        <v>105.73600500000001</v>
      </c>
      <c r="C889" s="4">
        <f t="shared" si="52"/>
        <v>0.56311099999999215</v>
      </c>
      <c r="D889" s="4">
        <f t="shared" si="54"/>
        <v>-23.149663000000004</v>
      </c>
      <c r="E889" s="3">
        <v>57.95</v>
      </c>
      <c r="F889" s="3">
        <v>20</v>
      </c>
      <c r="G889" s="3">
        <v>111.98127599999998</v>
      </c>
      <c r="H889" s="4">
        <f t="shared" si="53"/>
        <v>0.21656999999999016</v>
      </c>
      <c r="I889" s="4">
        <f t="shared" si="55"/>
        <v>-23.420424000000025</v>
      </c>
      <c r="J889" s="3">
        <v>57.95</v>
      </c>
      <c r="K889" s="3">
        <v>20</v>
      </c>
    </row>
    <row r="890" spans="1:11" x14ac:dyDescent="0.35">
      <c r="A890" s="2">
        <v>43997</v>
      </c>
      <c r="B890" s="3">
        <v>106.37489600000001</v>
      </c>
      <c r="C890" s="4">
        <f t="shared" si="52"/>
        <v>0.63889100000000099</v>
      </c>
      <c r="D890" s="4">
        <f t="shared" si="54"/>
        <v>-21.285876999999985</v>
      </c>
      <c r="E890" s="3">
        <v>57.95</v>
      </c>
      <c r="F890" s="3">
        <v>20</v>
      </c>
      <c r="G890" s="3">
        <v>112.531819</v>
      </c>
      <c r="H890" s="4">
        <f t="shared" si="53"/>
        <v>0.55054300000001888</v>
      </c>
      <c r="I890" s="4">
        <f t="shared" si="55"/>
        <v>-21.226636999999997</v>
      </c>
      <c r="J890" s="3">
        <v>57.95</v>
      </c>
      <c r="K890" s="3">
        <v>20</v>
      </c>
    </row>
    <row r="891" spans="1:11" x14ac:dyDescent="0.35">
      <c r="A891" s="2">
        <v>44004</v>
      </c>
      <c r="B891" s="3">
        <v>107.126</v>
      </c>
      <c r="C891" s="4">
        <f t="shared" si="52"/>
        <v>0.751103999999998</v>
      </c>
      <c r="D891" s="4">
        <f t="shared" si="54"/>
        <v>-19.537116000000012</v>
      </c>
      <c r="E891" s="3">
        <v>57.95</v>
      </c>
      <c r="F891" s="3">
        <v>20</v>
      </c>
      <c r="G891" s="3">
        <v>112.98129300000001</v>
      </c>
      <c r="H891" s="4">
        <f t="shared" si="53"/>
        <v>0.44947400000000926</v>
      </c>
      <c r="I891" s="4">
        <f t="shared" si="55"/>
        <v>-18.832647999999992</v>
      </c>
      <c r="J891" s="3">
        <v>57.95</v>
      </c>
      <c r="K891" s="3">
        <v>20</v>
      </c>
    </row>
    <row r="892" spans="1:11" x14ac:dyDescent="0.35">
      <c r="A892" s="2">
        <v>44011</v>
      </c>
      <c r="B892" s="3">
        <v>108.30699300000001</v>
      </c>
      <c r="C892" s="4">
        <f t="shared" si="52"/>
        <v>1.1809930000000008</v>
      </c>
      <c r="D892" s="4">
        <f t="shared" si="54"/>
        <v>-18.180218000000011</v>
      </c>
      <c r="E892" s="3">
        <v>57.95</v>
      </c>
      <c r="F892" s="3">
        <v>20</v>
      </c>
      <c r="G892" s="3">
        <v>114.10146400000001</v>
      </c>
      <c r="H892" s="4">
        <f t="shared" si="53"/>
        <v>1.1201709999999991</v>
      </c>
      <c r="I892" s="4">
        <f t="shared" si="55"/>
        <v>-17.453292999999988</v>
      </c>
      <c r="J892" s="3">
        <v>57.95</v>
      </c>
      <c r="K892" s="3">
        <v>20</v>
      </c>
    </row>
    <row r="893" spans="1:11" x14ac:dyDescent="0.35">
      <c r="A893" s="2">
        <v>44018</v>
      </c>
      <c r="B893" s="3">
        <v>109.42805100000001</v>
      </c>
      <c r="C893" s="4">
        <f t="shared" si="52"/>
        <v>1.121058000000005</v>
      </c>
      <c r="D893" s="4">
        <f t="shared" si="54"/>
        <v>-17.434562999999997</v>
      </c>
      <c r="E893" s="3">
        <v>57.95</v>
      </c>
      <c r="F893" s="3">
        <v>20</v>
      </c>
      <c r="G893" s="3">
        <v>115.04871399999999</v>
      </c>
      <c r="H893" s="4">
        <f t="shared" si="53"/>
        <v>0.94724999999998261</v>
      </c>
      <c r="I893" s="4">
        <f t="shared" si="55"/>
        <v>-16.631992999999994</v>
      </c>
      <c r="J893" s="3">
        <v>57.95</v>
      </c>
      <c r="K893" s="3">
        <v>20</v>
      </c>
    </row>
    <row r="894" spans="1:11" x14ac:dyDescent="0.35">
      <c r="A894" s="2">
        <v>44025</v>
      </c>
      <c r="B894" s="3">
        <v>111.23659500000001</v>
      </c>
      <c r="C894" s="4">
        <f t="shared" si="52"/>
        <v>1.8085439999999977</v>
      </c>
      <c r="D894" s="4">
        <f t="shared" si="54"/>
        <v>-15.891318999999996</v>
      </c>
      <c r="E894" s="3">
        <v>57.95</v>
      </c>
      <c r="F894" s="3">
        <v>20</v>
      </c>
      <c r="G894" s="3">
        <v>116.747501</v>
      </c>
      <c r="H894" s="4">
        <f t="shared" si="53"/>
        <v>1.69878700000001</v>
      </c>
      <c r="I894" s="4">
        <f t="shared" si="55"/>
        <v>-15.112347999999997</v>
      </c>
      <c r="J894" s="3">
        <v>57.95</v>
      </c>
      <c r="K894" s="3">
        <v>20</v>
      </c>
    </row>
    <row r="895" spans="1:11" x14ac:dyDescent="0.35">
      <c r="A895" s="2">
        <v>44032</v>
      </c>
      <c r="B895" s="3">
        <v>112.22999200000001</v>
      </c>
      <c r="C895" s="4">
        <f t="shared" si="52"/>
        <v>0.99339700000000164</v>
      </c>
      <c r="D895" s="4">
        <f t="shared" si="54"/>
        <v>-15.579278999999985</v>
      </c>
      <c r="E895" s="3">
        <v>57.95</v>
      </c>
      <c r="F895" s="3">
        <v>20</v>
      </c>
      <c r="G895" s="3">
        <v>117.35308499999999</v>
      </c>
      <c r="H895" s="4">
        <f t="shared" si="53"/>
        <v>0.60558399999999324</v>
      </c>
      <c r="I895" s="4">
        <f t="shared" si="55"/>
        <v>-14.861163000000005</v>
      </c>
      <c r="J895" s="3">
        <v>57.95</v>
      </c>
      <c r="K895" s="3">
        <v>20</v>
      </c>
    </row>
    <row r="896" spans="1:11" x14ac:dyDescent="0.35">
      <c r="A896" s="2">
        <v>44039</v>
      </c>
      <c r="B896" s="3">
        <v>112.663618</v>
      </c>
      <c r="C896" s="4">
        <f t="shared" si="52"/>
        <v>0.43362599999998963</v>
      </c>
      <c r="D896" s="4">
        <f t="shared" si="54"/>
        <v>-15.370158999999987</v>
      </c>
      <c r="E896" s="3">
        <v>57.95</v>
      </c>
      <c r="F896" s="3">
        <v>20</v>
      </c>
      <c r="G896" s="3">
        <v>117.75563200000001</v>
      </c>
      <c r="H896" s="4">
        <f t="shared" si="53"/>
        <v>0.40254700000001264</v>
      </c>
      <c r="I896" s="4">
        <f t="shared" si="55"/>
        <v>-14.840512000000004</v>
      </c>
      <c r="J896" s="3">
        <v>57.95</v>
      </c>
      <c r="K896" s="3">
        <v>20</v>
      </c>
    </row>
    <row r="897" spans="1:11" x14ac:dyDescent="0.35">
      <c r="A897" s="2">
        <v>44046</v>
      </c>
      <c r="B897" s="3">
        <v>112.91443100000001</v>
      </c>
      <c r="C897" s="4">
        <f t="shared" si="52"/>
        <v>0.25081300000000795</v>
      </c>
      <c r="D897" s="4">
        <f t="shared" si="54"/>
        <v>-15.455928</v>
      </c>
      <c r="E897" s="3">
        <v>57.95</v>
      </c>
      <c r="F897" s="3">
        <v>20</v>
      </c>
      <c r="G897" s="3">
        <v>117.97414900000001</v>
      </c>
      <c r="H897" s="4">
        <f t="shared" si="53"/>
        <v>0.21851700000000562</v>
      </c>
      <c r="I897" s="4">
        <f t="shared" si="55"/>
        <v>-14.631583999999975</v>
      </c>
      <c r="J897" s="3">
        <v>57.95</v>
      </c>
      <c r="K897" s="3">
        <v>20</v>
      </c>
    </row>
    <row r="898" spans="1:11" x14ac:dyDescent="0.35">
      <c r="A898" s="2">
        <v>44053</v>
      </c>
      <c r="B898" s="3">
        <v>113.01709999999999</v>
      </c>
      <c r="C898" s="4">
        <f t="shared" si="52"/>
        <v>0.10266899999997747</v>
      </c>
      <c r="D898" s="4">
        <f t="shared" si="54"/>
        <v>-15.344142000000019</v>
      </c>
      <c r="E898" s="3">
        <v>57.95</v>
      </c>
      <c r="F898" s="3">
        <v>20</v>
      </c>
      <c r="G898" s="3">
        <v>118.00904200000001</v>
      </c>
      <c r="H898" s="4">
        <f t="shared" si="53"/>
        <v>3.4892999999996732E-2</v>
      </c>
      <c r="I898" s="4">
        <f t="shared" si="55"/>
        <v>-14.579643999999988</v>
      </c>
      <c r="J898" s="3">
        <v>57.95</v>
      </c>
      <c r="K898" s="3">
        <v>20</v>
      </c>
    </row>
    <row r="899" spans="1:11" x14ac:dyDescent="0.35">
      <c r="A899" s="2">
        <v>44060</v>
      </c>
      <c r="B899" s="3">
        <v>113.037843</v>
      </c>
      <c r="C899" s="4">
        <f t="shared" ref="C899:C962" si="56">B899-B898</f>
        <v>2.074300000001017E-2</v>
      </c>
      <c r="D899" s="4">
        <f t="shared" si="54"/>
        <v>-15.128139999999988</v>
      </c>
      <c r="E899" s="3">
        <v>57.95</v>
      </c>
      <c r="F899" s="3">
        <v>20</v>
      </c>
      <c r="G899" s="3">
        <v>117.99622100000001</v>
      </c>
      <c r="H899" s="4">
        <f t="shared" ref="H899:H962" si="57">G899-G898</f>
        <v>-1.2821000000002414E-2</v>
      </c>
      <c r="I899" s="4">
        <f t="shared" si="55"/>
        <v>-14.599766000000002</v>
      </c>
      <c r="J899" s="3">
        <v>57.95</v>
      </c>
      <c r="K899" s="3">
        <v>20</v>
      </c>
    </row>
    <row r="900" spans="1:11" x14ac:dyDescent="0.35">
      <c r="A900" s="2">
        <v>44067</v>
      </c>
      <c r="B900" s="3">
        <v>113.22045399999999</v>
      </c>
      <c r="C900" s="4">
        <f t="shared" si="56"/>
        <v>0.18261099999999431</v>
      </c>
      <c r="D900" s="4">
        <f t="shared" si="54"/>
        <v>-15.000582000000009</v>
      </c>
      <c r="E900" s="3">
        <v>57.95</v>
      </c>
      <c r="F900" s="3">
        <v>20</v>
      </c>
      <c r="G900" s="3">
        <v>118.140108</v>
      </c>
      <c r="H900" s="4">
        <f t="shared" si="57"/>
        <v>0.14388699999999233</v>
      </c>
      <c r="I900" s="4">
        <f t="shared" si="55"/>
        <v>-14.370746999999994</v>
      </c>
      <c r="J900" s="3">
        <v>57.95</v>
      </c>
      <c r="K900" s="3">
        <v>20</v>
      </c>
    </row>
    <row r="901" spans="1:11" x14ac:dyDescent="0.35">
      <c r="A901" s="2">
        <v>44074</v>
      </c>
      <c r="B901" s="3">
        <v>113.292388</v>
      </c>
      <c r="C901" s="4">
        <f t="shared" si="56"/>
        <v>7.1934000000013043E-2</v>
      </c>
      <c r="D901" s="4">
        <f t="shared" si="54"/>
        <v>-14.571927000000002</v>
      </c>
      <c r="E901" s="3">
        <v>57.95</v>
      </c>
      <c r="F901" s="3">
        <v>20</v>
      </c>
      <c r="G901" s="3">
        <v>118.181321</v>
      </c>
      <c r="H901" s="4">
        <f t="shared" si="57"/>
        <v>4.1212999999999056E-2</v>
      </c>
      <c r="I901" s="4">
        <f t="shared" si="55"/>
        <v>-14.109398999999996</v>
      </c>
      <c r="J901" s="3">
        <v>57.95</v>
      </c>
      <c r="K901" s="3">
        <v>20</v>
      </c>
    </row>
    <row r="902" spans="1:11" x14ac:dyDescent="0.35">
      <c r="A902" s="2">
        <v>44081</v>
      </c>
      <c r="B902" s="3">
        <v>113.36947799999999</v>
      </c>
      <c r="C902" s="4">
        <f t="shared" si="56"/>
        <v>7.7089999999984116E-2</v>
      </c>
      <c r="D902" s="4">
        <f t="shared" si="54"/>
        <v>-14.419938303000023</v>
      </c>
      <c r="E902" s="3">
        <v>57.95</v>
      </c>
      <c r="F902" s="3">
        <v>20</v>
      </c>
      <c r="G902" s="3">
        <v>118.21793599999999</v>
      </c>
      <c r="H902" s="4">
        <f t="shared" si="57"/>
        <v>3.6614999999997622E-2</v>
      </c>
      <c r="I902" s="4">
        <f t="shared" si="55"/>
        <v>-13.668799888000009</v>
      </c>
      <c r="J902" s="3">
        <v>57.95</v>
      </c>
      <c r="K902" s="3">
        <v>20</v>
      </c>
    </row>
    <row r="903" spans="1:11" x14ac:dyDescent="0.35">
      <c r="A903" s="2">
        <v>44088</v>
      </c>
      <c r="B903" s="3">
        <v>113.324635</v>
      </c>
      <c r="C903" s="4">
        <f t="shared" si="56"/>
        <v>-4.4842999999985977E-2</v>
      </c>
      <c r="D903" s="4">
        <f t="shared" si="54"/>
        <v>-13.593600506000016</v>
      </c>
      <c r="E903" s="3">
        <v>57.95</v>
      </c>
      <c r="F903" s="3">
        <v>20</v>
      </c>
      <c r="G903" s="3">
        <v>118.17559500000002</v>
      </c>
      <c r="H903" s="4">
        <f t="shared" si="57"/>
        <v>-4.234099999997909E-2</v>
      </c>
      <c r="I903" s="4">
        <f t="shared" si="55"/>
        <v>-13.170873079999978</v>
      </c>
      <c r="J903" s="3">
        <v>57.95</v>
      </c>
      <c r="K903" s="3">
        <v>20</v>
      </c>
    </row>
    <row r="904" spans="1:11" x14ac:dyDescent="0.35">
      <c r="A904" s="2">
        <v>44095</v>
      </c>
      <c r="B904" s="3">
        <v>113.30688185</v>
      </c>
      <c r="C904" s="4">
        <f t="shared" si="56"/>
        <v>-1.7753150000004325E-2</v>
      </c>
      <c r="D904" s="4">
        <f t="shared" si="54"/>
        <v>-13.472030464000014</v>
      </c>
      <c r="E904" s="3">
        <v>57.95</v>
      </c>
      <c r="F904" s="3">
        <v>20</v>
      </c>
      <c r="G904" s="3">
        <v>118.16251131999999</v>
      </c>
      <c r="H904" s="4">
        <f t="shared" si="57"/>
        <v>-1.3083680000022468E-2</v>
      </c>
      <c r="I904" s="4">
        <f t="shared" si="55"/>
        <v>-13.360663344000017</v>
      </c>
      <c r="J904" s="3">
        <v>57.95</v>
      </c>
      <c r="K904" s="3">
        <v>20</v>
      </c>
    </row>
    <row r="905" spans="1:11" x14ac:dyDescent="0.35">
      <c r="A905" s="2">
        <v>44102</v>
      </c>
      <c r="B905" s="3">
        <v>113.297878</v>
      </c>
      <c r="C905" s="4">
        <f t="shared" si="56"/>
        <v>-9.0038499999991473E-3</v>
      </c>
      <c r="D905" s="4">
        <f t="shared" si="54"/>
        <v>-13.626086000000015</v>
      </c>
      <c r="E905" s="3">
        <v>57.95</v>
      </c>
      <c r="F905" s="3">
        <v>20</v>
      </c>
      <c r="G905" s="3">
        <v>118.13608599999999</v>
      </c>
      <c r="H905" s="4">
        <f t="shared" si="57"/>
        <v>-2.6425320000001307E-2</v>
      </c>
      <c r="I905" s="4">
        <f t="shared" si="55"/>
        <v>-13.697763999999992</v>
      </c>
      <c r="J905" s="3">
        <v>57.95</v>
      </c>
      <c r="K905" s="3">
        <v>20</v>
      </c>
    </row>
    <row r="906" spans="1:11" x14ac:dyDescent="0.35">
      <c r="A906" s="2">
        <v>44109</v>
      </c>
      <c r="B906" s="3">
        <v>113.26167600000001</v>
      </c>
      <c r="C906" s="4">
        <f t="shared" si="56"/>
        <v>-3.6201999999988743E-2</v>
      </c>
      <c r="D906" s="4">
        <f t="shared" si="54"/>
        <v>-13.607818999999978</v>
      </c>
      <c r="E906" s="3">
        <v>57.95</v>
      </c>
      <c r="F906" s="3">
        <v>20</v>
      </c>
      <c r="G906" s="3">
        <v>118.11395</v>
      </c>
      <c r="H906" s="4">
        <f t="shared" si="57"/>
        <v>-2.2135999999989053E-2</v>
      </c>
      <c r="I906" s="4">
        <f t="shared" si="55"/>
        <v>-13.706852999999981</v>
      </c>
      <c r="J906" s="3">
        <v>57.95</v>
      </c>
      <c r="K906" s="3">
        <v>20</v>
      </c>
    </row>
    <row r="907" spans="1:11" x14ac:dyDescent="0.35">
      <c r="A907" s="2">
        <v>44116</v>
      </c>
      <c r="B907" s="3">
        <v>113.18679400000001</v>
      </c>
      <c r="C907" s="4">
        <f t="shared" si="56"/>
        <v>-7.4882000000002336E-2</v>
      </c>
      <c r="D907" s="4">
        <f t="shared" si="54"/>
        <v>-13.719696999999982</v>
      </c>
      <c r="E907" s="3">
        <v>57.95</v>
      </c>
      <c r="F907" s="3">
        <v>20</v>
      </c>
      <c r="G907" s="3">
        <v>118.05383999999999</v>
      </c>
      <c r="H907" s="4">
        <f t="shared" si="57"/>
        <v>-6.0110000000008768E-2</v>
      </c>
      <c r="I907" s="4">
        <f t="shared" si="55"/>
        <v>-13.839067999999983</v>
      </c>
      <c r="J907" s="3">
        <v>57.95</v>
      </c>
      <c r="K907" s="3">
        <v>20</v>
      </c>
    </row>
    <row r="908" spans="1:11" x14ac:dyDescent="0.35">
      <c r="A908" s="2">
        <v>44123</v>
      </c>
      <c r="B908" s="3">
        <v>113.18026999999999</v>
      </c>
      <c r="C908" s="4">
        <f t="shared" si="56"/>
        <v>-6.5240000000130749E-3</v>
      </c>
      <c r="D908" s="4">
        <f t="shared" si="54"/>
        <v>-13.222150000000013</v>
      </c>
      <c r="E908" s="3">
        <v>57.95</v>
      </c>
      <c r="F908" s="3">
        <v>20</v>
      </c>
      <c r="G908" s="3">
        <v>118.075514</v>
      </c>
      <c r="H908" s="4">
        <f t="shared" si="57"/>
        <v>2.1674000000004412E-2</v>
      </c>
      <c r="I908" s="4">
        <f t="shared" si="55"/>
        <v>-13.203738999999985</v>
      </c>
      <c r="J908" s="3">
        <v>57.95</v>
      </c>
      <c r="K908" s="3">
        <v>20</v>
      </c>
    </row>
    <row r="909" spans="1:11" x14ac:dyDescent="0.35">
      <c r="A909" s="2">
        <v>44130</v>
      </c>
      <c r="B909" s="3">
        <v>113.14429299999999</v>
      </c>
      <c r="C909" s="4">
        <f t="shared" si="56"/>
        <v>-3.597700000000259E-2</v>
      </c>
      <c r="D909" s="4">
        <f t="shared" si="54"/>
        <v>-12.621220999999991</v>
      </c>
      <c r="E909" s="3">
        <v>57.95</v>
      </c>
      <c r="F909" s="3">
        <v>20</v>
      </c>
      <c r="G909" s="3">
        <v>118.08094499999999</v>
      </c>
      <c r="H909" s="4">
        <f t="shared" si="57"/>
        <v>5.4309999999873071E-3</v>
      </c>
      <c r="I909" s="4">
        <f t="shared" si="55"/>
        <v>-12.522587000000016</v>
      </c>
      <c r="J909" s="3">
        <v>57.95</v>
      </c>
      <c r="K909" s="3">
        <v>20</v>
      </c>
    </row>
    <row r="910" spans="1:11" x14ac:dyDescent="0.35">
      <c r="A910" s="2">
        <v>44137</v>
      </c>
      <c r="B910" s="3">
        <v>113.10595099999998</v>
      </c>
      <c r="C910" s="4">
        <f t="shared" si="56"/>
        <v>-3.8342000000014309E-2</v>
      </c>
      <c r="D910" s="4">
        <f t="shared" si="54"/>
        <v>-12.452750000000023</v>
      </c>
      <c r="E910" s="3">
        <v>57.95</v>
      </c>
      <c r="F910" s="3">
        <v>20</v>
      </c>
      <c r="G910" s="3">
        <v>118.056847</v>
      </c>
      <c r="H910" s="4">
        <f t="shared" si="57"/>
        <v>-2.4097999999980857E-2</v>
      </c>
      <c r="I910" s="4">
        <f t="shared" si="55"/>
        <v>-12.319247999999988</v>
      </c>
      <c r="J910" s="3">
        <v>57.95</v>
      </c>
      <c r="K910" s="3">
        <v>20</v>
      </c>
    </row>
    <row r="911" spans="1:11" x14ac:dyDescent="0.35">
      <c r="A911" s="2">
        <v>44144</v>
      </c>
      <c r="B911" s="3">
        <v>112.49738899999998</v>
      </c>
      <c r="C911" s="4">
        <f t="shared" si="56"/>
        <v>-0.60856199999999205</v>
      </c>
      <c r="D911" s="4">
        <f t="shared" si="54"/>
        <v>-13.096610000000027</v>
      </c>
      <c r="E911" s="3">
        <v>57.95</v>
      </c>
      <c r="F911" s="3">
        <v>20</v>
      </c>
      <c r="G911" s="3">
        <v>117.276657</v>
      </c>
      <c r="H911" s="4">
        <f t="shared" si="57"/>
        <v>-0.7801900000000046</v>
      </c>
      <c r="I911" s="4">
        <f t="shared" si="55"/>
        <v>-13.148252999999983</v>
      </c>
      <c r="J911" s="3">
        <v>57.95</v>
      </c>
      <c r="K911" s="3">
        <v>20</v>
      </c>
    </row>
    <row r="912" spans="1:11" x14ac:dyDescent="0.35">
      <c r="A912" s="2">
        <v>44151</v>
      </c>
      <c r="B912" s="3">
        <v>112.346174</v>
      </c>
      <c r="C912" s="4">
        <f t="shared" si="56"/>
        <v>-0.15121499999997923</v>
      </c>
      <c r="D912" s="4">
        <f t="shared" si="54"/>
        <v>-13.236171999999996</v>
      </c>
      <c r="E912" s="3">
        <v>57.95</v>
      </c>
      <c r="F912" s="3">
        <v>20</v>
      </c>
      <c r="G912" s="3">
        <v>117.06657200000001</v>
      </c>
      <c r="H912" s="4">
        <f t="shared" si="57"/>
        <v>-0.21008499999999231</v>
      </c>
      <c r="I912" s="4">
        <f t="shared" si="55"/>
        <v>-13.279022999999995</v>
      </c>
      <c r="J912" s="3">
        <v>57.95</v>
      </c>
      <c r="K912" s="3">
        <v>20</v>
      </c>
    </row>
    <row r="913" spans="1:11" x14ac:dyDescent="0.35">
      <c r="A913" s="2">
        <v>44158</v>
      </c>
      <c r="B913" s="3">
        <v>112.42064999999998</v>
      </c>
      <c r="C913" s="4">
        <f t="shared" si="56"/>
        <v>7.4475999999975784E-2</v>
      </c>
      <c r="D913" s="4">
        <f t="shared" si="54"/>
        <v>-12.899148000000025</v>
      </c>
      <c r="E913" s="3">
        <v>57.95</v>
      </c>
      <c r="F913" s="3">
        <v>20</v>
      </c>
      <c r="G913" s="3">
        <v>117.13443100000001</v>
      </c>
      <c r="H913" s="4">
        <f t="shared" si="57"/>
        <v>6.7858999999998559E-2</v>
      </c>
      <c r="I913" s="4">
        <f t="shared" si="55"/>
        <v>-12.943882000000002</v>
      </c>
      <c r="J913" s="3">
        <v>57.95</v>
      </c>
      <c r="K913" s="3">
        <v>20</v>
      </c>
    </row>
    <row r="914" spans="1:11" x14ac:dyDescent="0.35">
      <c r="A914" s="2">
        <v>44165</v>
      </c>
      <c r="B914" s="3">
        <v>112.605412</v>
      </c>
      <c r="C914" s="4">
        <f t="shared" si="56"/>
        <v>0.18476200000002052</v>
      </c>
      <c r="D914" s="4">
        <f t="shared" si="54"/>
        <v>-12.203371000000004</v>
      </c>
      <c r="E914" s="3">
        <v>57.95</v>
      </c>
      <c r="F914" s="3">
        <v>20</v>
      </c>
      <c r="G914" s="3">
        <v>117.40804</v>
      </c>
      <c r="H914" s="4">
        <f t="shared" si="57"/>
        <v>0.27360899999999333</v>
      </c>
      <c r="I914" s="4">
        <f t="shared" si="55"/>
        <v>-12.385793000000007</v>
      </c>
      <c r="J914" s="3">
        <v>57.95</v>
      </c>
      <c r="K914" s="3">
        <v>20</v>
      </c>
    </row>
    <row r="915" spans="1:11" x14ac:dyDescent="0.35">
      <c r="A915" s="2">
        <v>44172</v>
      </c>
      <c r="B915" s="3">
        <v>113.165696</v>
      </c>
      <c r="C915" s="4">
        <f t="shared" si="56"/>
        <v>0.56028399999999579</v>
      </c>
      <c r="D915" s="4">
        <f t="shared" si="54"/>
        <v>-11.582480000000004</v>
      </c>
      <c r="E915" s="3">
        <v>57.95</v>
      </c>
      <c r="F915" s="3">
        <v>20</v>
      </c>
      <c r="G915" s="3">
        <v>117.98563099999998</v>
      </c>
      <c r="H915" s="4">
        <f t="shared" si="57"/>
        <v>0.57759099999998398</v>
      </c>
      <c r="I915" s="4">
        <f t="shared" si="55"/>
        <v>-11.804554000000024</v>
      </c>
      <c r="J915" s="3">
        <v>57.95</v>
      </c>
      <c r="K915" s="3">
        <v>20</v>
      </c>
    </row>
    <row r="916" spans="1:11" x14ac:dyDescent="0.35">
      <c r="A916" s="2">
        <v>44179</v>
      </c>
      <c r="B916" s="3">
        <v>113.817286</v>
      </c>
      <c r="C916" s="4">
        <f t="shared" si="56"/>
        <v>0.65158999999999878</v>
      </c>
      <c r="D916" s="4">
        <f t="shared" si="54"/>
        <v>-10.512684000000007</v>
      </c>
      <c r="E916" s="3">
        <v>57.95</v>
      </c>
      <c r="F916" s="3">
        <v>20</v>
      </c>
      <c r="G916" s="3">
        <v>118.57419999999999</v>
      </c>
      <c r="H916" s="4">
        <f t="shared" si="57"/>
        <v>0.58856900000000678</v>
      </c>
      <c r="I916" s="4">
        <f t="shared" si="55"/>
        <v>-10.987561999999997</v>
      </c>
      <c r="J916" s="3">
        <v>57.95</v>
      </c>
      <c r="K916" s="3">
        <v>20</v>
      </c>
    </row>
    <row r="917" spans="1:11" x14ac:dyDescent="0.35">
      <c r="A917" s="2">
        <v>44186</v>
      </c>
      <c r="B917" s="3">
        <v>114.43232</v>
      </c>
      <c r="C917" s="4">
        <f t="shared" si="56"/>
        <v>0.61503400000000852</v>
      </c>
      <c r="D917" s="4">
        <f t="shared" si="54"/>
        <v>-9.7252199999999789</v>
      </c>
      <c r="E917" s="3">
        <v>57.95</v>
      </c>
      <c r="F917" s="3">
        <v>20</v>
      </c>
      <c r="G917" s="3">
        <v>119.17143900000001</v>
      </c>
      <c r="H917" s="4">
        <f t="shared" si="57"/>
        <v>0.59723900000001606</v>
      </c>
      <c r="I917" s="4">
        <f t="shared" si="55"/>
        <v>-10.639693000000008</v>
      </c>
      <c r="J917" s="3">
        <v>57.95</v>
      </c>
      <c r="K917" s="3">
        <v>20</v>
      </c>
    </row>
    <row r="918" spans="1:11" x14ac:dyDescent="0.35">
      <c r="A918" s="2">
        <v>44193</v>
      </c>
      <c r="B918" s="3">
        <v>114.91116</v>
      </c>
      <c r="C918" s="4">
        <f t="shared" si="56"/>
        <v>0.47883999999999105</v>
      </c>
      <c r="D918" s="4">
        <f t="shared" si="54"/>
        <v>-10.05099100000001</v>
      </c>
      <c r="E918" s="3">
        <v>57.95</v>
      </c>
      <c r="F918" s="3">
        <v>20</v>
      </c>
      <c r="G918" s="3">
        <v>119.65465</v>
      </c>
      <c r="H918" s="4">
        <f t="shared" si="57"/>
        <v>0.48321099999999717</v>
      </c>
      <c r="I918" s="4">
        <f t="shared" si="55"/>
        <v>-10.887395999999995</v>
      </c>
      <c r="J918" s="3">
        <v>57.95</v>
      </c>
      <c r="K918" s="3">
        <v>20</v>
      </c>
    </row>
    <row r="919" spans="1:11" x14ac:dyDescent="0.35">
      <c r="A919" s="2">
        <v>44200</v>
      </c>
      <c r="B919" s="3">
        <v>115.38540500000001</v>
      </c>
      <c r="C919" s="4">
        <f t="shared" si="56"/>
        <v>0.47424500000001046</v>
      </c>
      <c r="D919" s="4">
        <f t="shared" si="54"/>
        <v>-10.700463999999997</v>
      </c>
      <c r="E919" s="3">
        <v>57.95</v>
      </c>
      <c r="F919" s="3">
        <v>20</v>
      </c>
      <c r="G919" s="3">
        <v>119.967465</v>
      </c>
      <c r="H919" s="4">
        <f t="shared" si="57"/>
        <v>0.31281500000000051</v>
      </c>
      <c r="I919" s="4">
        <f t="shared" si="55"/>
        <v>-11.587692000000004</v>
      </c>
      <c r="J919" s="3">
        <v>57.95</v>
      </c>
      <c r="K919" s="3">
        <v>20</v>
      </c>
    </row>
    <row r="920" spans="1:11" x14ac:dyDescent="0.35">
      <c r="A920" s="2">
        <v>44207</v>
      </c>
      <c r="B920" s="3">
        <v>116.14066200000001</v>
      </c>
      <c r="C920" s="4">
        <f t="shared" si="56"/>
        <v>0.75525700000000029</v>
      </c>
      <c r="D920" s="4">
        <f t="shared" si="54"/>
        <v>-11.026730000000001</v>
      </c>
      <c r="E920" s="3">
        <v>57.95</v>
      </c>
      <c r="F920" s="3">
        <v>20</v>
      </c>
      <c r="G920" s="3">
        <v>120.61450400000001</v>
      </c>
      <c r="H920" s="4">
        <f t="shared" si="57"/>
        <v>0.64703900000000658</v>
      </c>
      <c r="I920" s="4">
        <f t="shared" si="55"/>
        <v>-12.073730999999981</v>
      </c>
      <c r="J920" s="3">
        <v>57.95</v>
      </c>
      <c r="K920" s="3">
        <v>20</v>
      </c>
    </row>
    <row r="921" spans="1:11" x14ac:dyDescent="0.35">
      <c r="A921" s="2">
        <v>44214</v>
      </c>
      <c r="B921" s="3">
        <v>116.930143</v>
      </c>
      <c r="C921" s="4">
        <f t="shared" si="56"/>
        <v>0.78948099999999499</v>
      </c>
      <c r="D921" s="4">
        <f t="shared" si="54"/>
        <v>-10.247084000000001</v>
      </c>
      <c r="E921" s="3">
        <v>57.95</v>
      </c>
      <c r="F921" s="3">
        <v>20</v>
      </c>
      <c r="G921" s="3">
        <v>121.51814499999999</v>
      </c>
      <c r="H921" s="4">
        <f t="shared" si="57"/>
        <v>0.90364099999997904</v>
      </c>
      <c r="I921" s="4">
        <f t="shared" si="55"/>
        <v>-11.221609000000015</v>
      </c>
      <c r="J921" s="3">
        <v>57.95</v>
      </c>
      <c r="K921" s="3">
        <v>20</v>
      </c>
    </row>
    <row r="922" spans="1:11" x14ac:dyDescent="0.35">
      <c r="A922" s="2">
        <v>44221</v>
      </c>
      <c r="B922" s="3">
        <v>118.10299300000001</v>
      </c>
      <c r="C922" s="4">
        <f t="shared" si="56"/>
        <v>1.1728500000000111</v>
      </c>
      <c r="D922" s="4">
        <f t="shared" si="54"/>
        <v>-9.2315959999999961</v>
      </c>
      <c r="E922" s="3">
        <v>57.95</v>
      </c>
      <c r="F922" s="3">
        <v>20</v>
      </c>
      <c r="G922" s="3">
        <v>122.704246</v>
      </c>
      <c r="H922" s="4">
        <f t="shared" si="57"/>
        <v>1.1861010000000078</v>
      </c>
      <c r="I922" s="4">
        <f t="shared" si="55"/>
        <v>-10.17663499999999</v>
      </c>
      <c r="J922" s="3">
        <v>57.95</v>
      </c>
      <c r="K922" s="3">
        <v>20</v>
      </c>
    </row>
    <row r="923" spans="1:11" x14ac:dyDescent="0.35">
      <c r="A923" s="2">
        <v>44228</v>
      </c>
      <c r="B923" s="3">
        <v>119.13775399999999</v>
      </c>
      <c r="C923" s="4">
        <f t="shared" si="56"/>
        <v>1.0347609999999747</v>
      </c>
      <c r="D923" s="4">
        <f t="shared" si="54"/>
        <v>-6.7103330000000057</v>
      </c>
      <c r="E923" s="3">
        <v>57.95</v>
      </c>
      <c r="F923" s="3">
        <v>20</v>
      </c>
      <c r="G923" s="3">
        <v>123.700436</v>
      </c>
      <c r="H923" s="4">
        <f t="shared" si="57"/>
        <v>0.99618999999999858</v>
      </c>
      <c r="I923" s="4">
        <f t="shared" si="55"/>
        <v>-7.7752360000000067</v>
      </c>
      <c r="J923" s="3">
        <v>57.95</v>
      </c>
      <c r="K923" s="3">
        <v>20</v>
      </c>
    </row>
    <row r="924" spans="1:11" x14ac:dyDescent="0.35">
      <c r="A924" s="2">
        <v>44235</v>
      </c>
      <c r="B924" s="3">
        <v>119.667637</v>
      </c>
      <c r="C924" s="4">
        <f t="shared" si="56"/>
        <v>0.52988300000001232</v>
      </c>
      <c r="D924" s="4">
        <f t="shared" si="54"/>
        <v>-5.0617229999999864</v>
      </c>
      <c r="E924" s="3">
        <v>57.95</v>
      </c>
      <c r="F924" s="3">
        <v>20</v>
      </c>
      <c r="G924" s="3">
        <v>124.087524</v>
      </c>
      <c r="H924" s="4">
        <f t="shared" si="57"/>
        <v>0.38708800000000565</v>
      </c>
      <c r="I924" s="4">
        <f t="shared" si="55"/>
        <v>-5.6169229999999857</v>
      </c>
      <c r="J924" s="3">
        <v>57.95</v>
      </c>
      <c r="K924" s="3">
        <v>20</v>
      </c>
    </row>
    <row r="925" spans="1:11" x14ac:dyDescent="0.35">
      <c r="A925" s="2">
        <v>44242</v>
      </c>
      <c r="B925" s="3">
        <v>120.52860500000001</v>
      </c>
      <c r="C925" s="4">
        <f t="shared" si="56"/>
        <v>0.86096800000001394</v>
      </c>
      <c r="D925" s="4">
        <f t="shared" si="54"/>
        <v>-3.2674699999999888</v>
      </c>
      <c r="E925" s="3">
        <v>57.95</v>
      </c>
      <c r="F925" s="3">
        <v>20</v>
      </c>
      <c r="G925" s="3">
        <v>125.005819</v>
      </c>
      <c r="H925" s="4">
        <f t="shared" si="57"/>
        <v>0.91829500000000053</v>
      </c>
      <c r="I925" s="4">
        <f t="shared" si="55"/>
        <v>-3.1970299999999838</v>
      </c>
      <c r="J925" s="3">
        <v>57.95</v>
      </c>
      <c r="K925" s="3">
        <v>20</v>
      </c>
    </row>
    <row r="926" spans="1:11" x14ac:dyDescent="0.35">
      <c r="A926" s="2">
        <v>44249</v>
      </c>
      <c r="B926" s="3">
        <v>121.27478599999999</v>
      </c>
      <c r="C926" s="4">
        <f t="shared" si="56"/>
        <v>0.74618099999997867</v>
      </c>
      <c r="D926" s="4">
        <f t="shared" si="54"/>
        <v>-2.1716631529999972</v>
      </c>
      <c r="E926" s="3">
        <v>57.95</v>
      </c>
      <c r="F926" s="3">
        <v>20</v>
      </c>
      <c r="G926" s="3">
        <v>125.71305400000001</v>
      </c>
      <c r="H926" s="4">
        <f t="shared" si="57"/>
        <v>0.70723500000001138</v>
      </c>
      <c r="I926" s="4">
        <f t="shared" si="55"/>
        <v>-1.9613724719999936</v>
      </c>
      <c r="J926" s="3">
        <v>57.95</v>
      </c>
      <c r="K926" s="3">
        <v>20</v>
      </c>
    </row>
    <row r="927" spans="1:11" x14ac:dyDescent="0.35">
      <c r="A927" s="2">
        <v>44256</v>
      </c>
      <c r="B927" s="3">
        <v>122.17319900000003</v>
      </c>
      <c r="C927" s="4">
        <f t="shared" si="56"/>
        <v>0.89841300000003343</v>
      </c>
      <c r="D927" s="4">
        <f t="shared" si="54"/>
        <v>-0.25807299999998179</v>
      </c>
      <c r="E927" s="3">
        <v>57.95</v>
      </c>
      <c r="F927" s="3">
        <v>20</v>
      </c>
      <c r="G927" s="3">
        <v>126.62080400000001</v>
      </c>
      <c r="H927" s="4">
        <f t="shared" si="57"/>
        <v>0.90774999999999295</v>
      </c>
      <c r="I927" s="4">
        <f t="shared" si="55"/>
        <v>-1.6599999999868942E-3</v>
      </c>
      <c r="J927" s="3">
        <v>57.95</v>
      </c>
      <c r="K927" s="3">
        <v>20</v>
      </c>
    </row>
    <row r="928" spans="1:11" x14ac:dyDescent="0.35">
      <c r="A928" s="2">
        <v>44263</v>
      </c>
      <c r="B928" s="3">
        <v>122.9425</v>
      </c>
      <c r="C928" s="4">
        <f t="shared" si="56"/>
        <v>0.76930099999997026</v>
      </c>
      <c r="D928" s="4">
        <f t="shared" si="54"/>
        <v>0.69851900000000455</v>
      </c>
      <c r="E928" s="3">
        <v>57.95</v>
      </c>
      <c r="F928" s="3">
        <v>20</v>
      </c>
      <c r="G928" s="3">
        <v>127.39864900000001</v>
      </c>
      <c r="H928" s="4">
        <f t="shared" si="57"/>
        <v>0.77784499999999923</v>
      </c>
      <c r="I928" s="4">
        <f t="shared" si="55"/>
        <v>1.1460010000000125</v>
      </c>
      <c r="J928" s="3">
        <v>57.95</v>
      </c>
      <c r="K928" s="3">
        <v>20</v>
      </c>
    </row>
    <row r="929" spans="1:11" x14ac:dyDescent="0.35">
      <c r="A929" s="2">
        <v>44270</v>
      </c>
      <c r="B929" s="3">
        <v>123.90088300000001</v>
      </c>
      <c r="C929" s="4">
        <f t="shared" si="56"/>
        <v>0.95838300000001198</v>
      </c>
      <c r="D929" s="4">
        <f t="shared" si="54"/>
        <v>3.5727140000000048</v>
      </c>
      <c r="E929" s="3">
        <v>57.95</v>
      </c>
      <c r="F929" s="3">
        <v>20</v>
      </c>
      <c r="G929" s="3">
        <v>128.24372499999998</v>
      </c>
      <c r="H929" s="4">
        <f t="shared" si="57"/>
        <v>0.84507599999997751</v>
      </c>
      <c r="I929" s="4">
        <f t="shared" si="55"/>
        <v>3.880250999999987</v>
      </c>
      <c r="J929" s="3">
        <v>57.95</v>
      </c>
      <c r="K929" s="3">
        <v>20</v>
      </c>
    </row>
    <row r="930" spans="1:11" x14ac:dyDescent="0.35">
      <c r="A930" s="2">
        <v>44277</v>
      </c>
      <c r="B930" s="3">
        <v>124.56824700000001</v>
      </c>
      <c r="C930" s="4">
        <f t="shared" si="56"/>
        <v>0.66736400000000629</v>
      </c>
      <c r="D930" s="4">
        <f t="shared" si="54"/>
        <v>4.9237430000000302</v>
      </c>
      <c r="E930" s="3">
        <v>57.95</v>
      </c>
      <c r="F930" s="3">
        <v>20</v>
      </c>
      <c r="G930" s="3">
        <v>129.01912099999998</v>
      </c>
      <c r="H930" s="4">
        <f t="shared" si="57"/>
        <v>0.77539600000000064</v>
      </c>
      <c r="I930" s="4">
        <f t="shared" si="55"/>
        <v>5.6096359999999947</v>
      </c>
      <c r="J930" s="3">
        <v>57.95</v>
      </c>
      <c r="K930" s="3">
        <v>20</v>
      </c>
    </row>
    <row r="931" spans="1:11" x14ac:dyDescent="0.35">
      <c r="A931" s="2">
        <v>44284</v>
      </c>
      <c r="B931" s="3">
        <v>125.126976</v>
      </c>
      <c r="C931" s="4">
        <f t="shared" si="56"/>
        <v>0.55872899999998538</v>
      </c>
      <c r="D931" s="4">
        <f t="shared" si="54"/>
        <v>12.674267</v>
      </c>
      <c r="E931" s="3">
        <v>57.95</v>
      </c>
      <c r="F931" s="3">
        <v>20</v>
      </c>
      <c r="G931" s="3">
        <v>129.31510800000001</v>
      </c>
      <c r="H931" s="4">
        <f t="shared" si="57"/>
        <v>0.29598700000002509</v>
      </c>
      <c r="I931" s="4">
        <f t="shared" si="55"/>
        <v>10.717109999999991</v>
      </c>
      <c r="J931" s="3">
        <v>57.95</v>
      </c>
      <c r="K931" s="3">
        <v>20</v>
      </c>
    </row>
    <row r="932" spans="1:11" x14ac:dyDescent="0.35">
      <c r="A932" s="2">
        <v>44291</v>
      </c>
      <c r="B932" s="3">
        <v>125.24042299999999</v>
      </c>
      <c r="C932" s="4">
        <f t="shared" si="56"/>
        <v>0.11344699999999364</v>
      </c>
      <c r="D932" s="4">
        <f t="shared" si="54"/>
        <v>15.005625999999992</v>
      </c>
      <c r="E932" s="3">
        <v>57.95</v>
      </c>
      <c r="F932" s="3">
        <v>20</v>
      </c>
      <c r="G932" s="3">
        <v>129.35074500000002</v>
      </c>
      <c r="H932" s="4">
        <f t="shared" si="57"/>
        <v>3.5637000000008356E-2</v>
      </c>
      <c r="I932" s="4">
        <f t="shared" si="55"/>
        <v>12.517391000000018</v>
      </c>
      <c r="J932" s="3">
        <v>57.95</v>
      </c>
      <c r="K932" s="3">
        <v>20</v>
      </c>
    </row>
    <row r="933" spans="1:11" x14ac:dyDescent="0.35">
      <c r="A933" s="2">
        <v>44298</v>
      </c>
      <c r="B933" s="3">
        <v>125.39819899999999</v>
      </c>
      <c r="C933" s="4">
        <f t="shared" si="56"/>
        <v>0.15777599999999836</v>
      </c>
      <c r="D933" s="4">
        <f t="shared" si="54"/>
        <v>16.132379999999998</v>
      </c>
      <c r="E933" s="3">
        <v>57.95</v>
      </c>
      <c r="F933" s="3">
        <v>20</v>
      </c>
      <c r="G933" s="3">
        <v>129.387406</v>
      </c>
      <c r="H933" s="4">
        <f t="shared" si="57"/>
        <v>3.6660999999980959E-2</v>
      </c>
      <c r="I933" s="4">
        <f t="shared" si="55"/>
        <v>13.236593999999997</v>
      </c>
      <c r="J933" s="3">
        <v>57.95</v>
      </c>
      <c r="K933" s="3">
        <v>20</v>
      </c>
    </row>
    <row r="934" spans="1:11" x14ac:dyDescent="0.35">
      <c r="A934" s="2">
        <v>44305</v>
      </c>
      <c r="B934" s="3">
        <v>125.47801700000001</v>
      </c>
      <c r="C934" s="4">
        <f t="shared" si="56"/>
        <v>7.9818000000017264E-2</v>
      </c>
      <c r="D934" s="4">
        <f t="shared" si="54"/>
        <v>16.845270000000014</v>
      </c>
      <c r="E934" s="3">
        <v>57.95</v>
      </c>
      <c r="F934" s="3">
        <v>20</v>
      </c>
      <c r="G934" s="3">
        <v>129.49358799999999</v>
      </c>
      <c r="H934" s="4">
        <f t="shared" si="57"/>
        <v>0.10618199999998978</v>
      </c>
      <c r="I934" s="4">
        <f t="shared" si="55"/>
        <v>13.761014999999986</v>
      </c>
      <c r="J934" s="3">
        <v>57.95</v>
      </c>
      <c r="K934" s="3">
        <v>20</v>
      </c>
    </row>
    <row r="935" spans="1:11" x14ac:dyDescent="0.35">
      <c r="A935" s="2">
        <v>44312</v>
      </c>
      <c r="B935" s="3">
        <v>125.79891173200001</v>
      </c>
      <c r="C935" s="4">
        <f t="shared" si="56"/>
        <v>0.32089473199999929</v>
      </c>
      <c r="D935" s="4">
        <f t="shared" si="54"/>
        <v>17.923851732000017</v>
      </c>
      <c r="E935" s="3">
        <v>57.95</v>
      </c>
      <c r="F935" s="3">
        <v>20</v>
      </c>
      <c r="G935" s="3">
        <v>129.76547434399998</v>
      </c>
      <c r="H935" s="4">
        <f t="shared" si="57"/>
        <v>0.27188634399999501</v>
      </c>
      <c r="I935" s="4">
        <f t="shared" si="55"/>
        <v>14.549322343999989</v>
      </c>
      <c r="J935" s="3">
        <v>57.95</v>
      </c>
      <c r="K935" s="3">
        <v>20</v>
      </c>
    </row>
    <row r="936" spans="1:11" x14ac:dyDescent="0.35">
      <c r="A936" s="2">
        <v>44319</v>
      </c>
      <c r="B936" s="3">
        <v>126.09330899999999</v>
      </c>
      <c r="C936" s="4">
        <f t="shared" si="56"/>
        <v>0.29439726799998311</v>
      </c>
      <c r="D936" s="4">
        <f t="shared" si="54"/>
        <v>18.537919999999971</v>
      </c>
      <c r="E936" s="3">
        <v>57.95</v>
      </c>
      <c r="F936" s="3">
        <v>20</v>
      </c>
      <c r="G936" s="3">
        <v>130.00239800000003</v>
      </c>
      <c r="H936" s="4">
        <f t="shared" si="57"/>
        <v>0.2369236560000445</v>
      </c>
      <c r="I936" s="4">
        <f t="shared" si="55"/>
        <v>15.063414000000037</v>
      </c>
      <c r="J936" s="3">
        <v>57.95</v>
      </c>
      <c r="K936" s="3">
        <v>20</v>
      </c>
    </row>
    <row r="937" spans="1:11" x14ac:dyDescent="0.35">
      <c r="A937" s="2">
        <v>44326</v>
      </c>
      <c r="B937" s="3">
        <v>126.52649100000002</v>
      </c>
      <c r="C937" s="4">
        <f t="shared" si="56"/>
        <v>0.4331820000000306</v>
      </c>
      <c r="D937" s="4">
        <f t="shared" si="54"/>
        <v>19.072131000000013</v>
      </c>
      <c r="E937" s="3">
        <v>57.95</v>
      </c>
      <c r="F937" s="3">
        <v>20</v>
      </c>
      <c r="G937" s="3">
        <v>130.42744199999999</v>
      </c>
      <c r="H937" s="4">
        <f t="shared" si="57"/>
        <v>0.42504399999995712</v>
      </c>
      <c r="I937" s="4">
        <f t="shared" si="55"/>
        <v>15.599614999999986</v>
      </c>
      <c r="J937" s="3">
        <v>57.95</v>
      </c>
      <c r="K937" s="3">
        <v>20</v>
      </c>
    </row>
    <row r="938" spans="1:11" x14ac:dyDescent="0.35">
      <c r="A938" s="2">
        <v>44333</v>
      </c>
      <c r="B938" s="3">
        <v>127.19096</v>
      </c>
      <c r="C938" s="4">
        <f t="shared" si="56"/>
        <v>0.66446899999998266</v>
      </c>
      <c r="D938" s="4">
        <f t="shared" si="54"/>
        <v>22.097436000000002</v>
      </c>
      <c r="E938" s="3">
        <v>57.95</v>
      </c>
      <c r="F938" s="3">
        <v>20</v>
      </c>
      <c r="G938" s="3">
        <v>131.02749500000002</v>
      </c>
      <c r="H938" s="4">
        <f t="shared" si="57"/>
        <v>0.60005300000003103</v>
      </c>
      <c r="I938" s="4">
        <f t="shared" si="55"/>
        <v>18.805640000000011</v>
      </c>
      <c r="J938" s="3">
        <v>57.95</v>
      </c>
      <c r="K938" s="3">
        <v>20</v>
      </c>
    </row>
    <row r="939" spans="1:11" x14ac:dyDescent="0.35">
      <c r="A939" s="2">
        <v>44340</v>
      </c>
      <c r="B939" s="3">
        <v>127.891299</v>
      </c>
      <c r="C939" s="4">
        <f t="shared" si="56"/>
        <v>0.7003389999999996</v>
      </c>
      <c r="D939" s="4">
        <f t="shared" si="54"/>
        <v>23.021951000000001</v>
      </c>
      <c r="E939" s="3">
        <v>57.95</v>
      </c>
      <c r="F939" s="3">
        <v>20</v>
      </c>
      <c r="G939" s="3">
        <v>131.524766</v>
      </c>
      <c r="H939" s="4">
        <f t="shared" si="57"/>
        <v>0.49727099999998359</v>
      </c>
      <c r="I939" s="4">
        <f t="shared" si="55"/>
        <v>19.820391000000015</v>
      </c>
      <c r="J939" s="3">
        <v>57.95</v>
      </c>
      <c r="K939" s="3">
        <v>20</v>
      </c>
    </row>
    <row r="940" spans="1:11" x14ac:dyDescent="0.35">
      <c r="A940" s="2">
        <v>44347</v>
      </c>
      <c r="B940" s="3">
        <v>128.15261442799999</v>
      </c>
      <c r="C940" s="4">
        <f t="shared" si="56"/>
        <v>0.26131542799998897</v>
      </c>
      <c r="D940" s="4">
        <f t="shared" si="54"/>
        <v>22.979720427999979</v>
      </c>
      <c r="E940" s="3">
        <v>57.95</v>
      </c>
      <c r="F940" s="3">
        <v>20</v>
      </c>
      <c r="G940" s="3">
        <v>131.81742053599999</v>
      </c>
      <c r="H940" s="4">
        <f t="shared" si="57"/>
        <v>0.29265453599998636</v>
      </c>
      <c r="I940" s="4">
        <f t="shared" si="55"/>
        <v>20.052714535999996</v>
      </c>
      <c r="J940" s="3">
        <v>57.95</v>
      </c>
      <c r="K940" s="3">
        <v>20</v>
      </c>
    </row>
    <row r="941" spans="1:11" x14ac:dyDescent="0.35">
      <c r="A941" s="2">
        <v>44354</v>
      </c>
      <c r="B941" s="3">
        <v>128.68976444100002</v>
      </c>
      <c r="C941" s="4">
        <f t="shared" si="56"/>
        <v>0.53715001300002996</v>
      </c>
      <c r="D941" s="4">
        <f t="shared" si="54"/>
        <v>22.953759441000017</v>
      </c>
      <c r="E941" s="3">
        <v>57.95</v>
      </c>
      <c r="F941" s="3">
        <v>20</v>
      </c>
      <c r="G941" s="3">
        <v>132.38016402400001</v>
      </c>
      <c r="H941" s="4">
        <f t="shared" si="57"/>
        <v>0.56274348800002372</v>
      </c>
      <c r="I941" s="4">
        <f t="shared" si="55"/>
        <v>20.39888802400003</v>
      </c>
      <c r="J941" s="3">
        <v>57.95</v>
      </c>
      <c r="K941" s="3">
        <v>20</v>
      </c>
    </row>
    <row r="942" spans="1:11" x14ac:dyDescent="0.35">
      <c r="A942" s="2">
        <v>44361</v>
      </c>
      <c r="B942" s="3">
        <v>129.46886327999999</v>
      </c>
      <c r="C942" s="4">
        <f t="shared" si="56"/>
        <v>0.77909883899997112</v>
      </c>
      <c r="D942" s="4">
        <f t="shared" si="54"/>
        <v>23.093967279999987</v>
      </c>
      <c r="E942" s="3">
        <v>57.95</v>
      </c>
      <c r="F942" s="3">
        <v>20</v>
      </c>
      <c r="G942" s="3">
        <v>133.17169439999998</v>
      </c>
      <c r="H942" s="4">
        <f t="shared" si="57"/>
        <v>0.79153037599996878</v>
      </c>
      <c r="I942" s="4">
        <f t="shared" si="55"/>
        <v>20.63987539999998</v>
      </c>
      <c r="J942" s="3">
        <v>57.95</v>
      </c>
      <c r="K942" s="3">
        <v>20</v>
      </c>
    </row>
    <row r="943" spans="1:11" x14ac:dyDescent="0.35">
      <c r="A943" s="2">
        <v>44368</v>
      </c>
      <c r="B943" s="3">
        <v>130.100022889</v>
      </c>
      <c r="C943" s="4">
        <f t="shared" si="56"/>
        <v>0.631159609000008</v>
      </c>
      <c r="D943" s="4">
        <f t="shared" si="54"/>
        <v>22.974022888999997</v>
      </c>
      <c r="E943" s="3">
        <v>57.95</v>
      </c>
      <c r="F943" s="3">
        <v>20</v>
      </c>
      <c r="G943" s="3">
        <v>133.69090350399998</v>
      </c>
      <c r="H943" s="4">
        <f t="shared" si="57"/>
        <v>0.51920910399999798</v>
      </c>
      <c r="I943" s="4">
        <f t="shared" si="55"/>
        <v>20.709610503999969</v>
      </c>
      <c r="J943" s="3">
        <v>57.95</v>
      </c>
      <c r="K943" s="3">
        <v>20</v>
      </c>
    </row>
    <row r="944" spans="1:11" x14ac:dyDescent="0.35">
      <c r="A944" s="2">
        <v>44375</v>
      </c>
      <c r="B944" s="3">
        <v>130.72559449300002</v>
      </c>
      <c r="C944" s="4">
        <f t="shared" si="56"/>
        <v>0.62557160400001521</v>
      </c>
      <c r="D944" s="4">
        <f t="shared" si="54"/>
        <v>22.418601493000011</v>
      </c>
      <c r="E944" s="3">
        <v>57.95</v>
      </c>
      <c r="F944" s="3">
        <v>20</v>
      </c>
      <c r="G944" s="3">
        <v>134.274534184</v>
      </c>
      <c r="H944" s="4">
        <f t="shared" si="57"/>
        <v>0.58363068000002727</v>
      </c>
      <c r="I944" s="4">
        <f t="shared" si="55"/>
        <v>20.173070183999997</v>
      </c>
      <c r="J944" s="3">
        <v>57.95</v>
      </c>
      <c r="K944" s="3">
        <v>20</v>
      </c>
    </row>
    <row r="945" spans="1:11" x14ac:dyDescent="0.35">
      <c r="A945" s="2">
        <v>44382</v>
      </c>
      <c r="B945" s="3">
        <v>131.69866500000001</v>
      </c>
      <c r="C945" s="4">
        <f t="shared" si="56"/>
        <v>0.97307050699998854</v>
      </c>
      <c r="D945" s="4">
        <f t="shared" si="54"/>
        <v>22.270613999999995</v>
      </c>
      <c r="E945" s="3">
        <v>57.95</v>
      </c>
      <c r="F945" s="3">
        <v>20</v>
      </c>
      <c r="G945" s="3">
        <v>134.12504833333335</v>
      </c>
      <c r="H945" s="4">
        <f t="shared" si="57"/>
        <v>-0.14948585066665032</v>
      </c>
      <c r="I945" s="4">
        <f t="shared" si="55"/>
        <v>19.076334333333364</v>
      </c>
      <c r="J945" s="3">
        <v>57.95</v>
      </c>
      <c r="K945" s="3">
        <v>20</v>
      </c>
    </row>
    <row r="946" spans="1:11" x14ac:dyDescent="0.35">
      <c r="A946" s="2">
        <v>44389</v>
      </c>
      <c r="B946" s="3">
        <v>132.469697021</v>
      </c>
      <c r="C946" s="4">
        <f t="shared" si="56"/>
        <v>0.77103202099999635</v>
      </c>
      <c r="D946" s="4">
        <f t="shared" si="54"/>
        <v>21.233102020999993</v>
      </c>
      <c r="E946" s="3">
        <v>57.95</v>
      </c>
      <c r="F946" s="3">
        <v>20</v>
      </c>
      <c r="G946" s="3">
        <v>135.28727276800001</v>
      </c>
      <c r="H946" s="4">
        <f t="shared" si="57"/>
        <v>1.1622244346666548</v>
      </c>
      <c r="I946" s="4">
        <f t="shared" si="55"/>
        <v>18.539771768000008</v>
      </c>
      <c r="J946" s="3">
        <v>57.95</v>
      </c>
      <c r="K946" s="3">
        <v>20</v>
      </c>
    </row>
    <row r="947" spans="1:11" x14ac:dyDescent="0.35">
      <c r="A947" s="2">
        <v>44396</v>
      </c>
      <c r="B947" s="3">
        <v>133.20211435699997</v>
      </c>
      <c r="C947" s="4">
        <f t="shared" si="56"/>
        <v>0.73241733599996905</v>
      </c>
      <c r="D947" s="4">
        <f t="shared" si="54"/>
        <v>20.972122356999961</v>
      </c>
      <c r="E947" s="3">
        <v>57.95</v>
      </c>
      <c r="F947" s="3">
        <v>20</v>
      </c>
      <c r="G947" s="3">
        <v>135.94870184799998</v>
      </c>
      <c r="H947" s="4">
        <f t="shared" si="57"/>
        <v>0.66142907999997647</v>
      </c>
      <c r="I947" s="4">
        <f t="shared" si="55"/>
        <v>18.595616847999992</v>
      </c>
      <c r="J947" s="3">
        <v>57.95</v>
      </c>
      <c r="K947" s="3">
        <v>20</v>
      </c>
    </row>
    <row r="948" spans="1:11" x14ac:dyDescent="0.35">
      <c r="A948" s="2">
        <v>44403</v>
      </c>
      <c r="B948" s="3">
        <v>133.48252425000001</v>
      </c>
      <c r="C948" s="4">
        <f t="shared" si="56"/>
        <v>0.28040989300004071</v>
      </c>
      <c r="D948" s="4">
        <f t="shared" si="54"/>
        <v>20.818906250000012</v>
      </c>
      <c r="E948" s="3">
        <v>57.95</v>
      </c>
      <c r="F948" s="3">
        <v>20</v>
      </c>
      <c r="G948" s="3">
        <v>136.20393364</v>
      </c>
      <c r="H948" s="4">
        <f t="shared" si="57"/>
        <v>0.25523179200001778</v>
      </c>
      <c r="I948" s="4">
        <f t="shared" si="55"/>
        <v>18.448301639999997</v>
      </c>
      <c r="J948" s="3">
        <v>57.95</v>
      </c>
      <c r="K948" s="3">
        <v>20</v>
      </c>
    </row>
    <row r="949" spans="1:11" x14ac:dyDescent="0.35">
      <c r="A949" s="2">
        <v>44410</v>
      </c>
      <c r="B949" s="3">
        <v>134.20827500000001</v>
      </c>
      <c r="C949" s="4">
        <f t="shared" si="56"/>
        <v>0.72575075000000311</v>
      </c>
      <c r="D949" s="4">
        <f t="shared" si="54"/>
        <v>21.293844000000007</v>
      </c>
      <c r="E949" s="3">
        <v>57.95</v>
      </c>
      <c r="F949" s="3">
        <v>20</v>
      </c>
      <c r="G949" s="3">
        <v>136.88999999999999</v>
      </c>
      <c r="H949" s="4">
        <f t="shared" si="57"/>
        <v>0.68606635999998389</v>
      </c>
      <c r="I949" s="4">
        <f t="shared" si="55"/>
        <v>18.915850999999975</v>
      </c>
      <c r="J949" s="3">
        <v>57.95</v>
      </c>
      <c r="K949" s="3">
        <v>20</v>
      </c>
    </row>
    <row r="950" spans="1:11" x14ac:dyDescent="0.35">
      <c r="A950" s="2">
        <v>44417</v>
      </c>
      <c r="B950" s="3">
        <v>134.69871161</v>
      </c>
      <c r="C950" s="4">
        <f t="shared" si="56"/>
        <v>0.49043660999998906</v>
      </c>
      <c r="D950" s="4">
        <f t="shared" si="54"/>
        <v>21.681611610000019</v>
      </c>
      <c r="E950" s="3">
        <v>57.95</v>
      </c>
      <c r="F950" s="3">
        <v>20</v>
      </c>
      <c r="G950" s="3">
        <v>137.31</v>
      </c>
      <c r="H950" s="4">
        <f t="shared" si="57"/>
        <v>0.42000000000001592</v>
      </c>
      <c r="I950" s="4">
        <f t="shared" si="55"/>
        <v>19.300957999999994</v>
      </c>
      <c r="J950" s="3">
        <v>57.95</v>
      </c>
      <c r="K950" s="3">
        <v>20</v>
      </c>
    </row>
    <row r="951" spans="1:11" x14ac:dyDescent="0.35">
      <c r="A951" s="2">
        <v>44424</v>
      </c>
      <c r="B951" s="3">
        <v>134.70406100000002</v>
      </c>
      <c r="C951" s="4">
        <f t="shared" si="56"/>
        <v>5.3493900000205485E-3</v>
      </c>
      <c r="D951" s="4">
        <f t="shared" ref="D951:D1014" si="58">B951-B899</f>
        <v>21.666218000000029</v>
      </c>
      <c r="E951" s="3">
        <v>57.95</v>
      </c>
      <c r="F951" s="3">
        <v>20</v>
      </c>
      <c r="G951" s="3">
        <v>136.77000000000001</v>
      </c>
      <c r="H951" s="4">
        <f t="shared" si="57"/>
        <v>-0.53999999999999204</v>
      </c>
      <c r="I951" s="4">
        <f t="shared" ref="I951:I1014" si="59">G951-G899</f>
        <v>18.773779000000005</v>
      </c>
      <c r="J951" s="3">
        <v>57.95</v>
      </c>
      <c r="K951" s="3">
        <v>20</v>
      </c>
    </row>
    <row r="952" spans="1:11" x14ac:dyDescent="0.35">
      <c r="A952" s="2">
        <v>44431</v>
      </c>
      <c r="B952" s="3">
        <v>134.678586</v>
      </c>
      <c r="C952" s="4">
        <f t="shared" si="56"/>
        <v>-2.5475000000028558E-2</v>
      </c>
      <c r="D952" s="4">
        <f t="shared" si="58"/>
        <v>21.458132000000006</v>
      </c>
      <c r="E952" s="3">
        <v>57.95</v>
      </c>
      <c r="F952" s="3">
        <v>20</v>
      </c>
      <c r="G952" s="3">
        <v>137.15</v>
      </c>
      <c r="H952" s="4">
        <f t="shared" si="57"/>
        <v>0.37999999999999545</v>
      </c>
      <c r="I952" s="4">
        <f t="shared" si="59"/>
        <v>19.009892000000008</v>
      </c>
      <c r="J952" s="3">
        <v>57.95</v>
      </c>
      <c r="K952" s="3">
        <v>20</v>
      </c>
    </row>
    <row r="953" spans="1:11" x14ac:dyDescent="0.35">
      <c r="A953" s="2">
        <v>44438</v>
      </c>
      <c r="B953" s="3">
        <v>134.66</v>
      </c>
      <c r="C953" s="4">
        <f t="shared" si="56"/>
        <v>-1.8585999999999103E-2</v>
      </c>
      <c r="D953" s="4">
        <f t="shared" si="58"/>
        <v>21.367611999999994</v>
      </c>
      <c r="E953" s="3">
        <v>57.95</v>
      </c>
      <c r="F953" s="3">
        <v>20</v>
      </c>
      <c r="G953" s="3">
        <v>137.11000000000001</v>
      </c>
      <c r="H953" s="4">
        <f t="shared" si="57"/>
        <v>-3.9999999999992042E-2</v>
      </c>
      <c r="I953" s="4">
        <f t="shared" si="59"/>
        <v>18.928679000000017</v>
      </c>
      <c r="J953" s="3">
        <v>57.95</v>
      </c>
      <c r="K953" s="3">
        <v>20</v>
      </c>
    </row>
    <row r="954" spans="1:11" x14ac:dyDescent="0.35">
      <c r="A954" s="2">
        <v>44445</v>
      </c>
      <c r="B954" s="3">
        <v>134.76</v>
      </c>
      <c r="C954" s="4">
        <f t="shared" si="56"/>
        <v>9.9999999999994316E-2</v>
      </c>
      <c r="D954" s="4">
        <f t="shared" si="58"/>
        <v>21.390522000000004</v>
      </c>
      <c r="E954" s="3">
        <v>57.95</v>
      </c>
      <c r="F954" s="3">
        <v>20</v>
      </c>
      <c r="G954" s="3">
        <v>137.19</v>
      </c>
      <c r="H954" s="4">
        <f t="shared" si="57"/>
        <v>7.9999999999984084E-2</v>
      </c>
      <c r="I954" s="4">
        <f t="shared" si="59"/>
        <v>18.972064000000003</v>
      </c>
      <c r="J954" s="3">
        <v>57.95</v>
      </c>
      <c r="K954" s="3">
        <v>20</v>
      </c>
    </row>
    <row r="955" spans="1:11" x14ac:dyDescent="0.35">
      <c r="A955" s="2">
        <v>44452</v>
      </c>
      <c r="B955" s="3">
        <v>134.75</v>
      </c>
      <c r="C955" s="4">
        <f t="shared" si="56"/>
        <v>-9.9999999999909051E-3</v>
      </c>
      <c r="D955" s="4">
        <f t="shared" si="58"/>
        <v>21.425364999999999</v>
      </c>
      <c r="E955" s="3">
        <v>57.95</v>
      </c>
      <c r="F955" s="3">
        <v>20</v>
      </c>
      <c r="G955" s="3">
        <v>137.19</v>
      </c>
      <c r="H955" s="4">
        <f t="shared" si="57"/>
        <v>0</v>
      </c>
      <c r="I955" s="4">
        <f t="shared" si="59"/>
        <v>19.014404999999982</v>
      </c>
      <c r="J955" s="3">
        <v>57.95</v>
      </c>
      <c r="K955" s="3">
        <v>20</v>
      </c>
    </row>
    <row r="956" spans="1:11" x14ac:dyDescent="0.35">
      <c r="A956" s="2">
        <v>44459</v>
      </c>
      <c r="B956" s="3">
        <v>134.86000000000001</v>
      </c>
      <c r="C956" s="4">
        <f t="shared" si="56"/>
        <v>0.11000000000001364</v>
      </c>
      <c r="D956" s="4">
        <f t="shared" si="58"/>
        <v>21.553118150000017</v>
      </c>
      <c r="E956" s="3">
        <v>57.95</v>
      </c>
      <c r="F956" s="3">
        <v>20</v>
      </c>
      <c r="G956" s="3">
        <v>137.35</v>
      </c>
      <c r="H956" s="4">
        <f t="shared" si="57"/>
        <v>0.15999999999999659</v>
      </c>
      <c r="I956" s="4">
        <f t="shared" si="59"/>
        <v>19.187488680000001</v>
      </c>
      <c r="J956" s="3">
        <v>57.95</v>
      </c>
      <c r="K956" s="3">
        <v>20</v>
      </c>
    </row>
    <row r="957" spans="1:11" x14ac:dyDescent="0.35">
      <c r="A957" s="2">
        <v>44466</v>
      </c>
      <c r="B957" s="3">
        <v>135.19301399999998</v>
      </c>
      <c r="C957" s="4">
        <f t="shared" si="56"/>
        <v>0.33301399999996306</v>
      </c>
      <c r="D957" s="4">
        <f t="shared" si="58"/>
        <v>21.89513599999998</v>
      </c>
      <c r="E957" s="3">
        <v>57.95</v>
      </c>
      <c r="F957" s="3">
        <v>20</v>
      </c>
      <c r="G957" s="3">
        <v>137.951247</v>
      </c>
      <c r="H957" s="4">
        <f t="shared" si="57"/>
        <v>0.60124700000000075</v>
      </c>
      <c r="I957" s="4">
        <f t="shared" si="59"/>
        <v>19.815161000000003</v>
      </c>
      <c r="J957" s="3">
        <v>57.95</v>
      </c>
      <c r="K957" s="3">
        <v>20</v>
      </c>
    </row>
    <row r="958" spans="1:11" x14ac:dyDescent="0.35">
      <c r="A958" s="2">
        <v>44473</v>
      </c>
      <c r="B958" s="3">
        <v>136.1</v>
      </c>
      <c r="C958" s="4">
        <f t="shared" si="56"/>
        <v>0.90698600000001761</v>
      </c>
      <c r="D958" s="4">
        <f t="shared" si="58"/>
        <v>22.838323999999986</v>
      </c>
      <c r="E958" s="3">
        <v>57.95</v>
      </c>
      <c r="F958" s="3">
        <v>20</v>
      </c>
      <c r="G958" s="3">
        <v>139.19999999999999</v>
      </c>
      <c r="H958" s="4">
        <f t="shared" si="57"/>
        <v>1.2487529999999936</v>
      </c>
      <c r="I958" s="4">
        <f t="shared" si="59"/>
        <v>21.086049999999986</v>
      </c>
      <c r="J958" s="3">
        <v>57.95</v>
      </c>
      <c r="K958" s="3">
        <v>20</v>
      </c>
    </row>
    <row r="959" spans="1:11" x14ac:dyDescent="0.35">
      <c r="A959" s="2">
        <v>44480</v>
      </c>
      <c r="B959" s="3">
        <v>137.16999999999999</v>
      </c>
      <c r="C959" s="4">
        <f t="shared" si="56"/>
        <v>1.0699999999999932</v>
      </c>
      <c r="D959" s="4">
        <f t="shared" si="58"/>
        <v>23.983205999999981</v>
      </c>
      <c r="E959" s="3">
        <v>57.95</v>
      </c>
      <c r="F959" s="3">
        <v>20</v>
      </c>
      <c r="G959" s="3">
        <v>140.66</v>
      </c>
      <c r="H959" s="4">
        <f t="shared" si="57"/>
        <v>1.460000000000008</v>
      </c>
      <c r="I959" s="4">
        <f t="shared" si="59"/>
        <v>22.606160000000003</v>
      </c>
      <c r="J959" s="3">
        <v>57.95</v>
      </c>
      <c r="K959" s="3">
        <v>20</v>
      </c>
    </row>
    <row r="960" spans="1:11" x14ac:dyDescent="0.35">
      <c r="A960" s="2">
        <v>44487</v>
      </c>
      <c r="B960" s="3">
        <v>139.46</v>
      </c>
      <c r="C960" s="4">
        <f t="shared" si="56"/>
        <v>2.2900000000000205</v>
      </c>
      <c r="D960" s="4">
        <f t="shared" si="58"/>
        <v>26.279730000000015</v>
      </c>
      <c r="E960" s="3">
        <v>57.95</v>
      </c>
      <c r="F960" s="3">
        <v>20</v>
      </c>
      <c r="G960" s="3">
        <v>143.19</v>
      </c>
      <c r="H960" s="4">
        <f t="shared" si="57"/>
        <v>2.5300000000000011</v>
      </c>
      <c r="I960" s="4">
        <f t="shared" si="59"/>
        <v>25.114485999999999</v>
      </c>
      <c r="J960" s="3">
        <v>57.95</v>
      </c>
      <c r="K960" s="3">
        <v>20</v>
      </c>
    </row>
    <row r="961" spans="1:11" x14ac:dyDescent="0.35">
      <c r="A961" s="2">
        <v>44494</v>
      </c>
      <c r="B961" s="3">
        <v>141.81</v>
      </c>
      <c r="C961" s="4">
        <f t="shared" si="56"/>
        <v>2.3499999999999943</v>
      </c>
      <c r="D961" s="4">
        <f t="shared" si="58"/>
        <v>28.665707000000012</v>
      </c>
      <c r="E961" s="3">
        <v>57.95</v>
      </c>
      <c r="F961" s="3">
        <v>20</v>
      </c>
      <c r="G961" s="3">
        <v>145.9</v>
      </c>
      <c r="H961" s="4">
        <f t="shared" si="57"/>
        <v>2.710000000000008</v>
      </c>
      <c r="I961" s="4">
        <f t="shared" si="59"/>
        <v>27.81905500000002</v>
      </c>
      <c r="J961" s="3">
        <v>57.95</v>
      </c>
      <c r="K961" s="3">
        <v>20</v>
      </c>
    </row>
    <row r="962" spans="1:11" x14ac:dyDescent="0.35">
      <c r="A962" s="2">
        <v>44501</v>
      </c>
      <c r="B962" s="3">
        <v>143.69999999999999</v>
      </c>
      <c r="C962" s="4">
        <f t="shared" si="56"/>
        <v>1.8899999999999864</v>
      </c>
      <c r="D962" s="4">
        <f t="shared" si="58"/>
        <v>30.594049000000012</v>
      </c>
      <c r="E962" s="3">
        <v>57.95</v>
      </c>
      <c r="F962" s="3">
        <v>20</v>
      </c>
      <c r="G962" s="3">
        <v>147.47999999999999</v>
      </c>
      <c r="H962" s="4">
        <f t="shared" si="57"/>
        <v>1.5799999999999841</v>
      </c>
      <c r="I962" s="4">
        <f t="shared" si="59"/>
        <v>29.423152999999985</v>
      </c>
      <c r="J962" s="3">
        <v>57.95</v>
      </c>
      <c r="K962" s="3">
        <v>20</v>
      </c>
    </row>
    <row r="963" spans="1:11" x14ac:dyDescent="0.35">
      <c r="A963" s="2">
        <v>44508</v>
      </c>
      <c r="B963" s="3">
        <v>144.9</v>
      </c>
      <c r="C963" s="4">
        <f t="shared" ref="C963:C1026" si="60">B963-B962</f>
        <v>1.2000000000000171</v>
      </c>
      <c r="D963" s="4">
        <f t="shared" si="58"/>
        <v>32.402611000000022</v>
      </c>
      <c r="E963" s="3">
        <v>57.95</v>
      </c>
      <c r="F963" s="3">
        <v>20</v>
      </c>
      <c r="G963" s="3">
        <v>148.84</v>
      </c>
      <c r="H963" s="4">
        <f t="shared" ref="H963:H1026" si="61">G963-G962</f>
        <v>1.3600000000000136</v>
      </c>
      <c r="I963" s="4">
        <f t="shared" si="59"/>
        <v>31.563343000000003</v>
      </c>
      <c r="J963" s="3">
        <v>57.95</v>
      </c>
      <c r="K963" s="3">
        <v>20</v>
      </c>
    </row>
    <row r="964" spans="1:11" x14ac:dyDescent="0.35">
      <c r="A964" s="2">
        <v>44515</v>
      </c>
      <c r="B964" s="3">
        <v>145.87</v>
      </c>
      <c r="C964" s="4">
        <f t="shared" si="60"/>
        <v>0.96999999999999886</v>
      </c>
      <c r="D964" s="4">
        <f t="shared" si="58"/>
        <v>33.523826</v>
      </c>
      <c r="E964" s="3">
        <v>57.95</v>
      </c>
      <c r="F964" s="3">
        <v>20</v>
      </c>
      <c r="G964" s="3">
        <v>149.76</v>
      </c>
      <c r="H964" s="4">
        <f t="shared" si="61"/>
        <v>0.91999999999998749</v>
      </c>
      <c r="I964" s="4">
        <f t="shared" si="59"/>
        <v>32.693427999999983</v>
      </c>
      <c r="J964" s="3">
        <v>57.95</v>
      </c>
      <c r="K964" s="3">
        <v>20</v>
      </c>
    </row>
    <row r="965" spans="1:11" x14ac:dyDescent="0.35">
      <c r="A965" s="2">
        <v>44522</v>
      </c>
      <c r="B965" s="3">
        <v>146.88896</v>
      </c>
      <c r="C965" s="4">
        <f t="shared" si="60"/>
        <v>1.0189599999999928</v>
      </c>
      <c r="D965" s="4">
        <f t="shared" si="58"/>
        <v>34.468310000000017</v>
      </c>
      <c r="E965" s="3">
        <v>57.95</v>
      </c>
      <c r="F965" s="3">
        <v>20</v>
      </c>
      <c r="G965" s="3">
        <v>150.73128299999999</v>
      </c>
      <c r="H965" s="4">
        <f t="shared" si="61"/>
        <v>0.97128299999999967</v>
      </c>
      <c r="I965" s="4">
        <f t="shared" si="59"/>
        <v>33.596851999999984</v>
      </c>
      <c r="J965" s="3">
        <v>57.95</v>
      </c>
      <c r="K965" s="3">
        <v>20</v>
      </c>
    </row>
    <row r="966" spans="1:11" x14ac:dyDescent="0.35">
      <c r="A966" s="2">
        <v>44529</v>
      </c>
      <c r="B966" s="3">
        <v>147.53</v>
      </c>
      <c r="C966" s="4">
        <f t="shared" si="60"/>
        <v>0.64104000000000383</v>
      </c>
      <c r="D966" s="4">
        <f t="shared" si="58"/>
        <v>34.924588</v>
      </c>
      <c r="E966" s="3">
        <v>57.95</v>
      </c>
      <c r="F966" s="3">
        <v>20</v>
      </c>
      <c r="G966" s="3">
        <v>151.31</v>
      </c>
      <c r="H966" s="4">
        <f t="shared" si="61"/>
        <v>0.57871700000001169</v>
      </c>
      <c r="I966" s="4">
        <f t="shared" si="59"/>
        <v>33.901960000000003</v>
      </c>
      <c r="J966" s="3">
        <v>57.95</v>
      </c>
      <c r="K966" s="3">
        <v>20</v>
      </c>
    </row>
    <row r="967" spans="1:11" x14ac:dyDescent="0.35">
      <c r="A967" s="2">
        <v>44536</v>
      </c>
      <c r="B967" s="3">
        <v>146.88999999999999</v>
      </c>
      <c r="C967" s="4">
        <f t="shared" si="60"/>
        <v>-0.64000000000001478</v>
      </c>
      <c r="D967" s="4">
        <f t="shared" si="58"/>
        <v>33.724303999999989</v>
      </c>
      <c r="E967" s="3">
        <v>57.95</v>
      </c>
      <c r="F967" s="3">
        <v>20</v>
      </c>
      <c r="G967" s="3">
        <v>150.61000000000001</v>
      </c>
      <c r="H967" s="4">
        <f t="shared" si="61"/>
        <v>-0.69999999999998863</v>
      </c>
      <c r="I967" s="4">
        <f t="shared" si="59"/>
        <v>32.62436900000003</v>
      </c>
      <c r="J967" s="3">
        <v>57.95</v>
      </c>
      <c r="K967" s="3">
        <v>20</v>
      </c>
    </row>
    <row r="968" spans="1:11" x14ac:dyDescent="0.35">
      <c r="A968" s="2">
        <v>44543</v>
      </c>
      <c r="B968" s="3">
        <v>146.22</v>
      </c>
      <c r="C968" s="4">
        <f t="shared" si="60"/>
        <v>-0.66999999999998749</v>
      </c>
      <c r="D968" s="4">
        <f t="shared" si="58"/>
        <v>32.402714000000003</v>
      </c>
      <c r="E968" s="3">
        <v>57.95</v>
      </c>
      <c r="F968" s="3">
        <v>20</v>
      </c>
      <c r="G968" s="3">
        <v>149.88</v>
      </c>
      <c r="H968" s="4">
        <f t="shared" si="61"/>
        <v>-0.73000000000001819</v>
      </c>
      <c r="I968" s="4">
        <f t="shared" si="59"/>
        <v>31.305800000000005</v>
      </c>
      <c r="J968" s="3">
        <v>57.95</v>
      </c>
      <c r="K968" s="3">
        <v>20</v>
      </c>
    </row>
    <row r="969" spans="1:11" x14ac:dyDescent="0.35">
      <c r="A969" s="2">
        <v>44550</v>
      </c>
      <c r="B969" s="3">
        <v>145.16</v>
      </c>
      <c r="C969" s="4">
        <f t="shared" si="60"/>
        <v>-1.0600000000000023</v>
      </c>
      <c r="D969" s="4">
        <f t="shared" si="58"/>
        <v>30.727679999999992</v>
      </c>
      <c r="E969" s="3">
        <v>57.95</v>
      </c>
      <c r="F969" s="3">
        <v>20</v>
      </c>
      <c r="G969" s="3">
        <v>148.88999999999999</v>
      </c>
      <c r="H969" s="4">
        <f t="shared" si="61"/>
        <v>-0.99000000000000909</v>
      </c>
      <c r="I969" s="4">
        <f t="shared" si="59"/>
        <v>29.71856099999998</v>
      </c>
      <c r="J969" s="3">
        <v>57.95</v>
      </c>
      <c r="K969" s="3">
        <v>20</v>
      </c>
    </row>
    <row r="970" spans="1:11" x14ac:dyDescent="0.35">
      <c r="A970" s="2">
        <v>44557</v>
      </c>
      <c r="B970" s="3">
        <v>144.91999999999999</v>
      </c>
      <c r="C970" s="4">
        <f t="shared" si="60"/>
        <v>-0.24000000000000909</v>
      </c>
      <c r="D970" s="4">
        <f t="shared" si="58"/>
        <v>30.008839999999992</v>
      </c>
      <c r="E970" s="3">
        <v>57.95</v>
      </c>
      <c r="F970" s="3">
        <v>20</v>
      </c>
      <c r="G970" s="3">
        <v>148.82</v>
      </c>
      <c r="H970" s="4">
        <f t="shared" si="61"/>
        <v>-6.9999999999993179E-2</v>
      </c>
      <c r="I970" s="4">
        <f t="shared" si="59"/>
        <v>29.165349999999989</v>
      </c>
      <c r="J970" s="3">
        <v>57.95</v>
      </c>
      <c r="K970" s="3">
        <v>20</v>
      </c>
    </row>
    <row r="971" spans="1:11" x14ac:dyDescent="0.35">
      <c r="A971" s="2">
        <v>44564</v>
      </c>
      <c r="B971" s="3">
        <v>145.04</v>
      </c>
      <c r="C971" s="4">
        <f t="shared" si="60"/>
        <v>0.12000000000000455</v>
      </c>
      <c r="D971" s="4">
        <f t="shared" si="58"/>
        <v>29.654594999999986</v>
      </c>
      <c r="E971" s="3">
        <v>57.95</v>
      </c>
      <c r="F971" s="3">
        <v>20</v>
      </c>
      <c r="G971" s="3">
        <v>148.85</v>
      </c>
      <c r="H971" s="4">
        <f t="shared" si="61"/>
        <v>3.0000000000001137E-2</v>
      </c>
      <c r="I971" s="4">
        <f t="shared" si="59"/>
        <v>28.88253499999999</v>
      </c>
      <c r="J971" s="3">
        <v>57.95</v>
      </c>
      <c r="K971" s="3">
        <v>20</v>
      </c>
    </row>
    <row r="972" spans="1:11" x14ac:dyDescent="0.35">
      <c r="A972" s="2">
        <v>44571</v>
      </c>
      <c r="B972" s="3">
        <v>144.82</v>
      </c>
      <c r="C972" s="4">
        <f t="shared" si="60"/>
        <v>-0.21999999999999886</v>
      </c>
      <c r="D972" s="4">
        <f t="shared" si="58"/>
        <v>28.679337999999987</v>
      </c>
      <c r="E972" s="3">
        <v>57.95</v>
      </c>
      <c r="F972" s="3">
        <v>20</v>
      </c>
      <c r="G972" s="3">
        <v>148.65</v>
      </c>
      <c r="H972" s="4">
        <f t="shared" si="61"/>
        <v>-0.19999999999998863</v>
      </c>
      <c r="I972" s="4">
        <f t="shared" si="59"/>
        <v>28.035495999999995</v>
      </c>
      <c r="J972" s="3">
        <v>57.95</v>
      </c>
      <c r="K972" s="3">
        <v>20</v>
      </c>
    </row>
    <row r="973" spans="1:11" x14ac:dyDescent="0.35">
      <c r="A973" s="2">
        <v>44578</v>
      </c>
      <c r="B973" s="3">
        <v>144.80000000000001</v>
      </c>
      <c r="C973" s="4">
        <f t="shared" si="60"/>
        <v>-1.999999999998181E-2</v>
      </c>
      <c r="D973" s="4">
        <f t="shared" si="58"/>
        <v>27.86985700000001</v>
      </c>
      <c r="E973" s="3">
        <v>57.95</v>
      </c>
      <c r="F973" s="3">
        <v>20</v>
      </c>
      <c r="G973" s="3">
        <v>148.69999999999999</v>
      </c>
      <c r="H973" s="4">
        <f t="shared" si="61"/>
        <v>4.9999999999982947E-2</v>
      </c>
      <c r="I973" s="4">
        <f t="shared" si="59"/>
        <v>27.181854999999999</v>
      </c>
      <c r="J973" s="3">
        <v>57.95</v>
      </c>
      <c r="K973" s="3">
        <v>20</v>
      </c>
    </row>
    <row r="974" spans="1:11" x14ac:dyDescent="0.35">
      <c r="A974" s="2">
        <v>44585</v>
      </c>
      <c r="B974" s="3">
        <v>144.87</v>
      </c>
      <c r="C974" s="4">
        <f t="shared" si="60"/>
        <v>6.9999999999993179E-2</v>
      </c>
      <c r="D974" s="4">
        <f t="shared" si="58"/>
        <v>26.767006999999992</v>
      </c>
      <c r="E974" s="3">
        <v>57.95</v>
      </c>
      <c r="F974" s="3">
        <v>20</v>
      </c>
      <c r="G974" s="3">
        <v>148.81</v>
      </c>
      <c r="H974" s="4">
        <f t="shared" si="61"/>
        <v>0.11000000000001364</v>
      </c>
      <c r="I974" s="4">
        <f t="shared" si="59"/>
        <v>26.105754000000005</v>
      </c>
      <c r="J974" s="3">
        <v>57.95</v>
      </c>
      <c r="K974" s="3">
        <v>20</v>
      </c>
    </row>
    <row r="975" spans="1:11" x14ac:dyDescent="0.35">
      <c r="A975" s="2">
        <v>44592</v>
      </c>
      <c r="B975" s="3">
        <v>145.74</v>
      </c>
      <c r="C975" s="4">
        <f t="shared" si="60"/>
        <v>0.87000000000000455</v>
      </c>
      <c r="D975" s="4">
        <f t="shared" si="58"/>
        <v>26.602246000000022</v>
      </c>
      <c r="E975" s="3">
        <v>57.95</v>
      </c>
      <c r="F975" s="3">
        <v>20</v>
      </c>
      <c r="G975" s="3">
        <v>149.68</v>
      </c>
      <c r="H975" s="4">
        <f t="shared" si="61"/>
        <v>0.87000000000000455</v>
      </c>
      <c r="I975" s="4">
        <f t="shared" si="59"/>
        <v>25.979564000000011</v>
      </c>
      <c r="J975" s="3">
        <v>57.95</v>
      </c>
      <c r="K975" s="3">
        <v>20</v>
      </c>
    </row>
    <row r="976" spans="1:11" x14ac:dyDescent="0.35">
      <c r="A976" s="2">
        <v>44599</v>
      </c>
      <c r="B976" s="3">
        <v>146.33000000000001</v>
      </c>
      <c r="C976" s="4">
        <f t="shared" si="60"/>
        <v>0.59000000000000341</v>
      </c>
      <c r="D976" s="4">
        <f t="shared" si="58"/>
        <v>26.662363000000013</v>
      </c>
      <c r="E976" s="3">
        <v>57.95</v>
      </c>
      <c r="F976" s="3">
        <v>20</v>
      </c>
      <c r="G976" s="3">
        <v>150.30000000000001</v>
      </c>
      <c r="H976" s="4">
        <f t="shared" si="61"/>
        <v>0.62000000000000455</v>
      </c>
      <c r="I976" s="4">
        <f t="shared" si="59"/>
        <v>26.212476000000009</v>
      </c>
      <c r="J976" s="3">
        <v>57.95</v>
      </c>
      <c r="K976" s="3">
        <v>20</v>
      </c>
    </row>
    <row r="977" spans="1:11" x14ac:dyDescent="0.35">
      <c r="A977" s="2">
        <v>44606</v>
      </c>
      <c r="B977" s="3">
        <v>146.94999999999999</v>
      </c>
      <c r="C977" s="4">
        <f t="shared" si="60"/>
        <v>0.61999999999997613</v>
      </c>
      <c r="D977" s="4">
        <f t="shared" si="58"/>
        <v>26.421394999999976</v>
      </c>
      <c r="E977" s="3">
        <v>57.95</v>
      </c>
      <c r="F977" s="3">
        <v>20</v>
      </c>
      <c r="G977" s="3">
        <v>151.1</v>
      </c>
      <c r="H977" s="4">
        <f t="shared" si="61"/>
        <v>0.79999999999998295</v>
      </c>
      <c r="I977" s="4">
        <f t="shared" si="59"/>
        <v>26.094180999999992</v>
      </c>
      <c r="J977" s="3">
        <v>57.95</v>
      </c>
      <c r="K977" s="3">
        <v>20</v>
      </c>
    </row>
    <row r="978" spans="1:11" x14ac:dyDescent="0.35">
      <c r="A978" s="2">
        <v>44613</v>
      </c>
      <c r="B978" s="3">
        <v>147.77000000000001</v>
      </c>
      <c r="C978" s="4">
        <f t="shared" si="60"/>
        <v>0.8200000000000216</v>
      </c>
      <c r="D978" s="4">
        <f t="shared" si="58"/>
        <v>26.495214000000018</v>
      </c>
      <c r="E978" s="3">
        <v>57.95</v>
      </c>
      <c r="F978" s="3">
        <v>20</v>
      </c>
      <c r="G978" s="3">
        <v>151.94999999999999</v>
      </c>
      <c r="H978" s="4">
        <f t="shared" si="61"/>
        <v>0.84999999999999432</v>
      </c>
      <c r="I978" s="4">
        <f t="shared" si="59"/>
        <v>26.236945999999975</v>
      </c>
      <c r="J978" s="3">
        <v>57.95</v>
      </c>
      <c r="K978" s="3">
        <v>20</v>
      </c>
    </row>
    <row r="979" spans="1:11" x14ac:dyDescent="0.35">
      <c r="A979" s="2">
        <v>44620</v>
      </c>
      <c r="B979" s="3">
        <v>149.22</v>
      </c>
      <c r="C979" s="4">
        <f t="shared" si="60"/>
        <v>1.4499999999999886</v>
      </c>
      <c r="D979" s="4">
        <f t="shared" si="58"/>
        <v>27.046800999999974</v>
      </c>
      <c r="E979" s="3">
        <v>57.95</v>
      </c>
      <c r="F979" s="3">
        <v>20</v>
      </c>
      <c r="G979" s="3">
        <v>153.36000000000001</v>
      </c>
      <c r="H979" s="4">
        <f t="shared" si="61"/>
        <v>1.410000000000025</v>
      </c>
      <c r="I979" s="4">
        <f t="shared" si="59"/>
        <v>26.739196000000007</v>
      </c>
      <c r="J979" s="3">
        <v>57.95</v>
      </c>
      <c r="K979" s="3">
        <v>20</v>
      </c>
    </row>
    <row r="980" spans="1:11" x14ac:dyDescent="0.35">
      <c r="A980" s="2">
        <v>44627</v>
      </c>
      <c r="B980" s="3">
        <v>152.94999999999999</v>
      </c>
      <c r="C980" s="4">
        <f t="shared" si="60"/>
        <v>3.7299999999999898</v>
      </c>
      <c r="D980" s="4">
        <f t="shared" si="58"/>
        <v>30.007499999999993</v>
      </c>
      <c r="E980" s="3">
        <v>57.95</v>
      </c>
      <c r="F980" s="3">
        <v>20</v>
      </c>
      <c r="G980" s="3">
        <v>158.56</v>
      </c>
      <c r="H980" s="4">
        <f t="shared" si="61"/>
        <v>5.1999999999999886</v>
      </c>
      <c r="I980" s="4">
        <f t="shared" si="59"/>
        <v>31.161350999999996</v>
      </c>
      <c r="J980" s="3">
        <v>57.95</v>
      </c>
      <c r="K980" s="3">
        <v>20</v>
      </c>
    </row>
    <row r="981" spans="1:11" x14ac:dyDescent="0.35">
      <c r="A981" s="2">
        <v>44634</v>
      </c>
      <c r="B981" s="3">
        <v>159.96</v>
      </c>
      <c r="C981" s="4">
        <f t="shared" si="60"/>
        <v>7.0100000000000193</v>
      </c>
      <c r="D981" s="4">
        <f t="shared" si="58"/>
        <v>36.059117000000001</v>
      </c>
      <c r="E981" s="3">
        <v>57.95</v>
      </c>
      <c r="F981" s="3">
        <v>20</v>
      </c>
      <c r="G981" s="3">
        <v>169.48</v>
      </c>
      <c r="H981" s="4">
        <f t="shared" si="61"/>
        <v>10.919999999999987</v>
      </c>
      <c r="I981" s="4">
        <f t="shared" si="59"/>
        <v>41.236275000000006</v>
      </c>
      <c r="J981" s="3">
        <v>57.95</v>
      </c>
      <c r="K981" s="3">
        <v>20</v>
      </c>
    </row>
    <row r="982" spans="1:11" x14ac:dyDescent="0.35">
      <c r="A982" s="2">
        <v>44641</v>
      </c>
      <c r="B982" s="3">
        <v>165.37</v>
      </c>
      <c r="C982" s="4">
        <f t="shared" si="60"/>
        <v>5.4099999999999966</v>
      </c>
      <c r="D982" s="4">
        <f t="shared" si="58"/>
        <v>40.801752999999991</v>
      </c>
      <c r="E982" s="3">
        <v>57.95</v>
      </c>
      <c r="F982" s="3">
        <v>20</v>
      </c>
      <c r="G982" s="3">
        <v>177.47</v>
      </c>
      <c r="H982" s="4">
        <f t="shared" si="61"/>
        <v>7.9900000000000091</v>
      </c>
      <c r="I982" s="4">
        <f t="shared" si="59"/>
        <v>48.450879000000015</v>
      </c>
      <c r="J982" s="3">
        <v>57.95</v>
      </c>
      <c r="K982" s="3">
        <v>20</v>
      </c>
    </row>
    <row r="983" spans="1:11" x14ac:dyDescent="0.35">
      <c r="A983" s="2">
        <v>44648</v>
      </c>
      <c r="B983" s="3">
        <v>162.65176899999997</v>
      </c>
      <c r="C983" s="4">
        <f t="shared" si="60"/>
        <v>-2.7182310000000314</v>
      </c>
      <c r="D983" s="4">
        <f t="shared" si="58"/>
        <v>37.524792999999974</v>
      </c>
      <c r="E983" s="3">
        <v>52.95</v>
      </c>
      <c r="F983" s="3">
        <v>20</v>
      </c>
      <c r="G983" s="3">
        <v>176.44240299999998</v>
      </c>
      <c r="H983" s="4">
        <f t="shared" si="61"/>
        <v>-1.0275970000000143</v>
      </c>
      <c r="I983" s="4">
        <f t="shared" si="59"/>
        <v>47.127294999999975</v>
      </c>
      <c r="J983" s="3">
        <v>52.95</v>
      </c>
      <c r="K983" s="3">
        <v>20</v>
      </c>
    </row>
    <row r="984" spans="1:11" x14ac:dyDescent="0.35">
      <c r="A984" s="2">
        <v>44655</v>
      </c>
      <c r="B984" s="3">
        <v>161.91</v>
      </c>
      <c r="C984" s="4">
        <f t="shared" si="60"/>
        <v>-0.74176899999997659</v>
      </c>
      <c r="D984" s="4">
        <f t="shared" si="58"/>
        <v>36.669577000000004</v>
      </c>
      <c r="E984" s="3">
        <v>52.95</v>
      </c>
      <c r="F984" s="3">
        <v>20</v>
      </c>
      <c r="G984" s="3">
        <v>176</v>
      </c>
      <c r="H984" s="4">
        <f t="shared" si="61"/>
        <v>-0.44240299999998456</v>
      </c>
      <c r="I984" s="4">
        <f t="shared" si="59"/>
        <v>46.649254999999982</v>
      </c>
      <c r="J984" s="3">
        <v>52.95</v>
      </c>
      <c r="K984" s="3">
        <v>20</v>
      </c>
    </row>
    <row r="985" spans="1:11" x14ac:dyDescent="0.35">
      <c r="A985" s="2">
        <v>44662</v>
      </c>
      <c r="B985" s="3">
        <v>161.78</v>
      </c>
      <c r="C985" s="4">
        <f t="shared" si="60"/>
        <v>-0.12999999999999545</v>
      </c>
      <c r="D985" s="4">
        <f t="shared" si="58"/>
        <v>36.38180100000001</v>
      </c>
      <c r="E985" s="3">
        <v>52.95</v>
      </c>
      <c r="F985" s="3">
        <v>20</v>
      </c>
      <c r="G985" s="3">
        <v>176.22</v>
      </c>
      <c r="H985" s="4">
        <f t="shared" si="61"/>
        <v>0.21999999999999886</v>
      </c>
      <c r="I985" s="4">
        <f t="shared" si="59"/>
        <v>46.832594</v>
      </c>
      <c r="J985" s="3">
        <v>52.95</v>
      </c>
      <c r="K985" s="3">
        <v>20</v>
      </c>
    </row>
    <row r="986" spans="1:11" x14ac:dyDescent="0.35">
      <c r="A986" s="2">
        <v>44669</v>
      </c>
      <c r="B986" s="3">
        <v>161.67102399999996</v>
      </c>
      <c r="C986" s="4">
        <f t="shared" si="60"/>
        <v>-0.10897600000004104</v>
      </c>
      <c r="D986" s="4">
        <f t="shared" si="58"/>
        <v>36.193006999999952</v>
      </c>
      <c r="E986" s="3">
        <v>52.95</v>
      </c>
      <c r="F986" s="3">
        <v>20</v>
      </c>
      <c r="G986" s="3">
        <v>175.92927700000001</v>
      </c>
      <c r="H986" s="4">
        <f t="shared" si="61"/>
        <v>-0.29072299999998563</v>
      </c>
      <c r="I986" s="4">
        <f t="shared" si="59"/>
        <v>46.435689000000025</v>
      </c>
      <c r="J986" s="3">
        <v>52.95</v>
      </c>
      <c r="K986" s="3">
        <v>20</v>
      </c>
    </row>
    <row r="987" spans="1:11" x14ac:dyDescent="0.35">
      <c r="A987" s="2">
        <v>44676</v>
      </c>
      <c r="B987" s="3">
        <v>161.83973200000003</v>
      </c>
      <c r="C987" s="4">
        <f t="shared" si="60"/>
        <v>0.16870800000006625</v>
      </c>
      <c r="D987" s="4">
        <f t="shared" si="58"/>
        <v>36.040820268000019</v>
      </c>
      <c r="E987" s="3">
        <v>52.95</v>
      </c>
      <c r="F987" s="3">
        <v>20</v>
      </c>
      <c r="G987" s="3">
        <v>176.33440100000001</v>
      </c>
      <c r="H987" s="4">
        <f t="shared" si="61"/>
        <v>0.40512400000000071</v>
      </c>
      <c r="I987" s="4">
        <f t="shared" si="59"/>
        <v>46.568926656000031</v>
      </c>
      <c r="J987" s="3">
        <v>52.95</v>
      </c>
      <c r="K987" s="3">
        <v>20</v>
      </c>
    </row>
    <row r="988" spans="1:11" x14ac:dyDescent="0.35">
      <c r="A988" s="2">
        <v>44683</v>
      </c>
      <c r="B988" s="3">
        <v>162.47569400000003</v>
      </c>
      <c r="C988" s="4">
        <f t="shared" si="60"/>
        <v>0.63596200000000636</v>
      </c>
      <c r="D988" s="4">
        <f t="shared" si="58"/>
        <v>36.382385000000042</v>
      </c>
      <c r="E988" s="3">
        <v>52.95</v>
      </c>
      <c r="F988" s="3">
        <v>20</v>
      </c>
      <c r="G988" s="3">
        <v>177.06366299999999</v>
      </c>
      <c r="H988" s="4">
        <f t="shared" si="61"/>
        <v>0.72926199999997721</v>
      </c>
      <c r="I988" s="4">
        <f t="shared" si="59"/>
        <v>47.061264999999963</v>
      </c>
      <c r="J988" s="3">
        <v>52.95</v>
      </c>
      <c r="K988" s="3">
        <v>20</v>
      </c>
    </row>
    <row r="989" spans="1:11" x14ac:dyDescent="0.35">
      <c r="A989" s="2">
        <v>44690</v>
      </c>
      <c r="B989" s="3">
        <v>163.67961200000002</v>
      </c>
      <c r="C989" s="4">
        <f t="shared" si="60"/>
        <v>1.2039179999999874</v>
      </c>
      <c r="D989" s="4">
        <f t="shared" si="58"/>
        <v>37.153120999999999</v>
      </c>
      <c r="E989" s="3">
        <v>52.95</v>
      </c>
      <c r="F989" s="3">
        <v>20</v>
      </c>
      <c r="G989" s="3">
        <v>178.39</v>
      </c>
      <c r="H989" s="4">
        <f t="shared" si="61"/>
        <v>1.3263369999999952</v>
      </c>
      <c r="I989" s="4">
        <f t="shared" si="59"/>
        <v>47.962558000000001</v>
      </c>
      <c r="J989" s="3">
        <v>52.95</v>
      </c>
      <c r="K989" s="3">
        <v>20</v>
      </c>
    </row>
    <row r="990" spans="1:11" x14ac:dyDescent="0.35">
      <c r="A990" s="2">
        <v>44697</v>
      </c>
      <c r="B990" s="3">
        <v>165.090406</v>
      </c>
      <c r="C990" s="4">
        <f t="shared" si="60"/>
        <v>1.4107939999999815</v>
      </c>
      <c r="D990" s="4">
        <f t="shared" si="58"/>
        <v>37.899445999999998</v>
      </c>
      <c r="E990" s="3">
        <v>52.95</v>
      </c>
      <c r="F990" s="3">
        <v>20</v>
      </c>
      <c r="G990" s="3">
        <v>179.67</v>
      </c>
      <c r="H990" s="4">
        <f t="shared" si="61"/>
        <v>1.2800000000000011</v>
      </c>
      <c r="I990" s="4">
        <f t="shared" si="59"/>
        <v>48.642504999999971</v>
      </c>
      <c r="J990" s="3">
        <v>52.95</v>
      </c>
      <c r="K990" s="3">
        <v>20</v>
      </c>
    </row>
    <row r="991" spans="1:11" x14ac:dyDescent="0.35">
      <c r="A991" s="2">
        <v>44704</v>
      </c>
      <c r="B991" s="3">
        <v>167.58508</v>
      </c>
      <c r="C991" s="4">
        <f t="shared" si="60"/>
        <v>2.4946740000000034</v>
      </c>
      <c r="D991" s="4">
        <f t="shared" si="58"/>
        <v>39.693781000000001</v>
      </c>
      <c r="E991" s="3">
        <v>52.95</v>
      </c>
      <c r="F991" s="3">
        <v>20</v>
      </c>
      <c r="G991" s="3">
        <v>181.162485</v>
      </c>
      <c r="H991" s="4">
        <f t="shared" si="61"/>
        <v>1.4924850000000163</v>
      </c>
      <c r="I991" s="4">
        <f t="shared" si="59"/>
        <v>49.637719000000004</v>
      </c>
      <c r="J991" s="3">
        <v>52.95</v>
      </c>
      <c r="K991" s="3">
        <v>20</v>
      </c>
    </row>
    <row r="992" spans="1:11" x14ac:dyDescent="0.35">
      <c r="A992" s="2">
        <v>44711</v>
      </c>
      <c r="B992" s="3">
        <v>170.35609500000001</v>
      </c>
      <c r="C992" s="4">
        <f t="shared" si="60"/>
        <v>2.7710150000000056</v>
      </c>
      <c r="D992" s="4">
        <f t="shared" si="58"/>
        <v>42.203480572000018</v>
      </c>
      <c r="E992" s="3">
        <v>52.95</v>
      </c>
      <c r="F992" s="3">
        <v>20</v>
      </c>
      <c r="G992" s="3">
        <v>182.24970200000001</v>
      </c>
      <c r="H992" s="4">
        <f t="shared" si="61"/>
        <v>1.0872170000000096</v>
      </c>
      <c r="I992" s="4">
        <f t="shared" si="59"/>
        <v>50.432281464000027</v>
      </c>
      <c r="J992" s="3">
        <v>52.95</v>
      </c>
      <c r="K992" s="3">
        <v>20</v>
      </c>
    </row>
    <row r="993" spans="1:11" x14ac:dyDescent="0.35">
      <c r="A993" s="2">
        <v>44718</v>
      </c>
      <c r="B993" s="3">
        <v>174.994575</v>
      </c>
      <c r="C993" s="4">
        <f t="shared" si="60"/>
        <v>4.6384799999999871</v>
      </c>
      <c r="D993" s="4">
        <f t="shared" si="58"/>
        <v>46.304810558999975</v>
      </c>
      <c r="E993" s="3">
        <v>52.95</v>
      </c>
      <c r="F993" s="3">
        <v>20</v>
      </c>
      <c r="G993" s="3">
        <v>184.94319000000002</v>
      </c>
      <c r="H993" s="4">
        <f t="shared" si="61"/>
        <v>2.6934880000000021</v>
      </c>
      <c r="I993" s="4">
        <f t="shared" si="59"/>
        <v>52.563025976000006</v>
      </c>
      <c r="J993" s="3">
        <v>52.95</v>
      </c>
      <c r="K993" s="3">
        <v>20</v>
      </c>
    </row>
    <row r="994" spans="1:11" x14ac:dyDescent="0.35">
      <c r="A994" s="2">
        <v>44725</v>
      </c>
      <c r="B994" s="3">
        <v>182.53120700000002</v>
      </c>
      <c r="C994" s="4">
        <f t="shared" si="60"/>
        <v>7.5366320000000258</v>
      </c>
      <c r="D994" s="4">
        <f t="shared" si="58"/>
        <v>53.06234372000003</v>
      </c>
      <c r="E994" s="3">
        <v>52.95</v>
      </c>
      <c r="F994" s="3">
        <v>20</v>
      </c>
      <c r="G994" s="3">
        <v>190.43459200000001</v>
      </c>
      <c r="H994" s="4">
        <f t="shared" si="61"/>
        <v>5.4914019999999937</v>
      </c>
      <c r="I994" s="4">
        <f t="shared" si="59"/>
        <v>57.262897600000031</v>
      </c>
      <c r="J994" s="3">
        <v>52.95</v>
      </c>
      <c r="K994" s="3">
        <v>20</v>
      </c>
    </row>
    <row r="995" spans="1:11" x14ac:dyDescent="0.35">
      <c r="A995" s="2">
        <v>44732</v>
      </c>
      <c r="B995" s="3">
        <v>186.84526099999999</v>
      </c>
      <c r="C995" s="4">
        <f t="shared" si="60"/>
        <v>4.3140539999999703</v>
      </c>
      <c r="D995" s="4">
        <f t="shared" si="58"/>
        <v>56.745238110999992</v>
      </c>
      <c r="E995" s="3">
        <v>52.95</v>
      </c>
      <c r="F995" s="3">
        <v>20</v>
      </c>
      <c r="G995" s="3">
        <v>194.87</v>
      </c>
      <c r="H995" s="4">
        <f t="shared" si="61"/>
        <v>4.4354079999999954</v>
      </c>
      <c r="I995" s="4">
        <f t="shared" si="59"/>
        <v>61.179096496000028</v>
      </c>
      <c r="J995" s="3">
        <v>52.95</v>
      </c>
      <c r="K995" s="3">
        <v>20</v>
      </c>
    </row>
    <row r="996" spans="1:11" x14ac:dyDescent="0.35">
      <c r="A996" s="2">
        <v>44739</v>
      </c>
      <c r="B996" s="3">
        <v>190.92684500000004</v>
      </c>
      <c r="C996" s="4">
        <f t="shared" si="60"/>
        <v>4.0815840000000492</v>
      </c>
      <c r="D996" s="4">
        <f t="shared" si="58"/>
        <v>60.201250507000026</v>
      </c>
      <c r="E996" s="3">
        <v>52.95</v>
      </c>
      <c r="F996" s="3">
        <v>20</v>
      </c>
      <c r="G996" s="3">
        <v>198.93</v>
      </c>
      <c r="H996" s="4">
        <f t="shared" si="61"/>
        <v>4.0600000000000023</v>
      </c>
      <c r="I996" s="4">
        <f t="shared" si="59"/>
        <v>64.655465816000003</v>
      </c>
      <c r="J996" s="3">
        <v>52.95</v>
      </c>
      <c r="K996" s="3">
        <v>20</v>
      </c>
    </row>
    <row r="997" spans="1:11" x14ac:dyDescent="0.35">
      <c r="A997" s="2">
        <v>44746</v>
      </c>
      <c r="B997" s="3">
        <v>191.546629</v>
      </c>
      <c r="C997" s="4">
        <f t="shared" si="60"/>
        <v>0.61978399999995304</v>
      </c>
      <c r="D997" s="4">
        <f t="shared" si="58"/>
        <v>59.84796399999999</v>
      </c>
      <c r="E997" s="3">
        <v>52.95</v>
      </c>
      <c r="F997" s="3">
        <v>20</v>
      </c>
      <c r="G997" s="3">
        <v>199.22</v>
      </c>
      <c r="H997" s="4">
        <f t="shared" si="61"/>
        <v>0.28999999999999204</v>
      </c>
      <c r="I997" s="4">
        <f t="shared" si="59"/>
        <v>65.094951666666645</v>
      </c>
      <c r="J997" s="3">
        <v>52.95</v>
      </c>
      <c r="K997" s="3">
        <v>20</v>
      </c>
    </row>
    <row r="998" spans="1:11" x14ac:dyDescent="0.35">
      <c r="A998" s="2">
        <v>44753</v>
      </c>
      <c r="B998" s="3">
        <v>190.62513000000001</v>
      </c>
      <c r="C998" s="4">
        <f t="shared" si="60"/>
        <v>-0.92149899999998297</v>
      </c>
      <c r="D998" s="4">
        <f t="shared" si="58"/>
        <v>58.155432979000011</v>
      </c>
      <c r="E998" s="3">
        <v>52.95</v>
      </c>
      <c r="F998" s="3">
        <v>20</v>
      </c>
      <c r="G998" s="3">
        <v>198.74</v>
      </c>
      <c r="H998" s="4">
        <f t="shared" si="61"/>
        <v>-0.47999999999998977</v>
      </c>
      <c r="I998" s="4">
        <f t="shared" si="59"/>
        <v>63.452727232000001</v>
      </c>
      <c r="J998" s="3">
        <v>52.95</v>
      </c>
      <c r="K998" s="3">
        <v>20</v>
      </c>
    </row>
    <row r="999" spans="1:11" x14ac:dyDescent="0.35">
      <c r="A999" s="2">
        <v>44760</v>
      </c>
      <c r="B999" s="3">
        <v>188.91708299999999</v>
      </c>
      <c r="C999" s="4">
        <f t="shared" si="60"/>
        <v>-1.7080470000000219</v>
      </c>
      <c r="D999" s="4">
        <f t="shared" si="58"/>
        <v>55.71496864300002</v>
      </c>
      <c r="E999" s="3">
        <v>52.95</v>
      </c>
      <c r="F999" s="3">
        <v>20</v>
      </c>
      <c r="G999" s="3">
        <v>197.53</v>
      </c>
      <c r="H999" s="4">
        <f t="shared" si="61"/>
        <v>-1.210000000000008</v>
      </c>
      <c r="I999" s="4">
        <f t="shared" si="59"/>
        <v>61.581298152000016</v>
      </c>
      <c r="J999" s="3">
        <v>52.95</v>
      </c>
      <c r="K999" s="3">
        <v>20</v>
      </c>
    </row>
    <row r="1000" spans="1:11" x14ac:dyDescent="0.35">
      <c r="A1000" s="2">
        <v>44767</v>
      </c>
      <c r="B1000" s="3">
        <v>186.60049500000002</v>
      </c>
      <c r="C1000" s="4">
        <f t="shared" si="60"/>
        <v>-2.3165879999999675</v>
      </c>
      <c r="D1000" s="4">
        <f t="shared" si="58"/>
        <v>53.117970750000012</v>
      </c>
      <c r="E1000" s="3">
        <v>52.95</v>
      </c>
      <c r="F1000" s="3">
        <v>20</v>
      </c>
      <c r="G1000" s="3">
        <v>195.88</v>
      </c>
      <c r="H1000" s="4">
        <f t="shared" si="61"/>
        <v>-1.6500000000000057</v>
      </c>
      <c r="I1000" s="4">
        <f t="shared" si="59"/>
        <v>59.676066359999993</v>
      </c>
      <c r="J1000" s="3">
        <v>52.95</v>
      </c>
      <c r="K1000" s="3">
        <v>20</v>
      </c>
    </row>
    <row r="1001" spans="1:11" x14ac:dyDescent="0.35">
      <c r="A1001" s="2">
        <v>44774</v>
      </c>
      <c r="B1001" s="3">
        <v>182.76847199999997</v>
      </c>
      <c r="C1001" s="4">
        <f t="shared" si="60"/>
        <v>-3.8320230000000493</v>
      </c>
      <c r="D1001" s="4">
        <f t="shared" si="58"/>
        <v>48.56019699999996</v>
      </c>
      <c r="E1001" s="3">
        <v>52.95</v>
      </c>
      <c r="F1001" s="3">
        <v>20</v>
      </c>
      <c r="G1001" s="3">
        <v>193.04</v>
      </c>
      <c r="H1001" s="4">
        <f t="shared" si="61"/>
        <v>-2.8400000000000034</v>
      </c>
      <c r="I1001" s="4">
        <f t="shared" si="59"/>
        <v>56.150000000000006</v>
      </c>
      <c r="J1001" s="3">
        <v>52.95</v>
      </c>
      <c r="K1001" s="3">
        <v>20</v>
      </c>
    </row>
    <row r="1002" spans="1:11" x14ac:dyDescent="0.35">
      <c r="A1002" s="2">
        <v>44781</v>
      </c>
      <c r="B1002" s="3">
        <v>177.64077200000003</v>
      </c>
      <c r="C1002" s="4">
        <f t="shared" si="60"/>
        <v>-5.1276999999999475</v>
      </c>
      <c r="D1002" s="4">
        <f t="shared" si="58"/>
        <v>42.942060390000023</v>
      </c>
      <c r="E1002" s="3">
        <v>52.95</v>
      </c>
      <c r="F1002" s="3">
        <v>20</v>
      </c>
      <c r="G1002" s="3">
        <v>188.49</v>
      </c>
      <c r="H1002" s="4">
        <f t="shared" si="61"/>
        <v>-4.5499999999999829</v>
      </c>
      <c r="I1002" s="4">
        <f t="shared" si="59"/>
        <v>51.180000000000007</v>
      </c>
      <c r="J1002" s="3">
        <v>52.95</v>
      </c>
      <c r="K1002" s="3">
        <v>20</v>
      </c>
    </row>
    <row r="1003" spans="1:11" x14ac:dyDescent="0.35">
      <c r="A1003" s="2">
        <v>44788</v>
      </c>
      <c r="B1003" s="3">
        <v>174.18753099999998</v>
      </c>
      <c r="C1003" s="4">
        <f t="shared" si="60"/>
        <v>-3.4532410000000482</v>
      </c>
      <c r="D1003" s="4">
        <f t="shared" si="58"/>
        <v>39.483469999999954</v>
      </c>
      <c r="E1003" s="3">
        <v>52.95</v>
      </c>
      <c r="F1003" s="3">
        <v>20</v>
      </c>
      <c r="G1003" s="3">
        <v>185.16</v>
      </c>
      <c r="H1003" s="4">
        <f t="shared" si="61"/>
        <v>-3.3300000000000125</v>
      </c>
      <c r="I1003" s="4">
        <f t="shared" si="59"/>
        <v>48.389999999999986</v>
      </c>
      <c r="J1003" s="3">
        <v>52.95</v>
      </c>
      <c r="K1003" s="3">
        <v>20</v>
      </c>
    </row>
    <row r="1004" spans="1:11" x14ac:dyDescent="0.35">
      <c r="A1004" s="2">
        <v>44795</v>
      </c>
      <c r="B1004" s="3">
        <v>171.14228399999999</v>
      </c>
      <c r="C1004" s="4">
        <f t="shared" si="60"/>
        <v>-3.0452469999999892</v>
      </c>
      <c r="D1004" s="4">
        <f t="shared" si="58"/>
        <v>36.463697999999994</v>
      </c>
      <c r="E1004" s="3">
        <v>52.95</v>
      </c>
      <c r="F1004" s="3">
        <v>20</v>
      </c>
      <c r="G1004" s="3">
        <v>182.92</v>
      </c>
      <c r="H1004" s="4">
        <f t="shared" si="61"/>
        <v>-2.2400000000000091</v>
      </c>
      <c r="I1004" s="4">
        <f t="shared" si="59"/>
        <v>45.769999999999982</v>
      </c>
      <c r="J1004" s="3">
        <v>52.95</v>
      </c>
      <c r="K1004" s="3">
        <v>20</v>
      </c>
    </row>
    <row r="1005" spans="1:11" x14ac:dyDescent="0.35">
      <c r="A1005" s="2">
        <v>44802</v>
      </c>
      <c r="B1005" s="3">
        <v>170.11870199999998</v>
      </c>
      <c r="C1005" s="4">
        <f t="shared" si="60"/>
        <v>-1.0235820000000047</v>
      </c>
      <c r="D1005" s="4">
        <f t="shared" si="58"/>
        <v>35.458701999999988</v>
      </c>
      <c r="E1005" s="3">
        <v>52.95</v>
      </c>
      <c r="F1005" s="3">
        <v>20</v>
      </c>
      <c r="G1005" s="3">
        <v>183.2</v>
      </c>
      <c r="H1005" s="4">
        <f t="shared" si="61"/>
        <v>0.28000000000000114</v>
      </c>
      <c r="I1005" s="4">
        <f t="shared" si="59"/>
        <v>46.089999999999975</v>
      </c>
      <c r="J1005" s="3">
        <v>52.95</v>
      </c>
      <c r="K1005" s="3">
        <v>20</v>
      </c>
    </row>
    <row r="1006" spans="1:11" x14ac:dyDescent="0.35">
      <c r="A1006" s="2">
        <v>44809</v>
      </c>
      <c r="B1006" s="3">
        <v>168.92694599999999</v>
      </c>
      <c r="C1006" s="4">
        <f t="shared" si="60"/>
        <v>-1.191755999999998</v>
      </c>
      <c r="D1006" s="4">
        <f t="shared" si="58"/>
        <v>34.166945999999996</v>
      </c>
      <c r="E1006" s="3">
        <v>52.95</v>
      </c>
      <c r="F1006" s="3">
        <v>20</v>
      </c>
      <c r="G1006" s="5">
        <v>182.82</v>
      </c>
      <c r="H1006" s="4">
        <f t="shared" si="61"/>
        <v>-0.37999999999999545</v>
      </c>
      <c r="I1006" s="4">
        <f t="shared" si="59"/>
        <v>45.629999999999995</v>
      </c>
      <c r="J1006" s="3">
        <v>52.95</v>
      </c>
      <c r="K1006" s="3">
        <v>20</v>
      </c>
    </row>
    <row r="1007" spans="1:11" x14ac:dyDescent="0.35">
      <c r="A1007" s="2">
        <v>44816</v>
      </c>
      <c r="B1007" s="3">
        <v>167.60933499999999</v>
      </c>
      <c r="C1007" s="4">
        <f t="shared" si="60"/>
        <v>-1.3176109999999994</v>
      </c>
      <c r="D1007" s="4">
        <f t="shared" si="58"/>
        <v>32.859334999999987</v>
      </c>
      <c r="E1007" s="3">
        <v>52.95</v>
      </c>
      <c r="F1007" s="3">
        <v>20</v>
      </c>
      <c r="G1007" s="3">
        <v>182.22</v>
      </c>
      <c r="H1007" s="4">
        <f t="shared" si="61"/>
        <v>-0.59999999999999432</v>
      </c>
      <c r="I1007" s="4">
        <f t="shared" si="59"/>
        <v>45.03</v>
      </c>
      <c r="J1007" s="3">
        <v>52.95</v>
      </c>
      <c r="K1007" s="3">
        <v>20</v>
      </c>
    </row>
    <row r="1008" spans="1:11" x14ac:dyDescent="0.35">
      <c r="A1008" s="2">
        <v>44823</v>
      </c>
      <c r="B1008" s="3">
        <v>165.47258199999999</v>
      </c>
      <c r="C1008" s="4">
        <f t="shared" si="60"/>
        <v>-2.1367529999999988</v>
      </c>
      <c r="D1008" s="4">
        <f t="shared" si="58"/>
        <v>30.612581999999975</v>
      </c>
      <c r="E1008" s="3">
        <v>52.95</v>
      </c>
      <c r="F1008" s="3">
        <v>20</v>
      </c>
      <c r="G1008" s="3">
        <v>181.13</v>
      </c>
      <c r="H1008" s="4">
        <f t="shared" si="61"/>
        <v>-1.0900000000000034</v>
      </c>
      <c r="I1008" s="4">
        <f t="shared" si="59"/>
        <v>43.78</v>
      </c>
      <c r="J1008" s="3">
        <v>52.95</v>
      </c>
      <c r="K1008" s="3">
        <v>20</v>
      </c>
    </row>
    <row r="1009" spans="1:11" x14ac:dyDescent="0.35">
      <c r="A1009" s="2">
        <v>44830</v>
      </c>
      <c r="B1009" s="5">
        <v>164.00275900000003</v>
      </c>
      <c r="C1009" s="4">
        <f t="shared" si="60"/>
        <v>-1.4698229999999626</v>
      </c>
      <c r="D1009" s="4">
        <f t="shared" si="58"/>
        <v>28.809745000000049</v>
      </c>
      <c r="E1009" s="3">
        <v>52.95</v>
      </c>
      <c r="F1009" s="3">
        <v>20</v>
      </c>
      <c r="G1009" s="5">
        <v>180.46</v>
      </c>
      <c r="H1009" s="4">
        <f t="shared" si="61"/>
        <v>-0.66999999999998749</v>
      </c>
      <c r="I1009" s="4">
        <f t="shared" si="59"/>
        <v>42.508753000000013</v>
      </c>
      <c r="J1009" s="3">
        <v>52.95</v>
      </c>
      <c r="K1009" s="3">
        <v>20</v>
      </c>
    </row>
    <row r="1010" spans="1:11" x14ac:dyDescent="0.35">
      <c r="A1010" s="2">
        <v>44837</v>
      </c>
      <c r="B1010" s="3">
        <v>162.66685200000001</v>
      </c>
      <c r="C1010" s="4">
        <f t="shared" si="60"/>
        <v>-1.3359070000000202</v>
      </c>
      <c r="D1010" s="4">
        <f t="shared" si="58"/>
        <v>26.566852000000011</v>
      </c>
      <c r="E1010" s="3">
        <v>52.95</v>
      </c>
      <c r="F1010" s="3">
        <v>20</v>
      </c>
      <c r="G1010" s="3">
        <v>180.04</v>
      </c>
      <c r="H1010" s="4">
        <f t="shared" si="61"/>
        <v>-0.42000000000001592</v>
      </c>
      <c r="I1010" s="4">
        <f t="shared" si="59"/>
        <v>40.840000000000003</v>
      </c>
      <c r="J1010" s="3">
        <v>52.95</v>
      </c>
      <c r="K1010" s="3">
        <v>20</v>
      </c>
    </row>
    <row r="1011" spans="1:11" x14ac:dyDescent="0.35">
      <c r="A1011" s="2">
        <v>44844</v>
      </c>
      <c r="B1011" s="3">
        <v>162.08613500000001</v>
      </c>
      <c r="C1011" s="4">
        <f t="shared" si="60"/>
        <v>-0.58071699999999282</v>
      </c>
      <c r="D1011" s="4">
        <f t="shared" si="58"/>
        <v>24.916135000000025</v>
      </c>
      <c r="E1011" s="3">
        <v>52.95</v>
      </c>
      <c r="F1011" s="3">
        <v>20</v>
      </c>
      <c r="G1011" s="3">
        <v>180.76</v>
      </c>
      <c r="H1011" s="4">
        <f t="shared" si="61"/>
        <v>0.71999999999999886</v>
      </c>
      <c r="I1011" s="4">
        <f t="shared" si="59"/>
        <v>40.099999999999994</v>
      </c>
      <c r="J1011" s="3">
        <v>52.95</v>
      </c>
      <c r="K1011" s="3">
        <v>20</v>
      </c>
    </row>
    <row r="1012" spans="1:11" x14ac:dyDescent="0.35">
      <c r="A1012" s="2">
        <v>44851</v>
      </c>
      <c r="B1012" s="3">
        <v>162.80595600000004</v>
      </c>
      <c r="C1012" s="4">
        <f t="shared" si="60"/>
        <v>0.71982100000002447</v>
      </c>
      <c r="D1012" s="4">
        <f t="shared" si="58"/>
        <v>23.345956000000029</v>
      </c>
      <c r="E1012" s="3">
        <v>52.95</v>
      </c>
      <c r="F1012" s="3">
        <v>20</v>
      </c>
      <c r="G1012" s="3">
        <v>181.85817400000002</v>
      </c>
      <c r="H1012" s="4">
        <f t="shared" si="61"/>
        <v>1.0981740000000286</v>
      </c>
      <c r="I1012" s="4">
        <f t="shared" si="59"/>
        <v>38.668174000000022</v>
      </c>
      <c r="J1012" s="3">
        <v>52.95</v>
      </c>
      <c r="K1012" s="3">
        <v>20</v>
      </c>
    </row>
    <row r="1013" spans="1:11" x14ac:dyDescent="0.35">
      <c r="A1013" s="2">
        <v>44858</v>
      </c>
      <c r="B1013" s="3">
        <v>164.619148</v>
      </c>
      <c r="C1013" s="4">
        <f t="shared" si="60"/>
        <v>1.8131919999999582</v>
      </c>
      <c r="D1013" s="4">
        <f t="shared" si="58"/>
        <v>22.809147999999993</v>
      </c>
      <c r="E1013" s="3">
        <v>52.95</v>
      </c>
      <c r="F1013" s="3">
        <v>20</v>
      </c>
      <c r="G1013" s="3">
        <v>187.29633800000002</v>
      </c>
      <c r="H1013" s="4">
        <f t="shared" si="61"/>
        <v>5.4381640000000004</v>
      </c>
      <c r="I1013" s="4">
        <f t="shared" si="59"/>
        <v>41.396338000000014</v>
      </c>
      <c r="J1013" s="3">
        <v>52.95</v>
      </c>
      <c r="K1013" s="3">
        <v>20</v>
      </c>
    </row>
    <row r="1014" spans="1:11" x14ac:dyDescent="0.35">
      <c r="A1014" s="2">
        <v>44865</v>
      </c>
      <c r="B1014" s="3">
        <v>165.87190800000002</v>
      </c>
      <c r="C1014" s="4">
        <f t="shared" si="60"/>
        <v>1.2527600000000234</v>
      </c>
      <c r="D1014" s="4">
        <f t="shared" si="58"/>
        <v>22.17190800000003</v>
      </c>
      <c r="E1014" s="3">
        <v>52.95</v>
      </c>
      <c r="F1014" s="3">
        <v>20</v>
      </c>
      <c r="G1014" s="3">
        <v>189.76706999999999</v>
      </c>
      <c r="H1014" s="4">
        <f t="shared" si="61"/>
        <v>2.4707319999999697</v>
      </c>
      <c r="I1014" s="4">
        <f t="shared" si="59"/>
        <v>42.28707</v>
      </c>
      <c r="J1014" s="3">
        <v>52.95</v>
      </c>
      <c r="K1014" s="3">
        <v>20</v>
      </c>
    </row>
    <row r="1015" spans="1:11" x14ac:dyDescent="0.35">
      <c r="A1015" s="2">
        <v>44872</v>
      </c>
      <c r="B1015" s="3">
        <v>165.61696999999998</v>
      </c>
      <c r="C1015" s="4">
        <f t="shared" si="60"/>
        <v>-0.2549380000000383</v>
      </c>
      <c r="D1015" s="4">
        <f t="shared" ref="D1015:D1078" si="62">B1015-B963</f>
        <v>20.716969999999975</v>
      </c>
      <c r="E1015" s="3">
        <v>52.95</v>
      </c>
      <c r="F1015" s="3">
        <v>20</v>
      </c>
      <c r="G1015" s="3">
        <v>189.794085</v>
      </c>
      <c r="H1015" s="4">
        <f t="shared" si="61"/>
        <v>2.7015000000005784E-2</v>
      </c>
      <c r="I1015" s="4">
        <f t="shared" ref="I1015:I1078" si="63">G1015-G963</f>
        <v>40.954084999999992</v>
      </c>
      <c r="J1015" s="3">
        <v>52.95</v>
      </c>
      <c r="K1015" s="3">
        <v>20</v>
      </c>
    </row>
    <row r="1016" spans="1:11" x14ac:dyDescent="0.35">
      <c r="A1016" s="2">
        <v>44879</v>
      </c>
      <c r="B1016" s="3">
        <v>164.40395599999999</v>
      </c>
      <c r="C1016" s="4">
        <f t="shared" si="60"/>
        <v>-1.2130139999999869</v>
      </c>
      <c r="D1016" s="4">
        <f t="shared" si="62"/>
        <v>18.533955999999989</v>
      </c>
      <c r="E1016" s="3">
        <v>52.95</v>
      </c>
      <c r="F1016" s="3">
        <v>20</v>
      </c>
      <c r="G1016" s="3">
        <v>188.85</v>
      </c>
      <c r="H1016" s="4">
        <f t="shared" si="61"/>
        <v>-0.94408500000000117</v>
      </c>
      <c r="I1016" s="4">
        <f t="shared" si="63"/>
        <v>39.090000000000003</v>
      </c>
      <c r="J1016" s="3">
        <v>52.95</v>
      </c>
      <c r="K1016" s="3">
        <v>20</v>
      </c>
    </row>
    <row r="1017" spans="1:11" x14ac:dyDescent="0.35">
      <c r="A1017" s="2">
        <v>44886</v>
      </c>
      <c r="B1017" s="3">
        <v>163.27625800000001</v>
      </c>
      <c r="C1017" s="4">
        <f t="shared" si="60"/>
        <v>-1.127697999999981</v>
      </c>
      <c r="D1017" s="4">
        <f t="shared" si="62"/>
        <v>16.387298000000015</v>
      </c>
      <c r="E1017" s="3">
        <v>52.95</v>
      </c>
      <c r="F1017" s="3">
        <v>20</v>
      </c>
      <c r="G1017" s="3">
        <v>187.57</v>
      </c>
      <c r="H1017" s="4">
        <f t="shared" si="61"/>
        <v>-1.2800000000000011</v>
      </c>
      <c r="I1017" s="4">
        <f t="shared" si="63"/>
        <v>36.838717000000003</v>
      </c>
      <c r="J1017" s="3">
        <v>52.95</v>
      </c>
      <c r="K1017" s="3">
        <v>20</v>
      </c>
    </row>
    <row r="1018" spans="1:11" x14ac:dyDescent="0.35">
      <c r="A1018" s="2">
        <v>44893</v>
      </c>
      <c r="B1018" s="3">
        <v>161.133037</v>
      </c>
      <c r="C1018" s="4">
        <f t="shared" si="60"/>
        <v>-2.1432210000000111</v>
      </c>
      <c r="D1018" s="4">
        <f t="shared" si="62"/>
        <v>13.603037</v>
      </c>
      <c r="E1018" s="3">
        <v>52.95</v>
      </c>
      <c r="F1018" s="3">
        <v>20</v>
      </c>
      <c r="G1018" s="3">
        <v>185.57</v>
      </c>
      <c r="H1018" s="4">
        <f t="shared" si="61"/>
        <v>-2</v>
      </c>
      <c r="I1018" s="4">
        <f t="shared" si="63"/>
        <v>34.259999999999991</v>
      </c>
      <c r="J1018" s="3">
        <v>52.95</v>
      </c>
      <c r="K1018" s="3">
        <v>20</v>
      </c>
    </row>
    <row r="1019" spans="1:11" x14ac:dyDescent="0.35">
      <c r="A1019" s="2">
        <v>44900</v>
      </c>
      <c r="B1019" s="3">
        <v>159.19547500000002</v>
      </c>
      <c r="C1019" s="4">
        <f t="shared" si="60"/>
        <v>-1.9375619999999856</v>
      </c>
      <c r="D1019" s="4">
        <f t="shared" si="62"/>
        <v>12.30547500000003</v>
      </c>
      <c r="E1019" s="3">
        <v>52.95</v>
      </c>
      <c r="F1019" s="3">
        <v>20</v>
      </c>
      <c r="G1019" s="3">
        <v>183.56</v>
      </c>
      <c r="H1019" s="4">
        <f t="shared" si="61"/>
        <v>-2.0099999999999909</v>
      </c>
      <c r="I1019" s="4">
        <f t="shared" si="63"/>
        <v>32.949999999999989</v>
      </c>
      <c r="J1019" s="3">
        <v>52.95</v>
      </c>
      <c r="K1019" s="3">
        <v>20</v>
      </c>
    </row>
    <row r="1020" spans="1:11" x14ac:dyDescent="0.35">
      <c r="A1020" s="2">
        <v>44907</v>
      </c>
      <c r="B1020" s="3">
        <v>155.97079499999998</v>
      </c>
      <c r="C1020" s="4">
        <f t="shared" si="60"/>
        <v>-3.2246800000000349</v>
      </c>
      <c r="D1020" s="4">
        <f t="shared" si="62"/>
        <v>9.7507949999999823</v>
      </c>
      <c r="E1020" s="3">
        <v>52.95</v>
      </c>
      <c r="F1020" s="3">
        <v>20</v>
      </c>
      <c r="G1020" s="3">
        <v>179.91</v>
      </c>
      <c r="H1020" s="4">
        <f t="shared" si="61"/>
        <v>-3.6500000000000057</v>
      </c>
      <c r="I1020" s="4">
        <f t="shared" si="63"/>
        <v>30.03</v>
      </c>
      <c r="J1020" s="3">
        <v>52.95</v>
      </c>
      <c r="K1020" s="3">
        <v>20</v>
      </c>
    </row>
    <row r="1021" spans="1:11" x14ac:dyDescent="0.35">
      <c r="A1021" s="2">
        <v>44914</v>
      </c>
      <c r="B1021" s="3">
        <v>154.06553500000001</v>
      </c>
      <c r="C1021" s="4">
        <f t="shared" si="60"/>
        <v>-1.90525999999997</v>
      </c>
      <c r="D1021" s="4">
        <f t="shared" si="62"/>
        <v>8.9055350000000146</v>
      </c>
      <c r="E1021" s="3">
        <v>52.95</v>
      </c>
      <c r="F1021" s="3">
        <v>20</v>
      </c>
      <c r="G1021" s="3">
        <v>177.62</v>
      </c>
      <c r="H1021" s="4">
        <f t="shared" si="61"/>
        <v>-2.289999999999992</v>
      </c>
      <c r="I1021" s="4">
        <f t="shared" si="63"/>
        <v>28.730000000000018</v>
      </c>
      <c r="J1021" s="3">
        <v>52.95</v>
      </c>
      <c r="K1021" s="3">
        <v>20</v>
      </c>
    </row>
    <row r="1022" spans="1:11" x14ac:dyDescent="0.35">
      <c r="A1022" s="2">
        <v>44921</v>
      </c>
      <c r="B1022" s="3">
        <v>151.93957299999997</v>
      </c>
      <c r="C1022" s="4">
        <f t="shared" si="60"/>
        <v>-2.1259620000000439</v>
      </c>
      <c r="D1022" s="4">
        <f t="shared" si="62"/>
        <v>7.0195729999999799</v>
      </c>
      <c r="E1022" s="3">
        <v>52.95</v>
      </c>
      <c r="F1022" s="3">
        <v>20</v>
      </c>
      <c r="G1022" s="3">
        <v>175.52</v>
      </c>
      <c r="H1022" s="4">
        <f t="shared" si="61"/>
        <v>-2.0999999999999943</v>
      </c>
      <c r="I1022" s="4">
        <f t="shared" si="63"/>
        <v>26.700000000000017</v>
      </c>
      <c r="J1022" s="3">
        <v>52.95</v>
      </c>
      <c r="K1022" s="3">
        <v>20</v>
      </c>
    </row>
    <row r="1023" spans="1:11" x14ac:dyDescent="0.35">
      <c r="A1023" s="2">
        <v>44928</v>
      </c>
      <c r="B1023" s="3">
        <v>150.89909733333337</v>
      </c>
      <c r="C1023" s="4">
        <f t="shared" si="60"/>
        <v>-1.0404756666665946</v>
      </c>
      <c r="D1023" s="4">
        <f t="shared" si="62"/>
        <v>5.8590973333333807</v>
      </c>
      <c r="E1023" s="3">
        <v>52.95</v>
      </c>
      <c r="F1023" s="3">
        <v>20</v>
      </c>
      <c r="G1023" s="3">
        <v>174.16</v>
      </c>
      <c r="H1023" s="4">
        <f t="shared" si="61"/>
        <v>-1.3600000000000136</v>
      </c>
      <c r="I1023" s="4">
        <f t="shared" si="63"/>
        <v>25.310000000000002</v>
      </c>
      <c r="J1023" s="3">
        <v>52.95</v>
      </c>
      <c r="K1023" s="3">
        <v>20</v>
      </c>
    </row>
    <row r="1024" spans="1:11" x14ac:dyDescent="0.35">
      <c r="A1024" s="2">
        <v>44935</v>
      </c>
      <c r="B1024" s="3">
        <v>149.96984200000003</v>
      </c>
      <c r="C1024" s="4">
        <f t="shared" si="60"/>
        <v>-0.92925533333334442</v>
      </c>
      <c r="D1024" s="4">
        <f t="shared" si="62"/>
        <v>5.1498420000000351</v>
      </c>
      <c r="E1024" s="3">
        <v>52.95</v>
      </c>
      <c r="F1024" s="3">
        <v>20</v>
      </c>
      <c r="G1024" s="3">
        <v>173.16</v>
      </c>
      <c r="H1024" s="4">
        <f t="shared" si="61"/>
        <v>-1</v>
      </c>
      <c r="I1024" s="4">
        <f t="shared" si="63"/>
        <v>24.509999999999991</v>
      </c>
      <c r="J1024" s="3">
        <v>52.95</v>
      </c>
      <c r="K1024" s="3">
        <v>20</v>
      </c>
    </row>
    <row r="1025" spans="1:11" x14ac:dyDescent="0.35">
      <c r="A1025" s="2">
        <v>44942</v>
      </c>
      <c r="B1025" s="3">
        <v>148.791121</v>
      </c>
      <c r="C1025" s="4">
        <f t="shared" si="60"/>
        <v>-1.1787210000000243</v>
      </c>
      <c r="D1025" s="4">
        <f t="shared" si="62"/>
        <v>3.9911209999999926</v>
      </c>
      <c r="E1025" s="3">
        <v>52.95</v>
      </c>
      <c r="F1025" s="3">
        <v>20</v>
      </c>
      <c r="G1025" s="3">
        <v>171.64</v>
      </c>
      <c r="H1025" s="4">
        <f t="shared" si="61"/>
        <v>-1.5200000000000102</v>
      </c>
      <c r="I1025" s="4">
        <f t="shared" si="63"/>
        <v>22.939999999999998</v>
      </c>
      <c r="J1025" s="3">
        <v>52.95</v>
      </c>
      <c r="K1025" s="3">
        <v>20</v>
      </c>
    </row>
    <row r="1026" spans="1:11" x14ac:dyDescent="0.35">
      <c r="A1026" s="2">
        <v>44949</v>
      </c>
      <c r="B1026" s="3">
        <v>148.20896099999999</v>
      </c>
      <c r="C1026" s="4">
        <f t="shared" si="60"/>
        <v>-0.582160000000016</v>
      </c>
      <c r="D1026" s="4">
        <f t="shared" si="62"/>
        <v>3.3389609999999834</v>
      </c>
      <c r="E1026" s="3">
        <v>52.95</v>
      </c>
      <c r="F1026" s="3">
        <v>20</v>
      </c>
      <c r="G1026" s="3">
        <v>170.86224199999998</v>
      </c>
      <c r="H1026" s="4">
        <f t="shared" si="61"/>
        <v>-0.77775800000000572</v>
      </c>
      <c r="I1026" s="4">
        <f t="shared" si="63"/>
        <v>22.052241999999978</v>
      </c>
      <c r="J1026" s="3">
        <v>52.95</v>
      </c>
      <c r="K1026" s="3">
        <v>20</v>
      </c>
    </row>
    <row r="1027" spans="1:11" x14ac:dyDescent="0.35">
      <c r="A1027" s="2">
        <v>44956</v>
      </c>
      <c r="B1027" s="3">
        <v>148.17582400000001</v>
      </c>
      <c r="C1027" s="4">
        <f t="shared" ref="C1027:C1090" si="64">B1027-B1026</f>
        <v>-3.3136999999982208E-2</v>
      </c>
      <c r="D1027" s="4">
        <f t="shared" si="62"/>
        <v>2.4358239999999967</v>
      </c>
      <c r="E1027" s="3">
        <v>52.95</v>
      </c>
      <c r="F1027" s="3">
        <v>20</v>
      </c>
      <c r="G1027" s="3">
        <v>170.56</v>
      </c>
      <c r="H1027" s="4">
        <f t="shared" ref="H1027:H1090" si="65">G1027-G1026</f>
        <v>-0.30224199999997836</v>
      </c>
      <c r="I1027" s="4">
        <f t="shared" si="63"/>
        <v>20.879999999999995</v>
      </c>
      <c r="J1027" s="3">
        <v>52.95</v>
      </c>
      <c r="K1027" s="3">
        <v>20</v>
      </c>
    </row>
    <row r="1028" spans="1:11" x14ac:dyDescent="0.35">
      <c r="A1028" s="2">
        <v>44963</v>
      </c>
      <c r="B1028" s="3">
        <v>148.34358199999997</v>
      </c>
      <c r="C1028" s="4">
        <f t="shared" si="64"/>
        <v>0.16775799999996366</v>
      </c>
      <c r="D1028" s="4">
        <f t="shared" si="62"/>
        <v>2.0135819999999569</v>
      </c>
      <c r="E1028" s="3">
        <v>52.95</v>
      </c>
      <c r="F1028" s="3">
        <v>20</v>
      </c>
      <c r="G1028" s="3">
        <v>170.36031899999998</v>
      </c>
      <c r="H1028" s="4">
        <f t="shared" si="65"/>
        <v>-0.19968100000002664</v>
      </c>
      <c r="I1028" s="4">
        <f t="shared" si="63"/>
        <v>20.060318999999964</v>
      </c>
      <c r="J1028" s="3">
        <v>52.95</v>
      </c>
      <c r="K1028" s="3">
        <v>20</v>
      </c>
    </row>
    <row r="1029" spans="1:11" x14ac:dyDescent="0.35">
      <c r="A1029" s="2">
        <v>44970</v>
      </c>
      <c r="B1029" s="3">
        <v>147.97802100000001</v>
      </c>
      <c r="C1029" s="4">
        <f t="shared" si="64"/>
        <v>-0.36556099999995695</v>
      </c>
      <c r="D1029" s="4">
        <f t="shared" si="62"/>
        <v>1.0280210000000238</v>
      </c>
      <c r="E1029" s="3">
        <v>52.95</v>
      </c>
      <c r="F1029" s="3">
        <v>20</v>
      </c>
      <c r="G1029" s="3">
        <v>169.65982100000002</v>
      </c>
      <c r="H1029" s="4">
        <f t="shared" si="65"/>
        <v>-0.70049799999995344</v>
      </c>
      <c r="I1029" s="4">
        <f t="shared" si="63"/>
        <v>18.559821000000028</v>
      </c>
      <c r="J1029" s="3">
        <v>52.95</v>
      </c>
      <c r="K1029" s="3">
        <v>20</v>
      </c>
    </row>
    <row r="1030" spans="1:11" x14ac:dyDescent="0.35">
      <c r="A1030" s="2">
        <v>44977</v>
      </c>
      <c r="B1030" s="3">
        <v>147.860219</v>
      </c>
      <c r="C1030" s="4">
        <f t="shared" si="64"/>
        <v>-0.11780200000001173</v>
      </c>
      <c r="D1030" s="4">
        <f t="shared" si="62"/>
        <v>9.0218999999990501E-2</v>
      </c>
      <c r="E1030" s="3">
        <v>52.95</v>
      </c>
      <c r="F1030" s="3">
        <v>20</v>
      </c>
      <c r="G1030" s="3">
        <v>169.3</v>
      </c>
      <c r="H1030" s="4">
        <f t="shared" si="65"/>
        <v>-0.35982100000001083</v>
      </c>
      <c r="I1030" s="4">
        <f t="shared" si="63"/>
        <v>17.350000000000023</v>
      </c>
      <c r="J1030" s="3">
        <v>52.95</v>
      </c>
      <c r="K1030" s="3">
        <v>20</v>
      </c>
    </row>
    <row r="1031" spans="1:11" x14ac:dyDescent="0.35">
      <c r="A1031" s="2">
        <v>44984</v>
      </c>
      <c r="B1031" s="3">
        <v>147.545378</v>
      </c>
      <c r="C1031" s="4">
        <f t="shared" si="64"/>
        <v>-0.31484100000000126</v>
      </c>
      <c r="D1031" s="4">
        <f t="shared" si="62"/>
        <v>-1.6746219999999994</v>
      </c>
      <c r="E1031" s="3">
        <v>52.95</v>
      </c>
      <c r="F1031" s="3">
        <v>20</v>
      </c>
      <c r="G1031" s="3">
        <v>168.56</v>
      </c>
      <c r="H1031" s="4">
        <f t="shared" si="65"/>
        <v>-0.74000000000000909</v>
      </c>
      <c r="I1031" s="4">
        <f t="shared" si="63"/>
        <v>15.199999999999989</v>
      </c>
      <c r="J1031" s="3">
        <v>52.95</v>
      </c>
      <c r="K1031" s="3">
        <v>20</v>
      </c>
    </row>
    <row r="1032" spans="1:11" x14ac:dyDescent="0.35">
      <c r="A1032" s="2">
        <v>44991</v>
      </c>
      <c r="B1032" s="3">
        <v>147.12277600000002</v>
      </c>
      <c r="C1032" s="4">
        <f t="shared" si="64"/>
        <v>-0.42260199999998349</v>
      </c>
      <c r="D1032" s="4">
        <f t="shared" si="62"/>
        <v>-5.8272239999999726</v>
      </c>
      <c r="E1032" s="3">
        <v>52.95</v>
      </c>
      <c r="F1032" s="3">
        <v>20</v>
      </c>
      <c r="G1032" s="3">
        <v>167.33</v>
      </c>
      <c r="H1032" s="4">
        <f t="shared" si="65"/>
        <v>-1.2299999999999898</v>
      </c>
      <c r="I1032" s="4">
        <f t="shared" si="63"/>
        <v>8.7700000000000102</v>
      </c>
      <c r="J1032" s="3">
        <v>52.95</v>
      </c>
      <c r="K1032" s="3">
        <v>20</v>
      </c>
    </row>
    <row r="1033" spans="1:11" x14ac:dyDescent="0.35">
      <c r="A1033" s="2">
        <v>44998</v>
      </c>
      <c r="B1033" s="3">
        <v>146.97366000000002</v>
      </c>
      <c r="C1033" s="4">
        <f t="shared" si="64"/>
        <v>-0.14911599999999225</v>
      </c>
      <c r="D1033" s="4">
        <f t="shared" si="62"/>
        <v>-12.986339999999984</v>
      </c>
      <c r="E1033" s="3">
        <v>52.95</v>
      </c>
      <c r="F1033" s="3">
        <v>20</v>
      </c>
      <c r="G1033" s="3">
        <v>167.04</v>
      </c>
      <c r="H1033" s="4">
        <f t="shared" si="65"/>
        <v>-0.29000000000002046</v>
      </c>
      <c r="I1033" s="4">
        <f t="shared" si="63"/>
        <v>-2.4399999999999977</v>
      </c>
      <c r="J1033" s="3">
        <v>52.95</v>
      </c>
      <c r="K1033" s="3">
        <v>20</v>
      </c>
    </row>
    <row r="1034" spans="1:11" x14ac:dyDescent="0.35">
      <c r="A1034" s="2">
        <v>45005</v>
      </c>
      <c r="B1034" s="3">
        <v>146.61631199999999</v>
      </c>
      <c r="C1034" s="4">
        <f t="shared" si="64"/>
        <v>-0.3573480000000302</v>
      </c>
      <c r="D1034" s="4">
        <f t="shared" si="62"/>
        <v>-18.753688000000011</v>
      </c>
      <c r="E1034" s="3">
        <v>52.95</v>
      </c>
      <c r="F1034" s="3">
        <v>20</v>
      </c>
      <c r="G1034" s="3">
        <v>166.26</v>
      </c>
      <c r="H1034" s="4">
        <f t="shared" si="65"/>
        <v>-0.78000000000000114</v>
      </c>
      <c r="I1034" s="4">
        <f t="shared" si="63"/>
        <v>-11.210000000000008</v>
      </c>
      <c r="J1034" s="3">
        <v>52.95</v>
      </c>
      <c r="K1034" s="3">
        <v>20</v>
      </c>
    </row>
    <row r="1035" spans="1:11" x14ac:dyDescent="0.35">
      <c r="A1035" s="2">
        <v>45012</v>
      </c>
      <c r="B1035" s="3">
        <v>146.21293899999998</v>
      </c>
      <c r="C1035" s="4">
        <f t="shared" si="64"/>
        <v>-0.40337300000001619</v>
      </c>
      <c r="D1035" s="4">
        <f t="shared" si="62"/>
        <v>-16.438829999999996</v>
      </c>
      <c r="E1035" s="3">
        <v>52.95</v>
      </c>
      <c r="F1035" s="3">
        <v>20</v>
      </c>
      <c r="G1035" s="3">
        <v>165.18</v>
      </c>
      <c r="H1035" s="4">
        <f t="shared" si="65"/>
        <v>-1.0799999999999841</v>
      </c>
      <c r="I1035" s="4">
        <f t="shared" si="63"/>
        <v>-11.262402999999978</v>
      </c>
      <c r="J1035" s="3">
        <v>52.95</v>
      </c>
      <c r="K1035" s="3">
        <v>20</v>
      </c>
    </row>
    <row r="1036" spans="1:11" x14ac:dyDescent="0.35">
      <c r="A1036" s="2">
        <v>45019</v>
      </c>
      <c r="B1036" s="3">
        <v>145.72476</v>
      </c>
      <c r="C1036" s="4">
        <f t="shared" si="64"/>
        <v>-0.48817899999997394</v>
      </c>
      <c r="D1036" s="4">
        <f t="shared" si="62"/>
        <v>-16.185239999999993</v>
      </c>
      <c r="E1036" s="3">
        <v>52.95</v>
      </c>
      <c r="F1036" s="3">
        <v>20</v>
      </c>
      <c r="G1036" s="3">
        <v>163.71</v>
      </c>
      <c r="H1036" s="4">
        <f t="shared" si="65"/>
        <v>-1.4699999999999989</v>
      </c>
      <c r="I1036" s="4">
        <f t="shared" si="63"/>
        <v>-12.289999999999992</v>
      </c>
      <c r="J1036" s="3">
        <v>52.95</v>
      </c>
      <c r="K1036" s="3">
        <v>20</v>
      </c>
    </row>
    <row r="1037" spans="1:11" x14ac:dyDescent="0.35">
      <c r="A1037" s="2">
        <v>45026</v>
      </c>
      <c r="B1037" s="3">
        <v>145.81701200000001</v>
      </c>
      <c r="C1037" s="4">
        <f t="shared" si="64"/>
        <v>9.2252000000001999E-2</v>
      </c>
      <c r="D1037" s="4">
        <f t="shared" si="62"/>
        <v>-15.962987999999996</v>
      </c>
      <c r="E1037" s="3">
        <v>52.95</v>
      </c>
      <c r="F1037" s="3">
        <v>20</v>
      </c>
      <c r="G1037" s="3">
        <v>162.70971299999999</v>
      </c>
      <c r="H1037" s="4">
        <f t="shared" si="65"/>
        <v>-1.0002870000000144</v>
      </c>
      <c r="I1037" s="4">
        <f t="shared" si="63"/>
        <v>-13.510287000000005</v>
      </c>
      <c r="J1037" s="3">
        <v>52.95</v>
      </c>
      <c r="K1037" s="3">
        <v>20</v>
      </c>
    </row>
    <row r="1038" spans="1:11" x14ac:dyDescent="0.35">
      <c r="A1038" s="2">
        <v>45033</v>
      </c>
      <c r="B1038" s="3">
        <v>145.93487199999998</v>
      </c>
      <c r="C1038" s="4">
        <f t="shared" si="64"/>
        <v>0.11785999999997898</v>
      </c>
      <c r="D1038" s="4">
        <f t="shared" si="62"/>
        <v>-15.736151999999976</v>
      </c>
      <c r="E1038" s="3">
        <v>52.95</v>
      </c>
      <c r="F1038" s="3">
        <v>20</v>
      </c>
      <c r="G1038" s="3">
        <v>162.11473099999998</v>
      </c>
      <c r="H1038" s="4">
        <f t="shared" si="65"/>
        <v>-0.59498200000001589</v>
      </c>
      <c r="I1038" s="4">
        <f t="shared" si="63"/>
        <v>-13.814546000000036</v>
      </c>
      <c r="J1038" s="3">
        <v>52.95</v>
      </c>
      <c r="K1038" s="3">
        <v>20</v>
      </c>
    </row>
    <row r="1039" spans="1:11" x14ac:dyDescent="0.35">
      <c r="A1039" s="2">
        <v>45040</v>
      </c>
      <c r="B1039" s="3">
        <v>145.84025499999998</v>
      </c>
      <c r="C1039" s="4">
        <f t="shared" si="64"/>
        <v>-9.4616999999999507E-2</v>
      </c>
      <c r="D1039" s="4">
        <f t="shared" si="62"/>
        <v>-15.999477000000041</v>
      </c>
      <c r="E1039" s="3">
        <v>52.95</v>
      </c>
      <c r="F1039" s="3">
        <v>20</v>
      </c>
      <c r="G1039" s="3">
        <v>161.340855</v>
      </c>
      <c r="H1039" s="4">
        <f t="shared" si="65"/>
        <v>-0.77387599999997292</v>
      </c>
      <c r="I1039" s="4">
        <f t="shared" si="63"/>
        <v>-14.993546000000009</v>
      </c>
      <c r="J1039" s="3">
        <v>52.95</v>
      </c>
      <c r="K1039" s="3">
        <v>20</v>
      </c>
    </row>
    <row r="1040" spans="1:11" x14ac:dyDescent="0.35">
      <c r="A1040" s="2">
        <v>45047</v>
      </c>
      <c r="B1040" s="3">
        <v>145.70980299999999</v>
      </c>
      <c r="C1040" s="4">
        <f t="shared" si="64"/>
        <v>-0.13045199999999113</v>
      </c>
      <c r="D1040" s="4">
        <f t="shared" si="62"/>
        <v>-16.765891000000039</v>
      </c>
      <c r="E1040" s="3">
        <v>52.95</v>
      </c>
      <c r="F1040" s="3">
        <v>20</v>
      </c>
      <c r="G1040" s="3">
        <v>160.351451</v>
      </c>
      <c r="H1040" s="4">
        <f t="shared" si="65"/>
        <v>-0.9894040000000075</v>
      </c>
      <c r="I1040" s="4">
        <f t="shared" si="63"/>
        <v>-16.712211999999994</v>
      </c>
      <c r="J1040" s="3">
        <v>52.95</v>
      </c>
      <c r="K1040" s="3">
        <v>20</v>
      </c>
    </row>
    <row r="1041" spans="1:11" x14ac:dyDescent="0.35">
      <c r="A1041" s="2">
        <v>45054</v>
      </c>
      <c r="B1041" s="3">
        <v>145.30370500000001</v>
      </c>
      <c r="C1041" s="4">
        <f t="shared" si="64"/>
        <v>-0.40609799999998586</v>
      </c>
      <c r="D1041" s="4">
        <f t="shared" si="62"/>
        <v>-18.375907000000012</v>
      </c>
      <c r="E1041" s="3">
        <v>52.95</v>
      </c>
      <c r="F1041" s="3">
        <v>20</v>
      </c>
      <c r="G1041" s="3">
        <v>158.116029</v>
      </c>
      <c r="H1041" s="4">
        <f t="shared" si="65"/>
        <v>-2.2354219999999998</v>
      </c>
      <c r="I1041" s="4">
        <f t="shared" si="63"/>
        <v>-20.273970999999989</v>
      </c>
      <c r="J1041" s="3">
        <v>52.95</v>
      </c>
      <c r="K1041" s="3">
        <v>20</v>
      </c>
    </row>
    <row r="1042" spans="1:11" x14ac:dyDescent="0.35">
      <c r="A1042" s="2">
        <v>45061</v>
      </c>
      <c r="B1042" s="3">
        <v>144.649124</v>
      </c>
      <c r="C1042" s="4">
        <f t="shared" si="64"/>
        <v>-0.65458100000000741</v>
      </c>
      <c r="D1042" s="4">
        <f t="shared" si="62"/>
        <v>-20.441282000000001</v>
      </c>
      <c r="E1042" s="3">
        <v>52.95</v>
      </c>
      <c r="F1042" s="3">
        <v>20</v>
      </c>
      <c r="G1042" s="3">
        <v>155.53458799999999</v>
      </c>
      <c r="H1042" s="4">
        <f t="shared" si="65"/>
        <v>-2.5814410000000123</v>
      </c>
      <c r="I1042" s="4">
        <f t="shared" si="63"/>
        <v>-24.135412000000002</v>
      </c>
      <c r="J1042" s="3">
        <v>52.95</v>
      </c>
      <c r="K1042" s="3">
        <v>20</v>
      </c>
    </row>
    <row r="1043" spans="1:11" x14ac:dyDescent="0.35">
      <c r="A1043" s="2">
        <v>45068</v>
      </c>
      <c r="B1043" s="3">
        <v>143.63957199999999</v>
      </c>
      <c r="C1043" s="4">
        <f t="shared" si="64"/>
        <v>-1.0095520000000135</v>
      </c>
      <c r="D1043" s="4">
        <f t="shared" si="62"/>
        <v>-23.945508000000018</v>
      </c>
      <c r="E1043" s="3">
        <v>52.95</v>
      </c>
      <c r="F1043" s="3">
        <v>20</v>
      </c>
      <c r="G1043" s="3">
        <v>151.59455500000001</v>
      </c>
      <c r="H1043" s="4">
        <f t="shared" si="65"/>
        <v>-3.9400329999999713</v>
      </c>
      <c r="I1043" s="4">
        <f t="shared" si="63"/>
        <v>-29.56792999999999</v>
      </c>
      <c r="J1043" s="3">
        <v>52.95</v>
      </c>
      <c r="K1043" s="3">
        <v>20</v>
      </c>
    </row>
    <row r="1044" spans="1:11" x14ac:dyDescent="0.35">
      <c r="A1044" s="2">
        <v>45075</v>
      </c>
      <c r="B1044" s="3">
        <v>142.93747299999998</v>
      </c>
      <c r="C1044" s="4">
        <f t="shared" si="64"/>
        <v>-0.70209900000000403</v>
      </c>
      <c r="D1044" s="4">
        <f t="shared" si="62"/>
        <v>-27.418622000000028</v>
      </c>
      <c r="E1044" s="3">
        <v>52.95</v>
      </c>
      <c r="F1044" s="3">
        <v>20</v>
      </c>
      <c r="G1044" s="3">
        <v>147.866602</v>
      </c>
      <c r="H1044" s="4">
        <f t="shared" si="65"/>
        <v>-3.7279530000000136</v>
      </c>
      <c r="I1044" s="4">
        <f t="shared" si="63"/>
        <v>-34.383100000000013</v>
      </c>
      <c r="J1044" s="3">
        <v>52.95</v>
      </c>
      <c r="K1044" s="3">
        <v>20</v>
      </c>
    </row>
    <row r="1045" spans="1:11" x14ac:dyDescent="0.35">
      <c r="A1045" s="2">
        <v>45082</v>
      </c>
      <c r="B1045" s="3">
        <v>142.90114399999999</v>
      </c>
      <c r="C1045" s="4">
        <f t="shared" si="64"/>
        <v>-3.6328999999994949E-2</v>
      </c>
      <c r="D1045" s="4">
        <f t="shared" si="62"/>
        <v>-32.09343100000001</v>
      </c>
      <c r="E1045" s="3">
        <v>52.95</v>
      </c>
      <c r="F1045" s="3">
        <v>20</v>
      </c>
      <c r="G1045" s="3">
        <v>146.42563699999999</v>
      </c>
      <c r="H1045" s="4">
        <f t="shared" si="65"/>
        <v>-1.4409650000000056</v>
      </c>
      <c r="I1045" s="4">
        <f t="shared" si="63"/>
        <v>-38.517553000000021</v>
      </c>
      <c r="J1045" s="3">
        <v>52.95</v>
      </c>
      <c r="K1045" s="3">
        <v>20</v>
      </c>
    </row>
    <row r="1046" spans="1:11" x14ac:dyDescent="0.35">
      <c r="A1046" s="2">
        <v>45089</v>
      </c>
      <c r="B1046" s="3">
        <v>142.713258</v>
      </c>
      <c r="C1046" s="4">
        <f t="shared" si="64"/>
        <v>-0.18788599999999178</v>
      </c>
      <c r="D1046" s="4">
        <f t="shared" si="62"/>
        <v>-39.817949000000027</v>
      </c>
      <c r="E1046" s="3">
        <v>52.95</v>
      </c>
      <c r="F1046" s="3">
        <v>20</v>
      </c>
      <c r="G1046" s="3">
        <v>145.47573999999997</v>
      </c>
      <c r="H1046" s="4">
        <f t="shared" si="65"/>
        <v>-0.94989700000002131</v>
      </c>
      <c r="I1046" s="4">
        <f t="shared" si="63"/>
        <v>-44.958852000000036</v>
      </c>
      <c r="J1046" s="3">
        <v>52.95</v>
      </c>
      <c r="K1046" s="3">
        <v>20</v>
      </c>
    </row>
    <row r="1047" spans="1:11" x14ac:dyDescent="0.35">
      <c r="A1047" s="2">
        <v>45096</v>
      </c>
      <c r="B1047" s="3">
        <v>142.95480000000001</v>
      </c>
      <c r="C1047" s="4">
        <f t="shared" si="64"/>
        <v>0.24154200000000969</v>
      </c>
      <c r="D1047" s="4">
        <f t="shared" si="62"/>
        <v>-43.890460999999988</v>
      </c>
      <c r="E1047" s="3">
        <v>52.95</v>
      </c>
      <c r="F1047" s="3">
        <v>20</v>
      </c>
      <c r="G1047" s="3">
        <v>145.19698000000002</v>
      </c>
      <c r="H1047" s="4">
        <f t="shared" si="65"/>
        <v>-0.2787599999999486</v>
      </c>
      <c r="I1047" s="4">
        <f t="shared" si="63"/>
        <v>-49.67301999999998</v>
      </c>
      <c r="J1047" s="3">
        <v>52.95</v>
      </c>
      <c r="K1047" s="3">
        <v>20</v>
      </c>
    </row>
    <row r="1048" spans="1:11" x14ac:dyDescent="0.35">
      <c r="A1048" s="2">
        <v>45103</v>
      </c>
      <c r="B1048" s="3">
        <v>143.42607699999999</v>
      </c>
      <c r="C1048" s="4">
        <f t="shared" si="64"/>
        <v>0.4712769999999864</v>
      </c>
      <c r="D1048" s="4">
        <f t="shared" si="62"/>
        <v>-47.500768000000051</v>
      </c>
      <c r="E1048" s="3">
        <v>52.95</v>
      </c>
      <c r="F1048" s="3">
        <v>20</v>
      </c>
      <c r="G1048" s="3">
        <v>145.645343</v>
      </c>
      <c r="H1048" s="4">
        <f t="shared" si="65"/>
        <v>0.44836299999997209</v>
      </c>
      <c r="I1048" s="4">
        <f t="shared" si="63"/>
        <v>-53.28465700000001</v>
      </c>
      <c r="J1048" s="3">
        <v>52.95</v>
      </c>
      <c r="K1048" s="3">
        <v>20</v>
      </c>
    </row>
    <row r="1049" spans="1:11" x14ac:dyDescent="0.35">
      <c r="A1049" s="2">
        <v>45110</v>
      </c>
      <c r="B1049" s="3">
        <v>143.39668399999999</v>
      </c>
      <c r="C1049" s="4">
        <f t="shared" si="64"/>
        <v>-2.9392999999998892E-2</v>
      </c>
      <c r="D1049" s="4">
        <f t="shared" si="62"/>
        <v>-48.149945000000002</v>
      </c>
      <c r="E1049" s="3">
        <v>52.95</v>
      </c>
      <c r="F1049" s="3">
        <v>20</v>
      </c>
      <c r="G1049" s="3">
        <v>145.516514</v>
      </c>
      <c r="H1049" s="4">
        <f t="shared" si="65"/>
        <v>-0.12882899999999609</v>
      </c>
      <c r="I1049" s="4">
        <f t="shared" si="63"/>
        <v>-53.703485999999998</v>
      </c>
      <c r="J1049" s="3">
        <v>52.95</v>
      </c>
      <c r="K1049" s="3">
        <v>20</v>
      </c>
    </row>
    <row r="1050" spans="1:11" x14ac:dyDescent="0.35">
      <c r="A1050" s="2">
        <v>45117</v>
      </c>
      <c r="B1050" s="3">
        <v>142.87288899999999</v>
      </c>
      <c r="C1050" s="4">
        <f t="shared" si="64"/>
        <v>-0.52379500000000689</v>
      </c>
      <c r="D1050" s="4">
        <f t="shared" si="62"/>
        <v>-47.752241000000026</v>
      </c>
      <c r="E1050" s="3">
        <v>52.95</v>
      </c>
      <c r="F1050" s="3">
        <v>20</v>
      </c>
      <c r="G1050" s="3">
        <v>144.73065800000001</v>
      </c>
      <c r="H1050" s="4">
        <f t="shared" si="65"/>
        <v>-0.78585599999999545</v>
      </c>
      <c r="I1050" s="4">
        <f t="shared" si="63"/>
        <v>-54.009342000000004</v>
      </c>
      <c r="J1050" s="3">
        <v>52.95</v>
      </c>
      <c r="K1050" s="3">
        <v>20</v>
      </c>
    </row>
    <row r="1051" spans="1:11" x14ac:dyDescent="0.35">
      <c r="A1051" s="2">
        <v>45124</v>
      </c>
      <c r="B1051" s="3">
        <v>142.76610299999999</v>
      </c>
      <c r="C1051" s="4">
        <f t="shared" si="64"/>
        <v>-0.1067859999999996</v>
      </c>
      <c r="D1051" s="4">
        <f t="shared" si="62"/>
        <v>-46.150980000000004</v>
      </c>
      <c r="E1051" s="3">
        <v>52.95</v>
      </c>
      <c r="F1051" s="3">
        <v>20</v>
      </c>
      <c r="G1051" s="3">
        <v>144.63642700000003</v>
      </c>
      <c r="H1051" s="4">
        <f t="shared" si="65"/>
        <v>-9.4230999999979304E-2</v>
      </c>
      <c r="I1051" s="4">
        <f t="shared" si="63"/>
        <v>-52.893572999999975</v>
      </c>
      <c r="J1051" s="3">
        <v>52.95</v>
      </c>
      <c r="K1051" s="3">
        <v>20</v>
      </c>
    </row>
    <row r="1052" spans="1:11" x14ac:dyDescent="0.35">
      <c r="A1052" s="2">
        <v>45131</v>
      </c>
      <c r="B1052" s="3">
        <v>142.95764400000002</v>
      </c>
      <c r="C1052" s="4">
        <f t="shared" si="64"/>
        <v>0.19154100000002927</v>
      </c>
      <c r="D1052" s="4">
        <f t="shared" si="62"/>
        <v>-43.642851000000007</v>
      </c>
      <c r="E1052" s="3">
        <v>52.95</v>
      </c>
      <c r="F1052" s="3">
        <v>20</v>
      </c>
      <c r="G1052" s="3">
        <v>145.13000299999999</v>
      </c>
      <c r="H1052" s="4">
        <f t="shared" si="65"/>
        <v>0.49357599999996182</v>
      </c>
      <c r="I1052" s="4">
        <f t="shared" si="63"/>
        <v>-50.749997000000008</v>
      </c>
      <c r="J1052" s="3">
        <v>52.95</v>
      </c>
      <c r="K1052" s="3">
        <v>20</v>
      </c>
    </row>
    <row r="1053" spans="1:11" x14ac:dyDescent="0.35">
      <c r="A1053" s="2">
        <v>45138</v>
      </c>
      <c r="B1053" s="3">
        <v>144.13136499999996</v>
      </c>
      <c r="C1053" s="4">
        <f t="shared" si="64"/>
        <v>1.1737209999999436</v>
      </c>
      <c r="D1053" s="4">
        <f t="shared" si="62"/>
        <v>-38.637107000000015</v>
      </c>
      <c r="E1053" s="3">
        <v>52.95</v>
      </c>
      <c r="F1053" s="3">
        <v>20</v>
      </c>
      <c r="G1053" s="3">
        <v>145.94888599999999</v>
      </c>
      <c r="H1053" s="4">
        <f t="shared" si="65"/>
        <v>0.81888299999999958</v>
      </c>
      <c r="I1053" s="4">
        <f t="shared" si="63"/>
        <v>-47.091114000000005</v>
      </c>
      <c r="J1053" s="3">
        <v>52.95</v>
      </c>
      <c r="K1053" s="3">
        <v>20</v>
      </c>
    </row>
    <row r="1054" spans="1:11" x14ac:dyDescent="0.35">
      <c r="A1054" s="2">
        <v>45145</v>
      </c>
      <c r="B1054" s="3">
        <v>146.17518299999998</v>
      </c>
      <c r="C1054" s="4">
        <f t="shared" si="64"/>
        <v>2.0438180000000159</v>
      </c>
      <c r="D1054" s="4">
        <f t="shared" si="62"/>
        <v>-31.465589000000051</v>
      </c>
      <c r="E1054" s="3">
        <v>52.95</v>
      </c>
      <c r="F1054" s="3">
        <v>20</v>
      </c>
      <c r="G1054" s="3">
        <v>148.22952800000002</v>
      </c>
      <c r="H1054" s="4">
        <f t="shared" si="65"/>
        <v>2.2806420000000287</v>
      </c>
      <c r="I1054" s="4">
        <f t="shared" si="63"/>
        <v>-40.260471999999993</v>
      </c>
      <c r="J1054" s="3">
        <v>52.95</v>
      </c>
      <c r="K1054" s="3">
        <v>20</v>
      </c>
    </row>
    <row r="1055" spans="1:11" x14ac:dyDescent="0.35">
      <c r="A1055" s="2">
        <v>45152</v>
      </c>
      <c r="B1055" s="3">
        <v>147.77280099999999</v>
      </c>
      <c r="C1055" s="4">
        <f t="shared" si="64"/>
        <v>1.5976180000000113</v>
      </c>
      <c r="D1055" s="4">
        <f t="shared" si="62"/>
        <v>-26.414729999999992</v>
      </c>
      <c r="E1055" s="3">
        <v>52.95</v>
      </c>
      <c r="F1055" s="3">
        <v>20</v>
      </c>
      <c r="G1055" s="3">
        <v>150.373794</v>
      </c>
      <c r="H1055" s="4">
        <f t="shared" si="65"/>
        <v>2.1442659999999876</v>
      </c>
      <c r="I1055" s="4">
        <f t="shared" si="63"/>
        <v>-34.786205999999993</v>
      </c>
      <c r="J1055" s="3">
        <v>52.95</v>
      </c>
      <c r="K1055" s="3">
        <v>20</v>
      </c>
    </row>
    <row r="1056" spans="1:11" x14ac:dyDescent="0.35">
      <c r="A1056" s="2">
        <v>45159</v>
      </c>
      <c r="B1056" s="3">
        <v>149.40349000000001</v>
      </c>
      <c r="C1056" s="4">
        <f t="shared" si="64"/>
        <v>1.630689000000018</v>
      </c>
      <c r="D1056" s="4">
        <f t="shared" si="62"/>
        <v>-21.738793999999984</v>
      </c>
      <c r="E1056" s="3">
        <v>52.95</v>
      </c>
      <c r="F1056" s="3">
        <v>20</v>
      </c>
      <c r="G1056" s="3">
        <v>152.14298300000002</v>
      </c>
      <c r="H1056" s="4">
        <f t="shared" si="65"/>
        <v>1.7691890000000114</v>
      </c>
      <c r="I1056" s="4">
        <f t="shared" si="63"/>
        <v>-30.777016999999972</v>
      </c>
      <c r="J1056" s="3">
        <v>52.95</v>
      </c>
      <c r="K1056" s="3">
        <v>20</v>
      </c>
    </row>
    <row r="1057" spans="1:11" x14ac:dyDescent="0.35">
      <c r="A1057" s="2">
        <v>45166</v>
      </c>
      <c r="B1057" s="3">
        <v>150.732888</v>
      </c>
      <c r="C1057" s="4">
        <f t="shared" si="64"/>
        <v>1.3293979999999976</v>
      </c>
      <c r="D1057" s="4">
        <f t="shared" si="62"/>
        <v>-19.385813999999982</v>
      </c>
      <c r="E1057" s="3">
        <v>52.95</v>
      </c>
      <c r="F1057" s="3">
        <v>20</v>
      </c>
      <c r="G1057" s="3">
        <v>153.52133200000003</v>
      </c>
      <c r="H1057" s="4">
        <f t="shared" si="65"/>
        <v>1.3783490000000143</v>
      </c>
      <c r="I1057" s="4">
        <f t="shared" si="63"/>
        <v>-29.678667999999959</v>
      </c>
      <c r="J1057" s="3">
        <v>52.95</v>
      </c>
      <c r="K1057" s="3">
        <v>20</v>
      </c>
    </row>
    <row r="1058" spans="1:11" x14ac:dyDescent="0.35">
      <c r="A1058" s="2">
        <v>45173</v>
      </c>
      <c r="B1058" s="3">
        <v>151.70963200000003</v>
      </c>
      <c r="C1058" s="4">
        <f t="shared" si="64"/>
        <v>0.97674400000002493</v>
      </c>
      <c r="D1058" s="4">
        <f t="shared" si="62"/>
        <v>-17.217313999999959</v>
      </c>
      <c r="E1058" s="3">
        <v>52.95</v>
      </c>
      <c r="F1058" s="3">
        <v>20</v>
      </c>
      <c r="G1058" s="3">
        <v>154.64606999999998</v>
      </c>
      <c r="H1058" s="4">
        <f t="shared" si="65"/>
        <v>1.1247379999999509</v>
      </c>
      <c r="I1058" s="4">
        <f t="shared" si="63"/>
        <v>-28.173930000000013</v>
      </c>
      <c r="J1058" s="3">
        <v>52.95</v>
      </c>
      <c r="K1058" s="3">
        <v>20</v>
      </c>
    </row>
    <row r="1059" spans="1:11" x14ac:dyDescent="0.35">
      <c r="A1059" s="2">
        <v>45180</v>
      </c>
      <c r="B1059" s="3">
        <v>153.09505400000003</v>
      </c>
      <c r="C1059" s="4">
        <f t="shared" si="64"/>
        <v>1.3854220000000055</v>
      </c>
      <c r="D1059" s="4">
        <f t="shared" si="62"/>
        <v>-14.514280999999954</v>
      </c>
      <c r="E1059" s="3">
        <v>52.95</v>
      </c>
      <c r="F1059" s="3">
        <v>20</v>
      </c>
      <c r="G1059" s="3">
        <v>156.147277</v>
      </c>
      <c r="H1059" s="4">
        <f t="shared" si="65"/>
        <v>1.5012070000000222</v>
      </c>
      <c r="I1059" s="4">
        <f t="shared" si="63"/>
        <v>-26.072722999999996</v>
      </c>
      <c r="J1059" s="3">
        <v>52.95</v>
      </c>
      <c r="K1059" s="3">
        <v>20</v>
      </c>
    </row>
    <row r="1060" spans="1:11" x14ac:dyDescent="0.35">
      <c r="A1060" s="2">
        <v>45187</v>
      </c>
      <c r="B1060" s="3">
        <v>154.06309099999999</v>
      </c>
      <c r="C1060" s="4">
        <f t="shared" si="64"/>
        <v>0.96803699999995274</v>
      </c>
      <c r="D1060" s="4">
        <f t="shared" si="62"/>
        <v>-11.409491000000003</v>
      </c>
      <c r="E1060" s="3">
        <v>52.95</v>
      </c>
      <c r="F1060" s="3">
        <v>20</v>
      </c>
      <c r="G1060" s="3">
        <v>158.15800800000002</v>
      </c>
      <c r="H1060" s="4">
        <f t="shared" si="65"/>
        <v>2.0107310000000211</v>
      </c>
      <c r="I1060" s="4">
        <f t="shared" si="63"/>
        <v>-22.971991999999972</v>
      </c>
      <c r="J1060" s="3">
        <v>52.95</v>
      </c>
      <c r="K1060" s="3">
        <v>20</v>
      </c>
    </row>
    <row r="1061" spans="1:11" x14ac:dyDescent="0.35">
      <c r="A1061" s="2">
        <v>45194</v>
      </c>
      <c r="B1061" s="3">
        <v>155.41274999999999</v>
      </c>
      <c r="C1061" s="4">
        <f t="shared" si="64"/>
        <v>1.3496590000000026</v>
      </c>
      <c r="D1061" s="4">
        <f t="shared" si="62"/>
        <v>-8.5900090000000375</v>
      </c>
      <c r="E1061" s="3">
        <v>52.95</v>
      </c>
      <c r="F1061" s="3">
        <v>20</v>
      </c>
      <c r="G1061" s="3">
        <v>160.611538</v>
      </c>
      <c r="H1061" s="4">
        <f t="shared" si="65"/>
        <v>2.4535299999999722</v>
      </c>
      <c r="I1061" s="4">
        <f t="shared" si="63"/>
        <v>-19.848462000000012</v>
      </c>
      <c r="J1061" s="3">
        <v>52.95</v>
      </c>
      <c r="K1061" s="3">
        <v>20</v>
      </c>
    </row>
    <row r="1062" spans="1:11" x14ac:dyDescent="0.35">
      <c r="A1062" s="2">
        <v>45201</v>
      </c>
      <c r="B1062" s="3">
        <v>156.01705399999997</v>
      </c>
      <c r="C1062" s="4">
        <f t="shared" si="64"/>
        <v>0.60430399999998485</v>
      </c>
      <c r="D1062" s="4">
        <f t="shared" si="62"/>
        <v>-6.6497980000000325</v>
      </c>
      <c r="E1062" s="3">
        <v>52.95</v>
      </c>
      <c r="F1062" s="3">
        <v>20</v>
      </c>
      <c r="G1062" s="3">
        <v>162.15268499999999</v>
      </c>
      <c r="H1062" s="4">
        <f t="shared" si="65"/>
        <v>1.5411469999999952</v>
      </c>
      <c r="I1062" s="4">
        <f t="shared" si="63"/>
        <v>-17.887315000000001</v>
      </c>
      <c r="J1062" s="3">
        <v>52.95</v>
      </c>
      <c r="K1062" s="3">
        <v>20</v>
      </c>
    </row>
    <row r="1063" spans="1:11" x14ac:dyDescent="0.35">
      <c r="A1063" s="2">
        <v>45208</v>
      </c>
      <c r="B1063" s="3">
        <v>155.942555</v>
      </c>
      <c r="C1063" s="4">
        <f t="shared" si="64"/>
        <v>-7.4498999999974558E-2</v>
      </c>
      <c r="D1063" s="4">
        <f t="shared" si="62"/>
        <v>-6.1435800000000143</v>
      </c>
      <c r="E1063" s="3">
        <v>52.95</v>
      </c>
      <c r="F1063" s="3">
        <v>20</v>
      </c>
      <c r="G1063" s="3">
        <v>162.49299999999999</v>
      </c>
      <c r="H1063" s="4">
        <f t="shared" si="65"/>
        <v>0.34031500000000392</v>
      </c>
      <c r="I1063" s="4">
        <f t="shared" si="63"/>
        <v>-18.266999999999996</v>
      </c>
      <c r="J1063" s="3">
        <v>52.95</v>
      </c>
      <c r="K1063" s="3">
        <v>20</v>
      </c>
    </row>
    <row r="1064" spans="1:11" x14ac:dyDescent="0.35">
      <c r="A1064" s="2">
        <v>45215</v>
      </c>
      <c r="B1064" s="3">
        <v>155.085328</v>
      </c>
      <c r="C1064" s="4">
        <f t="shared" si="64"/>
        <v>-0.85722699999999463</v>
      </c>
      <c r="D1064" s="4">
        <f t="shared" si="62"/>
        <v>-7.7206280000000334</v>
      </c>
      <c r="E1064" s="3">
        <v>52.95</v>
      </c>
      <c r="F1064" s="3">
        <v>20</v>
      </c>
      <c r="G1064" s="3">
        <v>162.30953799999997</v>
      </c>
      <c r="H1064" s="4">
        <f t="shared" si="65"/>
        <v>-0.18346200000002</v>
      </c>
      <c r="I1064" s="4">
        <f t="shared" si="63"/>
        <v>-19.548636000000045</v>
      </c>
      <c r="J1064" s="3">
        <v>52.95</v>
      </c>
      <c r="K1064" s="3">
        <v>20</v>
      </c>
    </row>
    <row r="1065" spans="1:11" x14ac:dyDescent="0.35">
      <c r="A1065" s="2">
        <v>45222</v>
      </c>
      <c r="B1065" s="3">
        <v>154.63084599999999</v>
      </c>
      <c r="C1065" s="4">
        <f t="shared" si="64"/>
        <v>-0.45448200000001293</v>
      </c>
      <c r="D1065" s="4">
        <f t="shared" si="62"/>
        <v>-9.9883020000000045</v>
      </c>
      <c r="E1065" s="3">
        <v>52.95</v>
      </c>
      <c r="F1065" s="3">
        <v>20</v>
      </c>
      <c r="G1065" s="3">
        <v>162.19093700000002</v>
      </c>
      <c r="H1065" s="4">
        <f t="shared" si="65"/>
        <v>-0.11860099999995555</v>
      </c>
      <c r="I1065" s="4">
        <f t="shared" si="63"/>
        <v>-25.105401000000001</v>
      </c>
      <c r="J1065" s="3">
        <v>52.95</v>
      </c>
      <c r="K1065" s="3">
        <v>20</v>
      </c>
    </row>
    <row r="1066" spans="1:11" x14ac:dyDescent="0.35">
      <c r="A1066" s="2">
        <v>45229</v>
      </c>
      <c r="B1066" s="3">
        <v>153.973456</v>
      </c>
      <c r="C1066" s="4">
        <f t="shared" si="64"/>
        <v>-0.65738999999999237</v>
      </c>
      <c r="D1066" s="4">
        <f t="shared" si="62"/>
        <v>-11.89845200000002</v>
      </c>
      <c r="E1066" s="3">
        <v>52.95</v>
      </c>
      <c r="F1066" s="3">
        <v>20</v>
      </c>
      <c r="G1066" s="3">
        <v>161.75627500000002</v>
      </c>
      <c r="H1066" s="4">
        <f t="shared" si="65"/>
        <v>-0.43466200000000299</v>
      </c>
      <c r="I1066" s="4">
        <f t="shared" si="63"/>
        <v>-28.010794999999973</v>
      </c>
      <c r="J1066" s="3">
        <v>52.95</v>
      </c>
      <c r="K1066" s="3">
        <v>20</v>
      </c>
    </row>
    <row r="1067" spans="1:11" x14ac:dyDescent="0.35">
      <c r="A1067" s="2">
        <v>45236</v>
      </c>
      <c r="B1067" s="3">
        <v>153.20476600000001</v>
      </c>
      <c r="C1067" s="4">
        <f t="shared" si="64"/>
        <v>-0.76868999999999232</v>
      </c>
      <c r="D1067" s="4">
        <f t="shared" si="62"/>
        <v>-12.412203999999974</v>
      </c>
      <c r="E1067" s="3">
        <v>52.95</v>
      </c>
      <c r="F1067" s="3">
        <v>20</v>
      </c>
      <c r="G1067" s="3">
        <v>160.85994699999998</v>
      </c>
      <c r="H1067" s="4">
        <f t="shared" si="65"/>
        <v>-0.89632800000003954</v>
      </c>
      <c r="I1067" s="4">
        <f t="shared" si="63"/>
        <v>-28.934138000000019</v>
      </c>
      <c r="J1067" s="3">
        <v>52.95</v>
      </c>
      <c r="K1067" s="3">
        <v>20</v>
      </c>
    </row>
    <row r="1068" spans="1:11" x14ac:dyDescent="0.35">
      <c r="A1068" s="2">
        <v>45243</v>
      </c>
      <c r="B1068" s="3">
        <v>152.39060900000001</v>
      </c>
      <c r="C1068" s="4">
        <f t="shared" si="64"/>
        <v>-0.81415699999999447</v>
      </c>
      <c r="D1068" s="4">
        <f t="shared" si="62"/>
        <v>-12.013346999999982</v>
      </c>
      <c r="E1068" s="3">
        <v>52.95</v>
      </c>
      <c r="F1068" s="3">
        <v>20</v>
      </c>
      <c r="G1068" s="3">
        <v>160.38662900000003</v>
      </c>
      <c r="H1068" s="4">
        <f t="shared" si="65"/>
        <v>-0.47331799999994928</v>
      </c>
      <c r="I1068" s="4">
        <f t="shared" si="63"/>
        <v>-28.463370999999967</v>
      </c>
      <c r="J1068" s="3">
        <v>52.95</v>
      </c>
      <c r="K1068" s="3">
        <v>20</v>
      </c>
    </row>
    <row r="1069" spans="1:11" x14ac:dyDescent="0.35">
      <c r="A1069" s="2">
        <v>45250</v>
      </c>
      <c r="B1069" s="3">
        <v>150.50029700000002</v>
      </c>
      <c r="C1069" s="4">
        <f t="shared" si="64"/>
        <v>-1.8903119999999944</v>
      </c>
      <c r="D1069" s="4">
        <f t="shared" si="62"/>
        <v>-12.775960999999995</v>
      </c>
      <c r="E1069" s="3">
        <v>52.95</v>
      </c>
      <c r="F1069" s="3">
        <v>20</v>
      </c>
      <c r="G1069" s="3">
        <v>158.44112499999997</v>
      </c>
      <c r="H1069" s="4">
        <f t="shared" si="65"/>
        <v>-1.9455040000000565</v>
      </c>
      <c r="I1069" s="4">
        <f t="shared" si="63"/>
        <v>-29.128875000000022</v>
      </c>
      <c r="J1069" s="3">
        <v>52.95</v>
      </c>
      <c r="K1069" s="3">
        <v>20</v>
      </c>
    </row>
    <row r="1070" spans="1:11" x14ac:dyDescent="0.35">
      <c r="A1070" s="2">
        <v>45257</v>
      </c>
      <c r="B1070" s="3">
        <v>147.99245999999999</v>
      </c>
      <c r="C1070" s="4">
        <f t="shared" si="64"/>
        <v>-2.5078370000000234</v>
      </c>
      <c r="D1070" s="4">
        <f t="shared" si="62"/>
        <v>-13.140577000000008</v>
      </c>
      <c r="E1070" s="3">
        <v>52.95</v>
      </c>
      <c r="F1070" s="3">
        <v>20</v>
      </c>
      <c r="G1070" s="3">
        <v>156.18327599999998</v>
      </c>
      <c r="H1070" s="4">
        <f t="shared" si="65"/>
        <v>-2.2578489999999931</v>
      </c>
      <c r="I1070" s="4">
        <f t="shared" si="63"/>
        <v>-29.386724000000015</v>
      </c>
      <c r="J1070" s="3">
        <v>52.95</v>
      </c>
      <c r="K1070" s="3">
        <v>20</v>
      </c>
    </row>
    <row r="1071" spans="1:11" x14ac:dyDescent="0.35">
      <c r="A1071" s="2">
        <v>45264</v>
      </c>
      <c r="B1071" s="3">
        <v>145.71497000000002</v>
      </c>
      <c r="C1071" s="4">
        <f t="shared" si="64"/>
        <v>-2.2774899999999718</v>
      </c>
      <c r="D1071" s="4">
        <f t="shared" si="62"/>
        <v>-13.480504999999994</v>
      </c>
      <c r="E1071" s="3">
        <v>52.95</v>
      </c>
      <c r="F1071" s="3">
        <v>20</v>
      </c>
      <c r="G1071" s="3">
        <v>154.10458400000002</v>
      </c>
      <c r="H1071" s="4">
        <f t="shared" si="65"/>
        <v>-2.0786919999999611</v>
      </c>
      <c r="I1071" s="4">
        <f t="shared" si="63"/>
        <v>-29.455415999999985</v>
      </c>
      <c r="J1071" s="3">
        <v>52.95</v>
      </c>
      <c r="K1071" s="3">
        <v>20</v>
      </c>
    </row>
    <row r="1072" spans="1:11" x14ac:dyDescent="0.35">
      <c r="A1072" s="2">
        <v>45271</v>
      </c>
      <c r="B1072" s="6">
        <v>143.79533700000002</v>
      </c>
      <c r="C1072" s="4">
        <f t="shared" si="64"/>
        <v>-1.9196330000000046</v>
      </c>
      <c r="D1072" s="4">
        <f t="shared" si="62"/>
        <v>-12.175457999999963</v>
      </c>
      <c r="E1072" s="3">
        <v>52.95</v>
      </c>
      <c r="F1072" s="3">
        <v>20</v>
      </c>
      <c r="G1072" s="6">
        <v>152.00577899999999</v>
      </c>
      <c r="H1072" s="4">
        <f t="shared" si="65"/>
        <v>-2.0988050000000271</v>
      </c>
      <c r="I1072" s="4">
        <f t="shared" si="63"/>
        <v>-27.904221000000007</v>
      </c>
      <c r="J1072" s="3">
        <v>52.95</v>
      </c>
      <c r="K1072" s="3">
        <v>20</v>
      </c>
    </row>
    <row r="1073" spans="1:11" x14ac:dyDescent="0.35">
      <c r="A1073" s="2">
        <v>45278</v>
      </c>
      <c r="B1073" s="6">
        <v>141.51442700000001</v>
      </c>
      <c r="C1073" s="4">
        <f t="shared" si="64"/>
        <v>-2.2809100000000058</v>
      </c>
      <c r="D1073" s="4">
        <f t="shared" si="62"/>
        <v>-12.551107999999999</v>
      </c>
      <c r="E1073" s="3">
        <v>52.95</v>
      </c>
      <c r="F1073" s="3">
        <v>20</v>
      </c>
      <c r="G1073" s="6">
        <v>150.37846099999999</v>
      </c>
      <c r="H1073" s="4">
        <f t="shared" si="65"/>
        <v>-1.6273180000000025</v>
      </c>
      <c r="I1073" s="4">
        <f t="shared" si="63"/>
        <v>-27.241539000000017</v>
      </c>
      <c r="J1073" s="3">
        <v>52.95</v>
      </c>
      <c r="K1073" s="3">
        <v>20</v>
      </c>
    </row>
    <row r="1074" spans="1:11" x14ac:dyDescent="0.35">
      <c r="A1074" s="2">
        <v>45285</v>
      </c>
      <c r="B1074" s="6">
        <v>140.325402</v>
      </c>
      <c r="C1074" s="4">
        <f t="shared" si="64"/>
        <v>-1.1890250000000151</v>
      </c>
      <c r="D1074" s="4">
        <f t="shared" si="62"/>
        <v>-11.61417099999997</v>
      </c>
      <c r="E1074" s="3">
        <v>52.95</v>
      </c>
      <c r="F1074" s="3">
        <v>20</v>
      </c>
      <c r="G1074" s="6">
        <v>149.235826</v>
      </c>
      <c r="H1074" s="4">
        <f t="shared" si="65"/>
        <v>-1.1426349999999843</v>
      </c>
      <c r="I1074" s="4">
        <f t="shared" si="63"/>
        <v>-26.284174000000007</v>
      </c>
      <c r="J1074" s="3">
        <v>52.95</v>
      </c>
      <c r="K1074" s="3">
        <v>20</v>
      </c>
    </row>
    <row r="1075" spans="1:11" x14ac:dyDescent="0.35">
      <c r="A1075" s="2">
        <v>45292</v>
      </c>
      <c r="B1075" s="6">
        <v>140.77874599999998</v>
      </c>
      <c r="C1075" s="4">
        <f t="shared" si="64"/>
        <v>0.45334399999998709</v>
      </c>
      <c r="D1075" s="4">
        <f t="shared" si="62"/>
        <v>-10.120351333333389</v>
      </c>
      <c r="E1075" s="3">
        <v>52.95</v>
      </c>
      <c r="F1075" s="3">
        <v>20</v>
      </c>
      <c r="G1075" s="6">
        <v>148.66493400000002</v>
      </c>
      <c r="H1075" s="4">
        <f t="shared" si="65"/>
        <v>-0.57089199999998641</v>
      </c>
      <c r="I1075" s="4">
        <f t="shared" si="63"/>
        <v>-25.49506599999998</v>
      </c>
      <c r="J1075" s="3">
        <v>52.95</v>
      </c>
      <c r="K1075" s="3">
        <v>20</v>
      </c>
    </row>
    <row r="1076" spans="1:11" x14ac:dyDescent="0.35">
      <c r="A1076" s="2">
        <v>45299</v>
      </c>
      <c r="B1076" s="6">
        <v>139.71920299999999</v>
      </c>
      <c r="C1076" s="4">
        <f t="shared" si="64"/>
        <v>-1.0595429999999908</v>
      </c>
      <c r="D1076" s="4">
        <f t="shared" si="62"/>
        <v>-10.250639000000035</v>
      </c>
      <c r="E1076" s="3">
        <v>52.95</v>
      </c>
      <c r="F1076" s="3">
        <v>20</v>
      </c>
      <c r="G1076" s="6">
        <v>148.212366</v>
      </c>
      <c r="H1076" s="4">
        <f t="shared" si="65"/>
        <v>-0.45256800000001363</v>
      </c>
      <c r="I1076" s="4">
        <f t="shared" si="63"/>
        <v>-24.947633999999994</v>
      </c>
      <c r="J1076" s="3">
        <v>52.95</v>
      </c>
      <c r="K1076" s="3">
        <v>20</v>
      </c>
    </row>
    <row r="1077" spans="1:11" x14ac:dyDescent="0.35">
      <c r="A1077" s="2">
        <v>45306</v>
      </c>
      <c r="B1077" s="6">
        <v>139.48575999999997</v>
      </c>
      <c r="C1077" s="4">
        <f t="shared" si="64"/>
        <v>-0.23344300000002249</v>
      </c>
      <c r="D1077" s="4">
        <f t="shared" si="62"/>
        <v>-9.3053610000000333</v>
      </c>
      <c r="E1077" s="3">
        <v>52.95</v>
      </c>
      <c r="F1077" s="3">
        <v>20</v>
      </c>
      <c r="G1077" s="6">
        <v>147.92895900000002</v>
      </c>
      <c r="H1077" s="4">
        <f t="shared" si="65"/>
        <v>-0.28340699999998265</v>
      </c>
      <c r="I1077" s="4">
        <f t="shared" si="63"/>
        <v>-23.711040999999966</v>
      </c>
      <c r="J1077" s="3">
        <v>52.95</v>
      </c>
      <c r="K1077" s="3">
        <v>20</v>
      </c>
    </row>
    <row r="1078" spans="1:11" x14ac:dyDescent="0.35">
      <c r="A1078" s="2">
        <v>45313</v>
      </c>
      <c r="B1078" s="6">
        <v>139.38785799999999</v>
      </c>
      <c r="C1078" s="4">
        <f t="shared" si="64"/>
        <v>-9.7901999999976397E-2</v>
      </c>
      <c r="D1078" s="4">
        <f t="shared" si="62"/>
        <v>-8.8211029999999937</v>
      </c>
      <c r="E1078" s="3">
        <v>52.95</v>
      </c>
      <c r="F1078" s="3">
        <v>20</v>
      </c>
      <c r="G1078" s="6">
        <v>147.95832799999999</v>
      </c>
      <c r="H1078" s="4">
        <f t="shared" si="65"/>
        <v>2.9368999999974221E-2</v>
      </c>
      <c r="I1078" s="4">
        <f t="shared" si="63"/>
        <v>-22.903913999999986</v>
      </c>
      <c r="J1078" s="3">
        <v>52.95</v>
      </c>
      <c r="K1078" s="3">
        <v>20</v>
      </c>
    </row>
    <row r="1079" spans="1:11" x14ac:dyDescent="0.35">
      <c r="A1079" s="2">
        <v>45320</v>
      </c>
      <c r="B1079" s="6">
        <v>139.90865399999998</v>
      </c>
      <c r="C1079" s="4">
        <f t="shared" si="64"/>
        <v>0.52079599999999004</v>
      </c>
      <c r="D1079" s="4">
        <f t="shared" ref="D1079:D1142" si="66">B1079-B1027</f>
        <v>-8.2671700000000214</v>
      </c>
      <c r="E1079" s="3">
        <v>52.95</v>
      </c>
      <c r="F1079" s="3">
        <v>20</v>
      </c>
      <c r="G1079" s="6">
        <v>148.55655999999999</v>
      </c>
      <c r="H1079" s="4">
        <f t="shared" si="65"/>
        <v>0.59823199999999588</v>
      </c>
      <c r="I1079" s="4">
        <f t="shared" ref="I1079:I1142" si="67">G1079-G1027</f>
        <v>-22.003440000000012</v>
      </c>
      <c r="J1079" s="3">
        <v>52.95</v>
      </c>
      <c r="K1079" s="3">
        <v>20</v>
      </c>
    </row>
    <row r="1080" spans="1:11" x14ac:dyDescent="0.35">
      <c r="A1080" s="2">
        <v>45327</v>
      </c>
      <c r="B1080" s="6">
        <v>140.54664299999999</v>
      </c>
      <c r="C1080" s="4">
        <f t="shared" si="64"/>
        <v>0.63798900000000458</v>
      </c>
      <c r="D1080" s="4">
        <f t="shared" si="66"/>
        <v>-7.7969389999999805</v>
      </c>
      <c r="E1080" s="3">
        <v>52.95</v>
      </c>
      <c r="F1080" s="3">
        <v>20</v>
      </c>
      <c r="G1080" s="6">
        <v>149.354702</v>
      </c>
      <c r="H1080" s="4">
        <f t="shared" si="65"/>
        <v>0.79814200000001279</v>
      </c>
      <c r="I1080" s="4">
        <f t="shared" si="67"/>
        <v>-21.005616999999972</v>
      </c>
      <c r="J1080" s="3">
        <v>52.95</v>
      </c>
      <c r="K1080" s="3">
        <v>20</v>
      </c>
    </row>
    <row r="1081" spans="1:11" x14ac:dyDescent="0.35">
      <c r="A1081" s="2">
        <v>45334</v>
      </c>
      <c r="B1081" s="6">
        <v>141.27642899999998</v>
      </c>
      <c r="C1081" s="4">
        <f t="shared" si="64"/>
        <v>0.72978599999999005</v>
      </c>
      <c r="D1081" s="4">
        <f t="shared" si="66"/>
        <v>-6.7015920000000335</v>
      </c>
      <c r="E1081" s="3">
        <v>52.95</v>
      </c>
      <c r="F1081" s="3">
        <v>20</v>
      </c>
      <c r="G1081" s="6">
        <v>150.27635899999999</v>
      </c>
      <c r="H1081" s="4">
        <f t="shared" si="65"/>
        <v>0.92165699999998196</v>
      </c>
      <c r="I1081" s="4">
        <f t="shared" si="67"/>
        <v>-19.383462000000037</v>
      </c>
      <c r="J1081" s="3">
        <v>52.95</v>
      </c>
      <c r="K1081" s="3">
        <v>20</v>
      </c>
    </row>
    <row r="1082" spans="1:11" x14ac:dyDescent="0.35">
      <c r="A1082" s="2">
        <v>45341</v>
      </c>
      <c r="B1082" s="6">
        <v>142.859272</v>
      </c>
      <c r="C1082" s="4">
        <f t="shared" si="64"/>
        <v>1.5828430000000253</v>
      </c>
      <c r="D1082" s="4">
        <f t="shared" si="66"/>
        <v>-5.0009469999999965</v>
      </c>
      <c r="E1082" s="3">
        <v>52.95</v>
      </c>
      <c r="F1082" s="3">
        <v>20</v>
      </c>
      <c r="G1082" s="6">
        <v>152.07956000000001</v>
      </c>
      <c r="H1082" s="4">
        <f t="shared" si="65"/>
        <v>1.8032010000000298</v>
      </c>
      <c r="I1082" s="4">
        <f t="shared" si="67"/>
        <v>-17.220439999999996</v>
      </c>
      <c r="J1082" s="3">
        <v>52.95</v>
      </c>
      <c r="K1082" s="3">
        <v>20</v>
      </c>
    </row>
    <row r="1083" spans="1:11" x14ac:dyDescent="0.35">
      <c r="A1083" s="2">
        <v>45348</v>
      </c>
      <c r="B1083" s="6">
        <v>143.96110000000002</v>
      </c>
      <c r="C1083" s="4">
        <f t="shared" si="64"/>
        <v>1.1018280000000118</v>
      </c>
      <c r="D1083" s="4">
        <f t="shared" si="66"/>
        <v>-3.5842779999999834</v>
      </c>
      <c r="E1083" s="3">
        <v>52.95</v>
      </c>
      <c r="F1083" s="3">
        <v>20</v>
      </c>
      <c r="G1083" s="6">
        <v>153.29074700000001</v>
      </c>
      <c r="H1083" s="4">
        <f t="shared" si="65"/>
        <v>1.2111869999999954</v>
      </c>
      <c r="I1083" s="4">
        <f t="shared" si="67"/>
        <v>-15.269252999999992</v>
      </c>
      <c r="J1083" s="3">
        <v>52.95</v>
      </c>
      <c r="K1083" s="3">
        <v>20</v>
      </c>
    </row>
    <row r="1084" spans="1:11" x14ac:dyDescent="0.35">
      <c r="A1084" s="2">
        <v>45355</v>
      </c>
      <c r="B1084" s="3">
        <v>144.72775999999999</v>
      </c>
      <c r="C1084" s="4">
        <f t="shared" si="64"/>
        <v>0.76665999999997325</v>
      </c>
      <c r="D1084" s="4">
        <f t="shared" si="66"/>
        <v>-2.3950160000000267</v>
      </c>
      <c r="E1084" s="3">
        <v>52.95</v>
      </c>
      <c r="F1084" s="3">
        <v>20</v>
      </c>
      <c r="G1084" s="3">
        <v>154.526016</v>
      </c>
      <c r="H1084" s="4">
        <f t="shared" si="65"/>
        <v>1.2352689999999882</v>
      </c>
      <c r="I1084" s="4">
        <f t="shared" si="67"/>
        <v>-12.803984000000014</v>
      </c>
      <c r="J1084" s="3">
        <v>52.95</v>
      </c>
      <c r="K1084" s="3">
        <v>20</v>
      </c>
    </row>
    <row r="1085" spans="1:11" x14ac:dyDescent="0.35">
      <c r="A1085" s="2">
        <v>45362</v>
      </c>
      <c r="B1085" s="6">
        <v>144.69928100000001</v>
      </c>
      <c r="C1085" s="4">
        <f t="shared" si="64"/>
        <v>-2.847899999997594E-2</v>
      </c>
      <c r="D1085" s="4">
        <f t="shared" si="66"/>
        <v>-2.2743790000000104</v>
      </c>
      <c r="E1085" s="3">
        <v>52.95</v>
      </c>
      <c r="F1085" s="3">
        <v>20</v>
      </c>
      <c r="G1085" s="6">
        <v>154.29267800000002</v>
      </c>
      <c r="H1085" s="4">
        <f t="shared" si="65"/>
        <v>-0.23333799999997495</v>
      </c>
      <c r="I1085" s="4">
        <f t="shared" si="67"/>
        <v>-12.747321999999969</v>
      </c>
      <c r="J1085" s="3">
        <v>52.95</v>
      </c>
      <c r="K1085" s="3">
        <v>20</v>
      </c>
    </row>
    <row r="1086" spans="1:11" x14ac:dyDescent="0.35">
      <c r="A1086" s="2">
        <v>45369</v>
      </c>
      <c r="B1086" s="6">
        <v>144.73367199999998</v>
      </c>
      <c r="C1086" s="4">
        <f t="shared" si="64"/>
        <v>3.4390999999970973E-2</v>
      </c>
      <c r="D1086" s="4">
        <f t="shared" si="66"/>
        <v>-1.8826400000000092</v>
      </c>
      <c r="E1086" s="3">
        <v>52.95</v>
      </c>
      <c r="F1086" s="3">
        <v>20</v>
      </c>
      <c r="G1086" s="6">
        <v>153.80557499999998</v>
      </c>
      <c r="H1086" s="4">
        <f t="shared" si="65"/>
        <v>-0.48710300000004736</v>
      </c>
      <c r="I1086" s="4">
        <f t="shared" si="67"/>
        <v>-12.454425000000015</v>
      </c>
      <c r="J1086" s="3">
        <v>52.95</v>
      </c>
      <c r="K1086" s="3">
        <v>20</v>
      </c>
    </row>
    <row r="1087" spans="1:11" x14ac:dyDescent="0.35">
      <c r="A1087" s="2">
        <v>45376</v>
      </c>
      <c r="B1087" s="6">
        <v>145.05787199999997</v>
      </c>
      <c r="C1087" s="4">
        <f t="shared" si="64"/>
        <v>0.3241999999999905</v>
      </c>
      <c r="D1087" s="4">
        <f t="shared" si="66"/>
        <v>-1.1550670000000025</v>
      </c>
      <c r="E1087" s="3">
        <v>52.95</v>
      </c>
      <c r="F1087" s="3">
        <v>20</v>
      </c>
      <c r="G1087" s="6">
        <v>153.89622499999999</v>
      </c>
      <c r="H1087" s="4">
        <f t="shared" si="65"/>
        <v>9.0650000000010778E-2</v>
      </c>
      <c r="I1087" s="4">
        <f t="shared" si="67"/>
        <v>-11.28377500000002</v>
      </c>
      <c r="J1087" s="3">
        <v>52.95</v>
      </c>
      <c r="K1087" s="3">
        <v>20</v>
      </c>
    </row>
    <row r="1088" spans="1:11" x14ac:dyDescent="0.35">
      <c r="A1088" s="2">
        <v>45383</v>
      </c>
      <c r="B1088" s="3">
        <v>146.25257500000001</v>
      </c>
      <c r="C1088" s="4">
        <f t="shared" si="64"/>
        <v>1.1947030000000325</v>
      </c>
      <c r="D1088" s="4">
        <f t="shared" si="66"/>
        <v>0.52781500000000392</v>
      </c>
      <c r="E1088" s="3">
        <v>52.95</v>
      </c>
      <c r="F1088" s="3">
        <v>20</v>
      </c>
      <c r="G1088" s="3">
        <v>156.00234600000002</v>
      </c>
      <c r="H1088" s="4">
        <f t="shared" si="65"/>
        <v>2.1061210000000301</v>
      </c>
      <c r="I1088" s="4">
        <f t="shared" si="67"/>
        <v>-7.7076539999999909</v>
      </c>
      <c r="J1088" s="3">
        <v>52.95</v>
      </c>
      <c r="K1088" s="3">
        <v>20</v>
      </c>
    </row>
    <row r="1089" spans="1:11" x14ac:dyDescent="0.35">
      <c r="A1089" s="2">
        <v>45390</v>
      </c>
      <c r="B1089" s="3">
        <v>146.91454300000001</v>
      </c>
      <c r="C1089" s="4">
        <f t="shared" si="64"/>
        <v>0.66196800000000167</v>
      </c>
      <c r="D1089" s="4">
        <f t="shared" si="66"/>
        <v>1.0975310000000036</v>
      </c>
      <c r="E1089" s="3">
        <v>52.95</v>
      </c>
      <c r="F1089" s="3">
        <v>20</v>
      </c>
      <c r="G1089" s="3">
        <v>156.29206399999998</v>
      </c>
      <c r="H1089" s="4">
        <f t="shared" si="65"/>
        <v>0.28971799999996506</v>
      </c>
      <c r="I1089" s="4">
        <f t="shared" si="67"/>
        <v>-6.4176490000000115</v>
      </c>
      <c r="J1089" s="3">
        <v>52.95</v>
      </c>
      <c r="K1089" s="3">
        <v>20</v>
      </c>
    </row>
    <row r="1090" spans="1:11" x14ac:dyDescent="0.35">
      <c r="A1090" s="2">
        <v>45397</v>
      </c>
      <c r="B1090" s="6">
        <v>148.48649800000001</v>
      </c>
      <c r="C1090" s="4">
        <f t="shared" si="64"/>
        <v>1.5719550000000027</v>
      </c>
      <c r="D1090" s="4">
        <f t="shared" si="66"/>
        <v>2.5516260000000273</v>
      </c>
      <c r="E1090" s="3">
        <v>52.95</v>
      </c>
      <c r="F1090" s="3">
        <v>20</v>
      </c>
      <c r="G1090" s="6">
        <v>157.45900800000001</v>
      </c>
      <c r="H1090" s="4">
        <f t="shared" si="65"/>
        <v>1.1669440000000293</v>
      </c>
      <c r="I1090" s="4">
        <f t="shared" si="67"/>
        <v>-4.6557229999999663</v>
      </c>
      <c r="J1090" s="3">
        <v>52.95</v>
      </c>
      <c r="K1090" s="3">
        <v>20</v>
      </c>
    </row>
    <row r="1091" spans="1:11" x14ac:dyDescent="0.35">
      <c r="A1091" s="2">
        <v>45404</v>
      </c>
      <c r="B1091" s="6">
        <v>149.21421899999999</v>
      </c>
      <c r="C1091" s="4">
        <f t="shared" ref="C1091:C1154" si="68">B1091-B1090</f>
        <v>0.72772099999997408</v>
      </c>
      <c r="D1091" s="4">
        <f t="shared" si="66"/>
        <v>3.3739640000000009</v>
      </c>
      <c r="E1091" s="3">
        <v>52.95</v>
      </c>
      <c r="F1091" s="3">
        <v>20</v>
      </c>
      <c r="G1091" s="6">
        <v>157.982561</v>
      </c>
      <c r="H1091" s="4">
        <f t="shared" ref="H1091:H1154" si="69">G1091-G1090</f>
        <v>0.52355299999999261</v>
      </c>
      <c r="I1091" s="4">
        <f t="shared" si="67"/>
        <v>-3.3582940000000008</v>
      </c>
      <c r="J1091" s="3">
        <v>52.95</v>
      </c>
      <c r="K1091" s="3">
        <v>20</v>
      </c>
    </row>
    <row r="1092" spans="1:11" x14ac:dyDescent="0.35">
      <c r="A1092" s="2">
        <v>45411</v>
      </c>
      <c r="B1092" s="3">
        <v>149.49487899999997</v>
      </c>
      <c r="C1092" s="4">
        <f t="shared" si="68"/>
        <v>0.28065999999998326</v>
      </c>
      <c r="D1092" s="4">
        <f t="shared" si="66"/>
        <v>3.7850759999999752</v>
      </c>
      <c r="E1092" s="3">
        <v>52.95</v>
      </c>
      <c r="F1092" s="3">
        <v>20</v>
      </c>
      <c r="G1092" s="3">
        <v>157.97739300000001</v>
      </c>
      <c r="H1092" s="4">
        <f t="shared" si="69"/>
        <v>-5.1679999999976189E-3</v>
      </c>
      <c r="I1092" s="4">
        <f t="shared" si="67"/>
        <v>-2.3740579999999909</v>
      </c>
      <c r="J1092" s="3">
        <v>52.95</v>
      </c>
      <c r="K1092" s="3">
        <v>20</v>
      </c>
    </row>
    <row r="1093" spans="1:11" x14ac:dyDescent="0.35">
      <c r="A1093" s="2">
        <v>45418</v>
      </c>
      <c r="B1093" s="6">
        <v>149.544085</v>
      </c>
      <c r="C1093" s="4">
        <f t="shared" si="68"/>
        <v>4.9206000000026506E-2</v>
      </c>
      <c r="D1093" s="4">
        <f t="shared" si="66"/>
        <v>4.2403799999999876</v>
      </c>
      <c r="E1093" s="3">
        <v>52.95</v>
      </c>
      <c r="F1093" s="3">
        <v>20</v>
      </c>
      <c r="G1093" s="6">
        <v>157.63794300000001</v>
      </c>
      <c r="H1093" s="4">
        <f t="shared" si="69"/>
        <v>-0.33944999999999936</v>
      </c>
      <c r="I1093" s="4">
        <f t="shared" si="67"/>
        <v>-0.47808599999999046</v>
      </c>
      <c r="J1093" s="3">
        <v>52.95</v>
      </c>
      <c r="K1093" s="3">
        <v>20</v>
      </c>
    </row>
    <row r="1094" spans="1:11" x14ac:dyDescent="0.35">
      <c r="A1094" s="2">
        <v>45425</v>
      </c>
      <c r="B1094" s="6">
        <v>149.23194899999999</v>
      </c>
      <c r="C1094" s="4">
        <f t="shared" si="68"/>
        <v>-0.31213600000000952</v>
      </c>
      <c r="D1094" s="4">
        <f t="shared" si="66"/>
        <v>4.5828249999999855</v>
      </c>
      <c r="E1094" s="3">
        <v>52.95</v>
      </c>
      <c r="F1094" s="3">
        <v>20</v>
      </c>
      <c r="G1094" s="6">
        <v>157.08067699999998</v>
      </c>
      <c r="H1094" s="4">
        <f t="shared" si="69"/>
        <v>-0.55726600000002691</v>
      </c>
      <c r="I1094" s="4">
        <f t="shared" si="67"/>
        <v>1.5460889999999949</v>
      </c>
      <c r="J1094" s="3">
        <v>52.95</v>
      </c>
      <c r="K1094" s="3">
        <v>20</v>
      </c>
    </row>
    <row r="1095" spans="1:11" x14ac:dyDescent="0.35">
      <c r="A1095" s="2">
        <v>45432</v>
      </c>
      <c r="B1095" s="6">
        <v>148.83242899999999</v>
      </c>
      <c r="C1095" s="4">
        <f t="shared" si="68"/>
        <v>-0.39951999999999543</v>
      </c>
      <c r="D1095" s="4">
        <f t="shared" si="66"/>
        <v>5.1928570000000036</v>
      </c>
      <c r="E1095" s="3">
        <v>52.95</v>
      </c>
      <c r="F1095" s="3">
        <v>20</v>
      </c>
      <c r="G1095" s="6">
        <v>156.211288</v>
      </c>
      <c r="H1095" s="4">
        <f t="shared" si="69"/>
        <v>-0.86938899999998398</v>
      </c>
      <c r="I1095" s="4">
        <f t="shared" si="67"/>
        <v>4.6167329999999822</v>
      </c>
      <c r="J1095" s="3">
        <v>52.95</v>
      </c>
      <c r="K1095" s="3">
        <v>20</v>
      </c>
    </row>
    <row r="1096" spans="1:11" x14ac:dyDescent="0.35">
      <c r="A1096" s="2">
        <v>45439</v>
      </c>
      <c r="B1096" s="3">
        <v>147.64592100000002</v>
      </c>
      <c r="C1096" s="4">
        <f t="shared" si="68"/>
        <v>-1.186507999999975</v>
      </c>
      <c r="D1096" s="4">
        <f t="shared" si="66"/>
        <v>4.7084480000000326</v>
      </c>
      <c r="E1096" s="3">
        <v>52.95</v>
      </c>
      <c r="F1096" s="3">
        <v>20</v>
      </c>
      <c r="G1096" s="3">
        <v>154.304439</v>
      </c>
      <c r="H1096" s="4">
        <f t="shared" si="69"/>
        <v>-1.906848999999994</v>
      </c>
      <c r="I1096" s="4">
        <f t="shared" si="67"/>
        <v>6.4378370000000018</v>
      </c>
      <c r="J1096" s="3">
        <v>52.95</v>
      </c>
      <c r="K1096" s="3">
        <v>20</v>
      </c>
    </row>
    <row r="1097" spans="1:11" x14ac:dyDescent="0.35">
      <c r="A1097" s="2">
        <v>45446</v>
      </c>
      <c r="B1097" s="3">
        <v>147.26555999999999</v>
      </c>
      <c r="C1097" s="4">
        <f t="shared" si="68"/>
        <v>-0.38036100000002193</v>
      </c>
      <c r="D1097" s="4">
        <f t="shared" si="66"/>
        <v>4.3644160000000056</v>
      </c>
      <c r="E1097" s="3">
        <v>52.95</v>
      </c>
      <c r="F1097" s="3">
        <v>20</v>
      </c>
      <c r="G1097" s="3">
        <v>153.26176600000002</v>
      </c>
      <c r="H1097" s="4">
        <f t="shared" si="69"/>
        <v>-1.0426729999999793</v>
      </c>
      <c r="I1097" s="4">
        <f t="shared" si="67"/>
        <v>6.8361290000000281</v>
      </c>
      <c r="J1097" s="3">
        <v>52.95</v>
      </c>
      <c r="K1097" s="3">
        <v>20</v>
      </c>
    </row>
    <row r="1098" spans="1:11" x14ac:dyDescent="0.35">
      <c r="A1098" s="2">
        <v>45453</v>
      </c>
      <c r="B1098" s="3">
        <v>146.250944</v>
      </c>
      <c r="C1098" s="4">
        <f t="shared" si="68"/>
        <v>-1.0146159999999895</v>
      </c>
      <c r="D1098" s="4">
        <f t="shared" si="66"/>
        <v>3.5376860000000079</v>
      </c>
      <c r="E1098" s="3">
        <v>52.95</v>
      </c>
      <c r="F1098" s="3">
        <v>20</v>
      </c>
      <c r="G1098" s="3">
        <v>151.991635</v>
      </c>
      <c r="H1098" s="4">
        <f t="shared" si="69"/>
        <v>-1.2701310000000205</v>
      </c>
      <c r="I1098" s="4">
        <f t="shared" si="67"/>
        <v>6.5158950000000289</v>
      </c>
      <c r="J1098" s="3">
        <v>52.95</v>
      </c>
      <c r="K1098" s="3">
        <v>20</v>
      </c>
    </row>
    <row r="1099" spans="1:11" x14ac:dyDescent="0.35">
      <c r="A1099" s="2">
        <v>45460</v>
      </c>
      <c r="B1099" s="3">
        <v>145.094052</v>
      </c>
      <c r="C1099" s="4">
        <f t="shared" si="68"/>
        <v>-1.1568919999999991</v>
      </c>
      <c r="D1099" s="4">
        <f t="shared" si="66"/>
        <v>2.139251999999999</v>
      </c>
      <c r="E1099" s="3">
        <v>52.95</v>
      </c>
      <c r="F1099" s="3">
        <v>20</v>
      </c>
      <c r="G1099" s="3">
        <v>150.70382199999997</v>
      </c>
      <c r="H1099" s="4">
        <f t="shared" si="69"/>
        <v>-1.2878130000000283</v>
      </c>
      <c r="I1099" s="4">
        <f t="shared" si="67"/>
        <v>5.5068419999999492</v>
      </c>
      <c r="J1099" s="3">
        <v>52.95</v>
      </c>
      <c r="K1099" s="3">
        <v>20</v>
      </c>
    </row>
    <row r="1100" spans="1:11" x14ac:dyDescent="0.35">
      <c r="A1100" s="2">
        <v>45467</v>
      </c>
      <c r="B1100" s="3">
        <v>144.43488299999999</v>
      </c>
      <c r="C1100" s="4">
        <f t="shared" si="68"/>
        <v>-0.65916900000001988</v>
      </c>
      <c r="D1100" s="4">
        <f t="shared" si="66"/>
        <v>1.0088059999999928</v>
      </c>
      <c r="E1100" s="3">
        <v>52.95</v>
      </c>
      <c r="F1100" s="3">
        <v>20</v>
      </c>
      <c r="G1100" s="3">
        <v>150.11735599999997</v>
      </c>
      <c r="H1100" s="4">
        <f t="shared" si="69"/>
        <v>-0.58646600000000149</v>
      </c>
      <c r="I1100" s="4">
        <f t="shared" si="67"/>
        <v>4.4720129999999756</v>
      </c>
      <c r="J1100" s="3">
        <v>52.95</v>
      </c>
      <c r="K1100" s="3">
        <v>20</v>
      </c>
    </row>
    <row r="1101" spans="1:11" x14ac:dyDescent="0.35">
      <c r="A1101" s="2">
        <v>45474</v>
      </c>
      <c r="B1101" s="3">
        <v>144.27794700000001</v>
      </c>
      <c r="C1101" s="4">
        <f t="shared" si="68"/>
        <v>-0.15693599999997332</v>
      </c>
      <c r="D1101" s="4">
        <f t="shared" si="66"/>
        <v>0.88126300000001834</v>
      </c>
      <c r="E1101" s="3">
        <v>52.95</v>
      </c>
      <c r="F1101" s="3">
        <v>20</v>
      </c>
      <c r="G1101" s="3">
        <v>150.059617</v>
      </c>
      <c r="H1101" s="4">
        <f t="shared" si="69"/>
        <v>-5.7738999999969565E-2</v>
      </c>
      <c r="I1101" s="4">
        <f t="shared" si="67"/>
        <v>4.5431030000000021</v>
      </c>
      <c r="J1101" s="3">
        <v>52.95</v>
      </c>
      <c r="K1101" s="3">
        <v>20</v>
      </c>
    </row>
    <row r="1102" spans="1:11" x14ac:dyDescent="0.35">
      <c r="A1102" s="2">
        <v>45481</v>
      </c>
      <c r="B1102" s="3">
        <v>144.44523700000002</v>
      </c>
      <c r="C1102" s="4">
        <f t="shared" si="68"/>
        <v>0.16729000000000838</v>
      </c>
      <c r="D1102" s="4">
        <f t="shared" si="66"/>
        <v>1.5723480000000336</v>
      </c>
      <c r="E1102" s="3">
        <v>52.95</v>
      </c>
      <c r="F1102" s="3">
        <v>20</v>
      </c>
      <c r="G1102" s="3">
        <v>150.39364499999999</v>
      </c>
      <c r="H1102" s="4">
        <f t="shared" si="69"/>
        <v>0.33402799999998933</v>
      </c>
      <c r="I1102" s="4">
        <f t="shared" si="67"/>
        <v>5.6629869999999869</v>
      </c>
      <c r="J1102" s="3">
        <v>52.95</v>
      </c>
      <c r="K1102" s="3">
        <v>20</v>
      </c>
    </row>
    <row r="1103" spans="1:11" x14ac:dyDescent="0.35">
      <c r="A1103" s="2">
        <v>45488</v>
      </c>
      <c r="B1103" s="3">
        <v>144.59996699999999</v>
      </c>
      <c r="C1103" s="4">
        <f t="shared" si="68"/>
        <v>0.15472999999997228</v>
      </c>
      <c r="D1103" s="4">
        <f t="shared" si="66"/>
        <v>1.8338640000000055</v>
      </c>
      <c r="E1103" s="3">
        <v>52.95</v>
      </c>
      <c r="F1103" s="3">
        <v>20</v>
      </c>
      <c r="G1103" s="7">
        <v>150.56242700000001</v>
      </c>
      <c r="H1103" s="4">
        <f t="shared" si="69"/>
        <v>0.16878200000002153</v>
      </c>
      <c r="I1103" s="4">
        <f t="shared" si="67"/>
        <v>5.9259999999999877</v>
      </c>
      <c r="J1103" s="3">
        <v>52.95</v>
      </c>
      <c r="K1103" s="3">
        <v>20</v>
      </c>
    </row>
    <row r="1104" spans="1:11" x14ac:dyDescent="0.35">
      <c r="A1104" s="2">
        <v>45495</v>
      </c>
      <c r="B1104" s="8">
        <v>144.68757200000002</v>
      </c>
      <c r="C1104" s="4">
        <f t="shared" si="68"/>
        <v>8.7605000000024802E-2</v>
      </c>
      <c r="D1104" s="4">
        <f t="shared" si="66"/>
        <v>1.729928000000001</v>
      </c>
      <c r="E1104" s="3">
        <v>52.95</v>
      </c>
      <c r="F1104" s="3">
        <v>20</v>
      </c>
      <c r="G1104" s="9">
        <v>150.59186200000002</v>
      </c>
      <c r="H1104" s="4">
        <f t="shared" si="69"/>
        <v>2.9435000000006539E-2</v>
      </c>
      <c r="I1104" s="4">
        <f t="shared" si="67"/>
        <v>5.4618590000000324</v>
      </c>
      <c r="J1104" s="3">
        <v>52.95</v>
      </c>
      <c r="K1104" s="3">
        <v>20</v>
      </c>
    </row>
    <row r="1105" spans="1:11" x14ac:dyDescent="0.35">
      <c r="A1105" s="2">
        <v>45502</v>
      </c>
      <c r="B1105" s="3">
        <v>144.191057</v>
      </c>
      <c r="C1105" s="4">
        <f t="shared" si="68"/>
        <v>-0.49651500000001647</v>
      </c>
      <c r="D1105" s="4">
        <f t="shared" si="66"/>
        <v>5.9692000000040935E-2</v>
      </c>
      <c r="E1105" s="3">
        <v>52.95</v>
      </c>
      <c r="F1105" s="3">
        <v>20</v>
      </c>
      <c r="G1105" s="3">
        <v>150.156567</v>
      </c>
      <c r="H1105" s="4">
        <f t="shared" si="69"/>
        <v>-0.43529500000002486</v>
      </c>
      <c r="I1105" s="4">
        <f t="shared" si="67"/>
        <v>4.207681000000008</v>
      </c>
      <c r="J1105" s="3">
        <v>52.95</v>
      </c>
      <c r="K1105" s="3">
        <v>20</v>
      </c>
    </row>
    <row r="1106" spans="1:11" x14ac:dyDescent="0.35">
      <c r="A1106" s="2">
        <v>45509</v>
      </c>
      <c r="B1106" s="3">
        <v>143.42443</v>
      </c>
      <c r="C1106" s="4">
        <f t="shared" si="68"/>
        <v>-0.76662699999999973</v>
      </c>
      <c r="D1106" s="4">
        <f t="shared" si="66"/>
        <v>-2.7507529999999747</v>
      </c>
      <c r="E1106" s="3">
        <v>52.95</v>
      </c>
      <c r="F1106" s="3">
        <v>20</v>
      </c>
      <c r="G1106" s="3">
        <v>149.09860000000003</v>
      </c>
      <c r="H1106" s="4">
        <f t="shared" si="69"/>
        <v>-1.0579669999999624</v>
      </c>
      <c r="I1106" s="4">
        <f t="shared" si="67"/>
        <v>0.86907200000001694</v>
      </c>
      <c r="J1106" s="3">
        <v>52.95</v>
      </c>
      <c r="K1106" s="3">
        <v>20</v>
      </c>
    </row>
    <row r="1107" spans="1:11" x14ac:dyDescent="0.35">
      <c r="A1107" s="2">
        <v>45516</v>
      </c>
      <c r="B1107" s="3">
        <v>142.91306100000003</v>
      </c>
      <c r="C1107" s="4">
        <f t="shared" si="68"/>
        <v>-0.51136899999997354</v>
      </c>
      <c r="D1107" s="4">
        <f t="shared" si="66"/>
        <v>-4.8597399999999595</v>
      </c>
      <c r="E1107" s="3">
        <v>52.95</v>
      </c>
      <c r="F1107" s="3">
        <v>20</v>
      </c>
      <c r="G1107" s="3">
        <v>148.47881599999999</v>
      </c>
      <c r="H1107" s="4">
        <f t="shared" si="69"/>
        <v>-0.6197840000000383</v>
      </c>
      <c r="I1107" s="4">
        <f t="shared" si="67"/>
        <v>-1.8949780000000089</v>
      </c>
      <c r="J1107" s="3">
        <v>52.95</v>
      </c>
      <c r="K1107" s="3">
        <v>20</v>
      </c>
    </row>
    <row r="1108" spans="1:11" x14ac:dyDescent="0.35">
      <c r="A1108" s="2">
        <v>45523</v>
      </c>
      <c r="B1108" s="3">
        <v>141.95977600000001</v>
      </c>
      <c r="C1108" s="4">
        <f t="shared" si="68"/>
        <v>-0.95328500000002236</v>
      </c>
      <c r="D1108" s="4">
        <f t="shared" si="66"/>
        <v>-7.4437139999999999</v>
      </c>
      <c r="E1108" s="3">
        <v>52.95</v>
      </c>
      <c r="F1108" s="3">
        <v>20</v>
      </c>
      <c r="G1108" s="3">
        <v>147.424058</v>
      </c>
      <c r="H1108" s="4">
        <f t="shared" si="69"/>
        <v>-1.0547579999999925</v>
      </c>
      <c r="I1108" s="4">
        <f t="shared" si="67"/>
        <v>-4.7189250000000129</v>
      </c>
      <c r="J1108" s="3">
        <v>52.95</v>
      </c>
      <c r="K1108" s="3">
        <v>20</v>
      </c>
    </row>
    <row r="1109" spans="1:11" x14ac:dyDescent="0.35">
      <c r="A1109" s="2">
        <v>45530</v>
      </c>
      <c r="B1109" s="10">
        <v>141.00969899999998</v>
      </c>
      <c r="C1109" s="4">
        <f t="shared" si="68"/>
        <v>-0.9500770000000216</v>
      </c>
      <c r="D1109" s="4">
        <f t="shared" si="66"/>
        <v>-9.7231890000000192</v>
      </c>
      <c r="E1109" s="3">
        <v>52.95</v>
      </c>
      <c r="F1109" s="3">
        <v>20</v>
      </c>
      <c r="G1109" s="10">
        <v>146.14681300000004</v>
      </c>
      <c r="H1109" s="4">
        <f t="shared" si="69"/>
        <v>-1.2772449999999651</v>
      </c>
      <c r="I1109" s="4">
        <f t="shared" si="67"/>
        <v>-7.3745189999999923</v>
      </c>
      <c r="J1109" s="3">
        <v>52.95</v>
      </c>
      <c r="K1109" s="3">
        <v>20</v>
      </c>
    </row>
    <row r="1110" spans="1:11" x14ac:dyDescent="0.35">
      <c r="A1110" s="2">
        <v>45537</v>
      </c>
      <c r="B1110" s="11">
        <v>139.96133</v>
      </c>
      <c r="C1110" s="4">
        <f t="shared" si="68"/>
        <v>-1.0483689999999797</v>
      </c>
      <c r="D1110" s="4">
        <f t="shared" si="66"/>
        <v>-11.748302000000024</v>
      </c>
      <c r="E1110" s="3">
        <v>52.95</v>
      </c>
      <c r="F1110" s="3">
        <v>20</v>
      </c>
      <c r="G1110" s="11">
        <v>145.18855400000001</v>
      </c>
      <c r="H1110" s="4">
        <f t="shared" si="69"/>
        <v>-0.95825900000002662</v>
      </c>
      <c r="I1110" s="4">
        <f t="shared" si="67"/>
        <v>-9.4575159999999698</v>
      </c>
      <c r="J1110" s="3">
        <v>52.95</v>
      </c>
      <c r="K1110" s="3">
        <v>20</v>
      </c>
    </row>
    <row r="1111" spans="1:11" x14ac:dyDescent="0.35">
      <c r="A1111" s="2">
        <v>45544</v>
      </c>
      <c r="B1111" s="11">
        <v>138.100517</v>
      </c>
      <c r="C1111" s="4">
        <f t="shared" si="68"/>
        <v>-1.8608130000000074</v>
      </c>
      <c r="D1111" s="4">
        <f t="shared" si="66"/>
        <v>-14.994537000000037</v>
      </c>
      <c r="E1111" s="3">
        <v>52.95</v>
      </c>
      <c r="F1111" s="3">
        <v>20</v>
      </c>
      <c r="G1111" s="11">
        <v>143.40070400000002</v>
      </c>
      <c r="H1111" s="4">
        <f t="shared" si="69"/>
        <v>-1.7878499999999917</v>
      </c>
      <c r="I1111" s="4">
        <f t="shared" si="67"/>
        <v>-12.746572999999984</v>
      </c>
      <c r="J1111" s="3">
        <v>52.95</v>
      </c>
      <c r="K1111" s="3">
        <v>20</v>
      </c>
    </row>
    <row r="1112" spans="1:11" x14ac:dyDescent="0.35">
      <c r="A1112" s="2">
        <v>45551</v>
      </c>
      <c r="B1112" s="11">
        <v>136.485906</v>
      </c>
      <c r="C1112" s="4">
        <f t="shared" si="68"/>
        <v>-1.6146109999999965</v>
      </c>
      <c r="D1112" s="4">
        <f t="shared" si="66"/>
        <v>-17.577184999999986</v>
      </c>
      <c r="E1112" s="3">
        <v>52.95</v>
      </c>
      <c r="F1112" s="3">
        <v>20</v>
      </c>
      <c r="G1112" s="11">
        <v>141.60610999999997</v>
      </c>
      <c r="H1112" s="4">
        <f t="shared" si="69"/>
        <v>-1.7945940000000462</v>
      </c>
      <c r="I1112" s="4">
        <f t="shared" si="67"/>
        <v>-16.551898000000051</v>
      </c>
      <c r="J1112" s="3">
        <v>52.95</v>
      </c>
      <c r="K1112" s="3">
        <v>20</v>
      </c>
    </row>
    <row r="1113" spans="1:11" x14ac:dyDescent="0.35">
      <c r="A1113" s="2">
        <v>45558</v>
      </c>
      <c r="B1113" s="11">
        <v>135.25935200000001</v>
      </c>
      <c r="C1113" s="4">
        <f t="shared" si="68"/>
        <v>-1.226553999999993</v>
      </c>
      <c r="D1113" s="4">
        <f t="shared" si="66"/>
        <v>-20.153397999999981</v>
      </c>
      <c r="E1113" s="3">
        <v>52.95</v>
      </c>
      <c r="F1113" s="3">
        <v>20</v>
      </c>
      <c r="G1113" s="11">
        <v>140.018216</v>
      </c>
      <c r="H1113" s="4">
        <f t="shared" si="69"/>
        <v>-1.5878939999999773</v>
      </c>
      <c r="I1113" s="4">
        <f t="shared" si="67"/>
        <v>-20.593322000000001</v>
      </c>
      <c r="J1113" s="3">
        <v>52.95</v>
      </c>
      <c r="K1113" s="3">
        <v>20</v>
      </c>
    </row>
    <row r="1114" spans="1:11" x14ac:dyDescent="0.35">
      <c r="A1114" s="2">
        <v>45565</v>
      </c>
      <c r="B1114" s="11">
        <v>134.16621699999999</v>
      </c>
      <c r="C1114" s="4">
        <f t="shared" si="68"/>
        <v>-1.093135000000018</v>
      </c>
      <c r="D1114" s="4">
        <f t="shared" si="66"/>
        <v>-21.850836999999984</v>
      </c>
      <c r="E1114" s="3">
        <v>52.95</v>
      </c>
      <c r="F1114" s="3">
        <v>20</v>
      </c>
      <c r="G1114" s="11">
        <v>138.852994</v>
      </c>
      <c r="H1114" s="4">
        <f t="shared" si="69"/>
        <v>-1.165222</v>
      </c>
      <c r="I1114" s="4">
        <f t="shared" si="67"/>
        <v>-23.299690999999996</v>
      </c>
      <c r="J1114" s="3">
        <v>52.95</v>
      </c>
      <c r="K1114" s="3">
        <v>20</v>
      </c>
    </row>
    <row r="1115" spans="1:11" x14ac:dyDescent="0.35">
      <c r="A1115" s="2">
        <v>45572</v>
      </c>
      <c r="B1115" s="11">
        <v>133.58621600000001</v>
      </c>
      <c r="C1115" s="4">
        <f t="shared" si="68"/>
        <v>-0.58000099999998156</v>
      </c>
      <c r="D1115" s="4">
        <f t="shared" si="66"/>
        <v>-22.356338999999991</v>
      </c>
      <c r="E1115" s="3">
        <v>52.95</v>
      </c>
      <c r="F1115" s="3">
        <v>20</v>
      </c>
      <c r="G1115" s="11">
        <v>138.46336599999998</v>
      </c>
      <c r="H1115" s="4">
        <f t="shared" si="69"/>
        <v>-0.38962800000001607</v>
      </c>
      <c r="I1115" s="4">
        <f t="shared" si="67"/>
        <v>-24.029634000000016</v>
      </c>
      <c r="J1115" s="3">
        <v>52.95</v>
      </c>
      <c r="K1115" s="3">
        <v>20</v>
      </c>
    </row>
    <row r="1116" spans="1:11" x14ac:dyDescent="0.35">
      <c r="A1116" s="2">
        <v>45579</v>
      </c>
      <c r="B1116" s="11">
        <v>133.86126099999998</v>
      </c>
      <c r="C1116" s="4">
        <f t="shared" si="68"/>
        <v>0.27504499999997734</v>
      </c>
      <c r="D1116" s="4">
        <f t="shared" si="66"/>
        <v>-21.224067000000019</v>
      </c>
      <c r="E1116" s="3">
        <v>52.95</v>
      </c>
      <c r="F1116" s="3">
        <v>20</v>
      </c>
      <c r="G1116" s="11">
        <v>139.07519400000001</v>
      </c>
      <c r="H1116" s="4">
        <f t="shared" si="69"/>
        <v>0.61182800000003112</v>
      </c>
      <c r="I1116" s="4">
        <f t="shared" si="67"/>
        <v>-23.234343999999965</v>
      </c>
      <c r="J1116" s="3">
        <v>52.95</v>
      </c>
      <c r="K1116" s="3">
        <v>20</v>
      </c>
    </row>
    <row r="1117" spans="1:11" x14ac:dyDescent="0.35">
      <c r="A1117" s="2">
        <v>45586</v>
      </c>
      <c r="B1117" s="11">
        <v>133.98826600000001</v>
      </c>
      <c r="C1117" s="4">
        <f t="shared" si="68"/>
        <v>0.12700500000002535</v>
      </c>
      <c r="D1117" s="4">
        <f t="shared" si="66"/>
        <v>-20.642579999999981</v>
      </c>
      <c r="E1117" s="3">
        <v>52.95</v>
      </c>
      <c r="F1117" s="3">
        <v>20</v>
      </c>
      <c r="G1117" s="11">
        <v>139.26096699999999</v>
      </c>
      <c r="H1117" s="4">
        <f t="shared" si="69"/>
        <v>0.18577299999998331</v>
      </c>
      <c r="I1117" s="4">
        <f t="shared" si="67"/>
        <v>-22.929970000000026</v>
      </c>
      <c r="J1117" s="3">
        <v>52.95</v>
      </c>
      <c r="K1117" s="3">
        <v>20</v>
      </c>
    </row>
    <row r="1118" spans="1:11" x14ac:dyDescent="0.35">
      <c r="A1118" s="2">
        <v>45593</v>
      </c>
      <c r="B1118" s="11">
        <v>134.413331</v>
      </c>
      <c r="C1118" s="4">
        <f t="shared" si="68"/>
        <v>0.42506499999998937</v>
      </c>
      <c r="D1118" s="4">
        <f t="shared" si="66"/>
        <v>-19.560124999999999</v>
      </c>
      <c r="E1118" s="3">
        <v>52.95</v>
      </c>
      <c r="F1118" s="3">
        <v>20</v>
      </c>
      <c r="G1118" s="11">
        <v>139.709745</v>
      </c>
      <c r="H1118" s="4">
        <f t="shared" si="69"/>
        <v>0.44877800000000434</v>
      </c>
      <c r="I1118" s="4">
        <f t="shared" si="67"/>
        <v>-22.046530000000018</v>
      </c>
      <c r="J1118" s="3">
        <v>52.95</v>
      </c>
      <c r="K1118" s="3">
        <v>20</v>
      </c>
    </row>
    <row r="1119" spans="1:11" x14ac:dyDescent="0.35">
      <c r="A1119" s="2">
        <v>45600</v>
      </c>
      <c r="B1119" s="11">
        <v>134.410302</v>
      </c>
      <c r="C1119" s="4">
        <f t="shared" si="68"/>
        <v>-3.02899999999795E-3</v>
      </c>
      <c r="D1119" s="4">
        <f t="shared" si="66"/>
        <v>-18.794464000000005</v>
      </c>
      <c r="E1119" s="3">
        <v>52.95</v>
      </c>
      <c r="F1119" s="3">
        <v>20</v>
      </c>
      <c r="G1119" s="11">
        <v>139.84395799999999</v>
      </c>
      <c r="H1119" s="4">
        <f t="shared" si="69"/>
        <v>0.13421299999998837</v>
      </c>
      <c r="I1119" s="4">
        <f t="shared" si="67"/>
        <v>-21.01598899999999</v>
      </c>
      <c r="J1119" s="3">
        <v>52.95</v>
      </c>
      <c r="K1119" s="3">
        <v>20</v>
      </c>
    </row>
    <row r="1120" spans="1:11" x14ac:dyDescent="0.35">
      <c r="A1120" s="2">
        <v>45607</v>
      </c>
      <c r="B1120" s="11">
        <v>134.59466</v>
      </c>
      <c r="C1120" s="4">
        <f t="shared" si="68"/>
        <v>0.18435800000000313</v>
      </c>
      <c r="D1120" s="4">
        <f t="shared" si="66"/>
        <v>-17.795949000000007</v>
      </c>
      <c r="E1120" s="3">
        <v>52.95</v>
      </c>
      <c r="F1120" s="3">
        <v>20</v>
      </c>
      <c r="G1120" s="11">
        <v>140.13422300000002</v>
      </c>
      <c r="H1120" s="4">
        <f t="shared" si="69"/>
        <v>0.29026500000003352</v>
      </c>
      <c r="I1120" s="4">
        <f t="shared" si="67"/>
        <v>-20.252406000000008</v>
      </c>
      <c r="J1120" s="3">
        <v>52.95</v>
      </c>
      <c r="K1120" s="3">
        <v>20</v>
      </c>
    </row>
    <row r="1121" spans="1:11" x14ac:dyDescent="0.35">
      <c r="A1121" s="2">
        <v>45614</v>
      </c>
      <c r="B1121" s="11">
        <v>134.848432</v>
      </c>
      <c r="C1121" s="4">
        <f t="shared" si="68"/>
        <v>0.25377199999999789</v>
      </c>
      <c r="D1121" s="4">
        <f t="shared" si="66"/>
        <v>-15.651865000000015</v>
      </c>
      <c r="E1121" s="3">
        <v>52.95</v>
      </c>
      <c r="F1121" s="3">
        <v>20</v>
      </c>
      <c r="G1121" s="11">
        <v>140.48737899999998</v>
      </c>
      <c r="H1121" s="4">
        <f t="shared" si="69"/>
        <v>0.35315599999995584</v>
      </c>
      <c r="I1121" s="4">
        <f t="shared" si="67"/>
        <v>-17.953745999999995</v>
      </c>
      <c r="J1121" s="3">
        <v>52.95</v>
      </c>
      <c r="K1121" s="3">
        <v>20</v>
      </c>
    </row>
    <row r="1122" spans="1:11" x14ac:dyDescent="0.35">
      <c r="A1122" s="2">
        <v>45621</v>
      </c>
      <c r="B1122" s="11">
        <v>135.36596</v>
      </c>
      <c r="C1122" s="4">
        <f t="shared" si="68"/>
        <v>0.51752799999999866</v>
      </c>
      <c r="D1122" s="4">
        <f t="shared" si="66"/>
        <v>-12.626499999999993</v>
      </c>
      <c r="E1122" s="3">
        <v>52.95</v>
      </c>
      <c r="F1122" s="3">
        <v>20</v>
      </c>
      <c r="G1122" s="11">
        <v>141.40484000000001</v>
      </c>
      <c r="H1122" s="4">
        <f t="shared" si="69"/>
        <v>0.91746100000003139</v>
      </c>
      <c r="I1122" s="4">
        <f t="shared" si="67"/>
        <v>-14.778435999999971</v>
      </c>
      <c r="J1122" s="3">
        <v>52.95</v>
      </c>
      <c r="K1122" s="3">
        <v>20</v>
      </c>
    </row>
    <row r="1123" spans="1:11" x14ac:dyDescent="0.35">
      <c r="A1123" s="2">
        <v>45628</v>
      </c>
      <c r="B1123" s="11">
        <v>135.92584099999999</v>
      </c>
      <c r="C1123" s="4">
        <f t="shared" si="68"/>
        <v>0.55988099999999008</v>
      </c>
      <c r="D1123" s="4">
        <f t="shared" si="66"/>
        <v>-9.7891290000000311</v>
      </c>
      <c r="E1123" s="3">
        <v>52.95</v>
      </c>
      <c r="F1123" s="3">
        <v>20</v>
      </c>
      <c r="G1123" s="11">
        <v>142.04014499999997</v>
      </c>
      <c r="H1123" s="4">
        <f t="shared" si="69"/>
        <v>0.63530499999995982</v>
      </c>
      <c r="I1123" s="4">
        <f t="shared" si="67"/>
        <v>-12.06443900000005</v>
      </c>
      <c r="J1123" s="3">
        <v>52.95</v>
      </c>
      <c r="K1123" s="3">
        <v>20</v>
      </c>
    </row>
    <row r="1124" spans="1:11" x14ac:dyDescent="0.35">
      <c r="A1124" s="2">
        <v>45635</v>
      </c>
      <c r="B1124" s="11">
        <v>136.22645</v>
      </c>
      <c r="C1124" s="4">
        <f t="shared" si="68"/>
        <v>0.30060900000000856</v>
      </c>
      <c r="D1124" s="4">
        <f t="shared" si="66"/>
        <v>-7.5688870000000179</v>
      </c>
      <c r="E1124" s="3">
        <v>52.95</v>
      </c>
      <c r="F1124" s="3">
        <v>20</v>
      </c>
      <c r="G1124" s="11">
        <v>142.48728700000001</v>
      </c>
      <c r="H1124" s="4">
        <f t="shared" si="69"/>
        <v>0.44714200000004212</v>
      </c>
      <c r="I1124" s="4">
        <f t="shared" si="67"/>
        <v>-9.5184919999999806</v>
      </c>
      <c r="J1124" s="3">
        <v>52.95</v>
      </c>
      <c r="K1124" s="3">
        <v>20</v>
      </c>
    </row>
    <row r="1125" spans="1:11" x14ac:dyDescent="0.35">
      <c r="A1125" s="2">
        <v>45642</v>
      </c>
      <c r="B1125" s="11">
        <v>136.39128099999999</v>
      </c>
      <c r="C1125" s="4">
        <f t="shared" si="68"/>
        <v>0.1648309999999924</v>
      </c>
      <c r="D1125" s="4">
        <f t="shared" si="66"/>
        <v>-5.1231460000000197</v>
      </c>
      <c r="E1125" s="3">
        <v>52.95</v>
      </c>
      <c r="F1125" s="3">
        <v>20</v>
      </c>
      <c r="G1125" s="11">
        <v>142.70911500000003</v>
      </c>
      <c r="H1125" s="4">
        <f t="shared" si="69"/>
        <v>0.22182800000001635</v>
      </c>
      <c r="I1125" s="4">
        <f t="shared" si="67"/>
        <v>-7.6693459999999618</v>
      </c>
      <c r="J1125" s="3">
        <v>52.95</v>
      </c>
      <c r="K1125" s="3">
        <v>20</v>
      </c>
    </row>
    <row r="1126" spans="1:11" x14ac:dyDescent="0.35">
      <c r="A1126" s="2">
        <v>45649</v>
      </c>
      <c r="B1126" s="3">
        <v>136.385029</v>
      </c>
      <c r="C1126" s="4">
        <f t="shared" si="68"/>
        <v>-6.2519999999892661E-3</v>
      </c>
      <c r="D1126" s="4">
        <f t="shared" si="66"/>
        <v>-3.9403729999999939</v>
      </c>
      <c r="E1126" s="3">
        <v>52.95</v>
      </c>
      <c r="F1126" s="3">
        <v>20</v>
      </c>
      <c r="G1126" s="3">
        <v>142.848073</v>
      </c>
      <c r="H1126" s="4">
        <f t="shared" si="69"/>
        <v>0.13895799999997394</v>
      </c>
      <c r="I1126" s="4">
        <f t="shared" si="67"/>
        <v>-6.3877530000000036</v>
      </c>
      <c r="J1126" s="3">
        <v>52.95</v>
      </c>
      <c r="K1126" s="3">
        <v>20</v>
      </c>
    </row>
    <row r="1127" spans="1:11" x14ac:dyDescent="0.35">
      <c r="A1127" s="2">
        <v>45656</v>
      </c>
      <c r="B1127" s="3">
        <v>136.491308</v>
      </c>
      <c r="C1127" s="4">
        <f t="shared" si="68"/>
        <v>0.10627900000000068</v>
      </c>
      <c r="D1127" s="4">
        <f t="shared" si="66"/>
        <v>-4.2874379999999803</v>
      </c>
      <c r="E1127" s="3">
        <v>52.95</v>
      </c>
      <c r="F1127" s="3">
        <v>20</v>
      </c>
      <c r="G1127" s="3">
        <v>142.98101699999998</v>
      </c>
      <c r="H1127" s="4">
        <f t="shared" si="69"/>
        <v>0.13294399999998063</v>
      </c>
      <c r="I1127" s="4">
        <f t="shared" si="67"/>
        <v>-5.6839170000000365</v>
      </c>
      <c r="J1127" s="3">
        <v>52.95</v>
      </c>
      <c r="K1127" s="3">
        <v>20</v>
      </c>
    </row>
    <row r="1128" spans="1:11" x14ac:dyDescent="0.35">
      <c r="A1128" s="2">
        <v>45663</v>
      </c>
      <c r="B1128" s="3">
        <v>136.60324699999998</v>
      </c>
      <c r="C1128" s="4">
        <f t="shared" si="68"/>
        <v>0.11193899999997825</v>
      </c>
      <c r="D1128" s="4">
        <f t="shared" si="66"/>
        <v>-3.1159560000000113</v>
      </c>
      <c r="E1128" s="3">
        <v>52.95</v>
      </c>
      <c r="F1128" s="3">
        <v>20</v>
      </c>
      <c r="G1128" s="3">
        <v>143.295242</v>
      </c>
      <c r="H1128" s="4">
        <f t="shared" si="69"/>
        <v>0.31422500000002174</v>
      </c>
      <c r="I1128" s="4">
        <f t="shared" si="67"/>
        <v>-4.9171240000000012</v>
      </c>
      <c r="J1128" s="3">
        <v>52.95</v>
      </c>
      <c r="K1128" s="3">
        <v>20</v>
      </c>
    </row>
    <row r="1129" spans="1:11" x14ac:dyDescent="0.35">
      <c r="A1129" s="2">
        <v>45670</v>
      </c>
      <c r="B1129" s="3">
        <v>136.509985</v>
      </c>
      <c r="C1129" s="4">
        <f t="shared" si="68"/>
        <v>-9.3261999999981526E-2</v>
      </c>
      <c r="D1129" s="4">
        <f t="shared" si="66"/>
        <v>-2.9757749999999703</v>
      </c>
      <c r="E1129" s="3">
        <v>52.95</v>
      </c>
      <c r="F1129" s="3">
        <v>20</v>
      </c>
      <c r="G1129" s="3">
        <v>143.32843099999999</v>
      </c>
      <c r="H1129" s="4">
        <f t="shared" si="69"/>
        <v>3.318899999999303E-2</v>
      </c>
      <c r="I1129" s="4">
        <f t="shared" si="67"/>
        <v>-4.6005280000000255</v>
      </c>
      <c r="J1129" s="3">
        <v>52.95</v>
      </c>
      <c r="K1129" s="3">
        <v>20</v>
      </c>
    </row>
    <row r="1130" spans="1:11" x14ac:dyDescent="0.35">
      <c r="A1130" s="2">
        <v>45677</v>
      </c>
      <c r="B1130" s="3">
        <v>136.96904999999998</v>
      </c>
      <c r="C1130" s="4">
        <f t="shared" si="68"/>
        <v>0.45906499999998118</v>
      </c>
      <c r="D1130" s="4">
        <f t="shared" si="66"/>
        <v>-2.4188080000000127</v>
      </c>
      <c r="E1130" s="3">
        <v>52.95</v>
      </c>
      <c r="F1130" s="3">
        <v>20</v>
      </c>
      <c r="G1130" s="3">
        <v>144.26750099999998</v>
      </c>
      <c r="H1130" s="4">
        <f t="shared" si="69"/>
        <v>0.93906999999998675</v>
      </c>
      <c r="I1130" s="4">
        <f t="shared" si="67"/>
        <v>-3.690827000000013</v>
      </c>
      <c r="J1130" s="3">
        <v>52.95</v>
      </c>
      <c r="K1130" s="3">
        <v>20</v>
      </c>
    </row>
    <row r="1131" spans="1:11" x14ac:dyDescent="0.35">
      <c r="A1131" s="2">
        <v>45684</v>
      </c>
      <c r="B1131" s="3">
        <v>138.36296499999997</v>
      </c>
      <c r="C1131" s="4">
        <f t="shared" si="68"/>
        <v>1.3939149999999927</v>
      </c>
      <c r="D1131" s="4">
        <f t="shared" si="66"/>
        <v>-1.5456890000000101</v>
      </c>
      <c r="E1131" s="3">
        <v>52.95</v>
      </c>
      <c r="F1131" s="3">
        <v>20</v>
      </c>
      <c r="G1131" s="3">
        <v>145.574793</v>
      </c>
      <c r="H1131" s="4">
        <f t="shared" si="69"/>
        <v>1.3072920000000181</v>
      </c>
      <c r="I1131" s="4">
        <f t="shared" si="67"/>
        <v>-2.9817669999999907</v>
      </c>
      <c r="J1131" s="3">
        <v>52.95</v>
      </c>
      <c r="K1131" s="3">
        <v>20</v>
      </c>
    </row>
    <row r="1132" spans="1:11" x14ac:dyDescent="0.35">
      <c r="A1132" s="2">
        <v>45691</v>
      </c>
      <c r="B1132" s="3">
        <v>138.741411</v>
      </c>
      <c r="C1132" s="4">
        <f t="shared" si="68"/>
        <v>0.37844600000002515</v>
      </c>
      <c r="D1132" s="4">
        <f t="shared" si="66"/>
        <v>-1.8052319999999895</v>
      </c>
      <c r="E1132" s="3">
        <v>52.95</v>
      </c>
      <c r="F1132" s="3">
        <v>20</v>
      </c>
      <c r="G1132" s="3">
        <v>146.13087400000001</v>
      </c>
      <c r="H1132" s="4">
        <f t="shared" si="69"/>
        <v>0.55608100000000604</v>
      </c>
      <c r="I1132" s="4">
        <f t="shared" si="67"/>
        <v>-3.2238279999999975</v>
      </c>
      <c r="J1132" s="3">
        <v>52.95</v>
      </c>
      <c r="K1132" s="3">
        <v>20</v>
      </c>
    </row>
    <row r="1133" spans="1:11" x14ac:dyDescent="0.35">
      <c r="A1133" s="2">
        <v>45698</v>
      </c>
      <c r="B1133" s="3">
        <v>139.021659</v>
      </c>
      <c r="C1133" s="4">
        <f t="shared" si="68"/>
        <v>0.28024800000000027</v>
      </c>
      <c r="D1133" s="4">
        <f t="shared" si="66"/>
        <v>-2.2547699999999793</v>
      </c>
      <c r="E1133" s="3">
        <v>52.95</v>
      </c>
      <c r="F1133" s="3">
        <v>20</v>
      </c>
      <c r="G1133" s="3">
        <v>146.29333200000002</v>
      </c>
      <c r="H1133" s="4">
        <f t="shared" si="69"/>
        <v>0.16245800000001509</v>
      </c>
      <c r="I1133" s="4">
        <f t="shared" si="67"/>
        <v>-3.9830269999999643</v>
      </c>
      <c r="J1133" s="3">
        <v>52.95</v>
      </c>
      <c r="K1133" s="3">
        <v>20</v>
      </c>
    </row>
    <row r="1134" spans="1:11" x14ac:dyDescent="0.35">
      <c r="A1134" s="2">
        <v>45705</v>
      </c>
      <c r="B1134" s="3">
        <v>139.217579</v>
      </c>
      <c r="C1134" s="4">
        <f t="shared" si="68"/>
        <v>0.19592000000000098</v>
      </c>
      <c r="D1134" s="4">
        <f t="shared" si="66"/>
        <v>-3.6416930000000036</v>
      </c>
      <c r="E1134" s="3">
        <v>52.95</v>
      </c>
      <c r="F1134" s="3">
        <v>20</v>
      </c>
      <c r="G1134" s="3">
        <v>146.44771800000001</v>
      </c>
      <c r="H1134" s="4">
        <f t="shared" si="69"/>
        <v>0.15438599999998814</v>
      </c>
      <c r="I1134" s="4">
        <f t="shared" si="67"/>
        <v>-5.631842000000006</v>
      </c>
      <c r="J1134" s="3">
        <v>52.95</v>
      </c>
      <c r="K1134" s="3">
        <v>20</v>
      </c>
    </row>
    <row r="1135" spans="1:11" x14ac:dyDescent="0.35">
      <c r="A1135" s="2">
        <v>45712</v>
      </c>
      <c r="B1135" s="3">
        <v>139.62223799999998</v>
      </c>
      <c r="C1135" s="4">
        <f t="shared" si="68"/>
        <v>0.40465899999998101</v>
      </c>
      <c r="D1135" s="4">
        <f t="shared" si="66"/>
        <v>-4.3388620000000344</v>
      </c>
      <c r="E1135" s="3">
        <v>52.95</v>
      </c>
      <c r="F1135" s="3">
        <v>20</v>
      </c>
      <c r="G1135" s="3">
        <v>146.82192700000002</v>
      </c>
      <c r="H1135" s="4">
        <f t="shared" si="69"/>
        <v>0.37420900000000756</v>
      </c>
      <c r="I1135" s="4">
        <f t="shared" si="67"/>
        <v>-6.4688199999999938</v>
      </c>
      <c r="J1135" s="3">
        <v>52.95</v>
      </c>
      <c r="K1135" s="3">
        <v>20</v>
      </c>
    </row>
    <row r="1136" spans="1:11" x14ac:dyDescent="0.35">
      <c r="A1136" s="2">
        <v>45719</v>
      </c>
      <c r="B1136" s="3">
        <v>139.612483</v>
      </c>
      <c r="C1136" s="4">
        <f t="shared" si="68"/>
        <v>-9.754999999984193E-3</v>
      </c>
      <c r="D1136" s="4">
        <f t="shared" si="66"/>
        <v>-5.1152769999999919</v>
      </c>
      <c r="E1136" s="3">
        <v>52.95</v>
      </c>
      <c r="F1136" s="3">
        <v>20</v>
      </c>
      <c r="G1136" s="3">
        <v>146.884027</v>
      </c>
      <c r="H1136" s="4">
        <f t="shared" si="69"/>
        <v>6.2099999999986721E-2</v>
      </c>
      <c r="I1136" s="4">
        <f t="shared" si="67"/>
        <v>-7.6419889999999953</v>
      </c>
      <c r="J1136" s="3">
        <v>52.95</v>
      </c>
      <c r="K1136" s="3">
        <v>20</v>
      </c>
    </row>
    <row r="1137" spans="1:11" x14ac:dyDescent="0.35">
      <c r="A1137" s="2">
        <v>45726</v>
      </c>
      <c r="B1137" s="3">
        <v>139.41696999999999</v>
      </c>
      <c r="C1137" s="4">
        <f t="shared" si="68"/>
        <v>-0.19551300000000538</v>
      </c>
      <c r="D1137" s="4">
        <f t="shared" si="66"/>
        <v>-5.2823110000000213</v>
      </c>
      <c r="E1137" s="3">
        <v>52.95</v>
      </c>
      <c r="F1137" s="3">
        <v>20</v>
      </c>
      <c r="G1137" s="3">
        <v>146.57529</v>
      </c>
      <c r="H1137" s="4">
        <f t="shared" si="69"/>
        <v>-0.30873700000000781</v>
      </c>
      <c r="I1137" s="4">
        <f t="shared" si="67"/>
        <v>-7.7173880000000281</v>
      </c>
      <c r="J1137" s="3">
        <v>52.95</v>
      </c>
      <c r="K1137" s="3">
        <v>20</v>
      </c>
    </row>
    <row r="1138" spans="1:11" x14ac:dyDescent="0.35">
      <c r="A1138" s="2">
        <v>45733</v>
      </c>
      <c r="B1138" s="3">
        <v>137.971654</v>
      </c>
      <c r="C1138" s="4">
        <f t="shared" si="68"/>
        <v>-1.4453159999999912</v>
      </c>
      <c r="D1138" s="4">
        <f t="shared" si="66"/>
        <v>-6.7620179999999834</v>
      </c>
      <c r="E1138" s="3">
        <v>52.95</v>
      </c>
      <c r="F1138" s="3">
        <v>20</v>
      </c>
      <c r="G1138" s="3">
        <v>145.38482700000003</v>
      </c>
      <c r="H1138" s="4">
        <f t="shared" si="69"/>
        <v>-1.1904629999999656</v>
      </c>
      <c r="I1138" s="4">
        <f t="shared" si="67"/>
        <v>-8.4207479999999464</v>
      </c>
      <c r="J1138" s="3">
        <v>52.95</v>
      </c>
      <c r="K1138" s="3">
        <v>20</v>
      </c>
    </row>
    <row r="1139" spans="1:11" x14ac:dyDescent="0.35">
      <c r="A1139" s="2">
        <v>45740</v>
      </c>
      <c r="B1139" s="3">
        <v>135.607957</v>
      </c>
      <c r="C1139" s="4">
        <f t="shared" si="68"/>
        <v>-2.3636970000000019</v>
      </c>
      <c r="D1139" s="4">
        <f t="shared" si="66"/>
        <v>-9.4499149999999759</v>
      </c>
      <c r="E1139" s="3">
        <v>52.95</v>
      </c>
      <c r="F1139" s="3">
        <v>20</v>
      </c>
      <c r="G1139" s="3">
        <v>143.07308</v>
      </c>
      <c r="H1139" s="4">
        <f t="shared" si="69"/>
        <v>-2.3117470000000253</v>
      </c>
      <c r="I1139" s="4">
        <f t="shared" si="67"/>
        <v>-10.823144999999982</v>
      </c>
      <c r="J1139" s="3">
        <v>52.95</v>
      </c>
      <c r="K1139" s="3">
        <v>20</v>
      </c>
    </row>
    <row r="1140" spans="1:11" x14ac:dyDescent="0.35">
      <c r="A1140" s="2">
        <v>45747</v>
      </c>
      <c r="B1140" s="3">
        <v>134.907432</v>
      </c>
      <c r="C1140" s="4">
        <f t="shared" si="68"/>
        <v>-0.70052499999999895</v>
      </c>
      <c r="D1140" s="4">
        <f t="shared" si="66"/>
        <v>-11.345143000000007</v>
      </c>
      <c r="E1140" s="3">
        <v>52.95</v>
      </c>
      <c r="F1140" s="3">
        <v>20</v>
      </c>
      <c r="G1140" s="3">
        <v>142.255009</v>
      </c>
      <c r="H1140" s="4">
        <f t="shared" si="69"/>
        <v>-0.81807100000000332</v>
      </c>
      <c r="I1140" s="4">
        <f t="shared" si="67"/>
        <v>-13.747337000000016</v>
      </c>
      <c r="J1140" s="3">
        <v>52.95</v>
      </c>
      <c r="K1140" s="3">
        <v>20</v>
      </c>
    </row>
    <row r="1141" spans="1:11" x14ac:dyDescent="0.35">
      <c r="A1141" s="2">
        <v>45754</v>
      </c>
      <c r="B1141" s="3">
        <v>135.24951899999999</v>
      </c>
      <c r="C1141" s="4">
        <f t="shared" si="68"/>
        <v>0.34208699999999226</v>
      </c>
      <c r="D1141" s="4">
        <f t="shared" si="66"/>
        <v>-11.665024000000017</v>
      </c>
      <c r="E1141" s="3">
        <v>52.95</v>
      </c>
      <c r="F1141" s="3">
        <v>20</v>
      </c>
      <c r="G1141" s="3">
        <v>142.54169199999998</v>
      </c>
      <c r="H1141" s="4">
        <f t="shared" si="69"/>
        <v>0.28668299999998226</v>
      </c>
      <c r="I1141" s="4">
        <f t="shared" si="67"/>
        <v>-13.750371999999999</v>
      </c>
      <c r="J1141" s="3">
        <v>52.95</v>
      </c>
      <c r="K1141" s="3">
        <v>20</v>
      </c>
    </row>
    <row r="1142" spans="1:11" x14ac:dyDescent="0.35">
      <c r="A1142" s="2">
        <v>45761</v>
      </c>
      <c r="B1142" s="3">
        <v>134.847714</v>
      </c>
      <c r="C1142" s="4">
        <f t="shared" si="68"/>
        <v>-0.40180499999999597</v>
      </c>
      <c r="D1142" s="4">
        <f t="shared" si="66"/>
        <v>-13.638784000000015</v>
      </c>
      <c r="E1142" s="3">
        <v>52.95</v>
      </c>
      <c r="F1142" s="3">
        <v>20</v>
      </c>
      <c r="G1142" s="3">
        <v>141.97461799999999</v>
      </c>
      <c r="H1142" s="4">
        <f t="shared" si="69"/>
        <v>-0.56707399999999097</v>
      </c>
      <c r="I1142" s="4">
        <f t="shared" si="67"/>
        <v>-15.484390000000019</v>
      </c>
      <c r="J1142" s="3">
        <v>52.95</v>
      </c>
      <c r="K1142" s="3">
        <v>20</v>
      </c>
    </row>
    <row r="1143" spans="1:11" x14ac:dyDescent="0.35">
      <c r="A1143" s="2">
        <v>45768</v>
      </c>
      <c r="B1143" s="3">
        <v>134.26116099999999</v>
      </c>
      <c r="C1143" s="4">
        <f t="shared" si="68"/>
        <v>-0.58655300000000921</v>
      </c>
      <c r="D1143" s="4">
        <f t="shared" ref="D1143:D1206" si="70">B1143-B1091</f>
        <v>-14.953057999999999</v>
      </c>
      <c r="E1143" s="3">
        <v>52.95</v>
      </c>
      <c r="F1143" s="3">
        <v>20</v>
      </c>
      <c r="G1143" s="3">
        <v>141.44217399999999</v>
      </c>
      <c r="H1143" s="4">
        <f t="shared" si="69"/>
        <v>-0.53244399999999814</v>
      </c>
      <c r="I1143" s="4">
        <f t="shared" ref="I1143:I1206" si="71">G1143-G1091</f>
        <v>-16.54038700000001</v>
      </c>
      <c r="J1143" s="3">
        <v>52.95</v>
      </c>
      <c r="K1143" s="3">
        <v>20</v>
      </c>
    </row>
    <row r="1144" spans="1:11" x14ac:dyDescent="0.35">
      <c r="A1144" s="2">
        <v>45775</v>
      </c>
      <c r="B1144" s="3">
        <v>133.8357</v>
      </c>
      <c r="C1144" s="4">
        <f t="shared" si="68"/>
        <v>-0.42546099999998432</v>
      </c>
      <c r="D1144" s="4">
        <f t="shared" si="70"/>
        <v>-15.659178999999966</v>
      </c>
      <c r="E1144" s="3">
        <v>52.95</v>
      </c>
      <c r="F1144" s="3">
        <v>20</v>
      </c>
      <c r="G1144" s="3">
        <v>140.81097600000001</v>
      </c>
      <c r="H1144" s="4">
        <f t="shared" si="69"/>
        <v>-0.63119799999998349</v>
      </c>
      <c r="I1144" s="4">
        <f t="shared" si="71"/>
        <v>-17.166416999999996</v>
      </c>
      <c r="J1144" s="3">
        <v>52.95</v>
      </c>
      <c r="K1144" s="3">
        <v>20</v>
      </c>
    </row>
    <row r="1145" spans="1:11" x14ac:dyDescent="0.35">
      <c r="A1145" s="2">
        <v>45782</v>
      </c>
      <c r="B1145" s="3">
        <v>133.18171299999997</v>
      </c>
      <c r="C1145" s="4">
        <f t="shared" si="68"/>
        <v>-0.65398700000002918</v>
      </c>
      <c r="D1145" s="4">
        <f t="shared" si="70"/>
        <v>-16.362372000000022</v>
      </c>
      <c r="E1145" s="3">
        <v>52.95</v>
      </c>
      <c r="F1145" s="3">
        <v>20</v>
      </c>
      <c r="G1145" s="3">
        <v>140.05547999999999</v>
      </c>
      <c r="H1145" s="4">
        <f t="shared" si="69"/>
        <v>-0.75549600000002215</v>
      </c>
      <c r="I1145" s="4">
        <f t="shared" si="71"/>
        <v>-17.582463000000018</v>
      </c>
      <c r="J1145" s="3">
        <v>52.95</v>
      </c>
      <c r="K1145" s="3">
        <v>20</v>
      </c>
    </row>
    <row r="1146" spans="1:11" x14ac:dyDescent="0.35">
      <c r="A1146" s="2">
        <v>45789</v>
      </c>
      <c r="B1146" s="3">
        <v>132.31878399999999</v>
      </c>
      <c r="C1146" s="4">
        <f t="shared" si="68"/>
        <v>-0.86292899999997985</v>
      </c>
      <c r="D1146" s="4">
        <f t="shared" si="70"/>
        <v>-16.913164999999992</v>
      </c>
      <c r="E1146" s="3">
        <v>52.95</v>
      </c>
      <c r="F1146" s="3">
        <v>20</v>
      </c>
      <c r="G1146" s="3">
        <v>139.19787699999998</v>
      </c>
      <c r="H1146" s="4">
        <f t="shared" si="69"/>
        <v>-0.85760300000001166</v>
      </c>
      <c r="I1146" s="4">
        <f t="shared" si="71"/>
        <v>-17.882800000000003</v>
      </c>
      <c r="J1146" s="3">
        <v>52.95</v>
      </c>
      <c r="K1146" s="3">
        <v>20</v>
      </c>
    </row>
    <row r="1147" spans="1:11" x14ac:dyDescent="0.35">
      <c r="A1147" s="2">
        <v>45796</v>
      </c>
      <c r="B1147" s="3">
        <v>132.074648</v>
      </c>
      <c r="C1147" s="4">
        <f t="shared" si="68"/>
        <v>-0.24413599999999747</v>
      </c>
      <c r="D1147" s="4">
        <f t="shared" si="70"/>
        <v>-16.757780999999994</v>
      </c>
      <c r="E1147" s="3">
        <v>52.95</v>
      </c>
      <c r="F1147" s="3">
        <v>20</v>
      </c>
      <c r="G1147" s="3">
        <v>138.57350100000002</v>
      </c>
      <c r="H1147" s="4">
        <f t="shared" si="69"/>
        <v>-0.62437599999995541</v>
      </c>
      <c r="I1147" s="4">
        <f t="shared" si="71"/>
        <v>-17.637786999999975</v>
      </c>
      <c r="J1147" s="3">
        <v>52.95</v>
      </c>
      <c r="K1147" s="3">
        <v>20</v>
      </c>
    </row>
    <row r="1148" spans="1:11" x14ac:dyDescent="0.35">
      <c r="A1148" s="2">
        <v>45803</v>
      </c>
      <c r="B1148" s="3">
        <v>131.98617000000002</v>
      </c>
      <c r="C1148" s="4">
        <f t="shared" si="68"/>
        <v>-8.8477999999980739E-2</v>
      </c>
      <c r="D1148" s="4">
        <f t="shared" si="70"/>
        <v>-15.659751</v>
      </c>
      <c r="E1148" s="3">
        <v>52.95</v>
      </c>
      <c r="F1148" s="3">
        <v>20</v>
      </c>
      <c r="G1148" s="3">
        <v>138.367391</v>
      </c>
      <c r="H1148" s="4">
        <f t="shared" si="69"/>
        <v>-0.20611000000002377</v>
      </c>
      <c r="I1148" s="4">
        <f t="shared" si="71"/>
        <v>-15.937048000000004</v>
      </c>
      <c r="J1148" s="3">
        <v>52.95</v>
      </c>
      <c r="K1148" s="3">
        <v>20</v>
      </c>
    </row>
    <row r="1149" spans="1:11" x14ac:dyDescent="0.35">
      <c r="A1149" s="2">
        <v>45810</v>
      </c>
      <c r="B1149" s="3">
        <v>131.45446399999997</v>
      </c>
      <c r="C1149" s="4">
        <f t="shared" si="68"/>
        <v>-0.53170600000004242</v>
      </c>
      <c r="D1149" s="4">
        <f t="shared" si="70"/>
        <v>-15.81109600000002</v>
      </c>
      <c r="E1149" s="3">
        <v>52.95</v>
      </c>
      <c r="F1149" s="3">
        <v>20</v>
      </c>
      <c r="G1149" s="3">
        <v>138.08744300000001</v>
      </c>
      <c r="H1149" s="4">
        <f t="shared" si="69"/>
        <v>-0.27994799999999032</v>
      </c>
      <c r="I1149" s="4">
        <f t="shared" si="71"/>
        <v>-15.174323000000015</v>
      </c>
      <c r="J1149" s="3">
        <v>52.95</v>
      </c>
      <c r="K1149" s="3">
        <v>20</v>
      </c>
    </row>
    <row r="1150" spans="1:11" x14ac:dyDescent="0.35">
      <c r="A1150" s="2">
        <v>45817</v>
      </c>
      <c r="B1150" s="3">
        <v>131.347556</v>
      </c>
      <c r="C1150" s="4">
        <f t="shared" si="68"/>
        <v>-0.1069079999999758</v>
      </c>
      <c r="D1150" s="4">
        <f t="shared" si="70"/>
        <v>-14.903388000000007</v>
      </c>
      <c r="E1150" s="3">
        <v>52.95</v>
      </c>
      <c r="F1150" s="3">
        <v>20</v>
      </c>
      <c r="G1150" s="3">
        <v>137.53903200000002</v>
      </c>
      <c r="H1150" s="4">
        <f t="shared" si="69"/>
        <v>-0.54841099999998733</v>
      </c>
      <c r="I1150" s="4">
        <f t="shared" si="71"/>
        <v>-14.452602999999982</v>
      </c>
      <c r="J1150" s="3">
        <v>52.95</v>
      </c>
      <c r="K1150" s="3">
        <v>20</v>
      </c>
    </row>
    <row r="1151" spans="1:11" x14ac:dyDescent="0.35">
      <c r="A1151" s="2">
        <v>45824</v>
      </c>
      <c r="B1151" s="3">
        <v>131.39140800000001</v>
      </c>
      <c r="C1151" s="4">
        <f t="shared" si="68"/>
        <v>4.3852000000015323E-2</v>
      </c>
      <c r="D1151" s="4">
        <f t="shared" si="70"/>
        <v>-13.702643999999992</v>
      </c>
      <c r="E1151" s="3">
        <v>52.95</v>
      </c>
      <c r="F1151" s="3">
        <v>20</v>
      </c>
      <c r="G1151" s="3">
        <v>137.542314</v>
      </c>
      <c r="H1151" s="4">
        <f t="shared" si="69"/>
        <v>3.281999999984464E-3</v>
      </c>
      <c r="I1151" s="4">
        <f t="shared" si="71"/>
        <v>-13.161507999999969</v>
      </c>
      <c r="J1151" s="3">
        <v>52.95</v>
      </c>
      <c r="K1151" s="3">
        <v>20</v>
      </c>
    </row>
    <row r="1152" spans="1:11" x14ac:dyDescent="0.35">
      <c r="A1152" s="2">
        <v>45831</v>
      </c>
      <c r="B1152" s="3">
        <v>132.329373</v>
      </c>
      <c r="C1152" s="4">
        <f t="shared" si="68"/>
        <v>0.93796499999999128</v>
      </c>
      <c r="D1152" s="4">
        <f t="shared" si="70"/>
        <v>-12.105509999999981</v>
      </c>
      <c r="E1152" s="3">
        <v>52.95</v>
      </c>
      <c r="F1152" s="3">
        <v>20</v>
      </c>
      <c r="G1152" s="3">
        <v>139.02959200000001</v>
      </c>
      <c r="H1152" s="4">
        <f t="shared" si="69"/>
        <v>1.4872780000000034</v>
      </c>
      <c r="I1152" s="4">
        <f t="shared" si="71"/>
        <v>-11.087763999999964</v>
      </c>
      <c r="J1152" s="3">
        <v>52.95</v>
      </c>
      <c r="K1152" s="3">
        <v>20</v>
      </c>
    </row>
    <row r="1153" spans="1:11" x14ac:dyDescent="0.35">
      <c r="A1153" s="2">
        <v>45838</v>
      </c>
      <c r="B1153" s="3">
        <v>132.95441300000002</v>
      </c>
      <c r="C1153" s="4">
        <f t="shared" si="68"/>
        <v>0.6250400000000127</v>
      </c>
      <c r="D1153" s="4">
        <f t="shared" si="70"/>
        <v>-11.323533999999995</v>
      </c>
      <c r="E1153" s="3">
        <v>52.95</v>
      </c>
      <c r="F1153" s="3">
        <v>20</v>
      </c>
      <c r="G1153" s="3">
        <v>140.26409099999998</v>
      </c>
      <c r="H1153" s="4">
        <f t="shared" si="69"/>
        <v>1.2344989999999711</v>
      </c>
      <c r="I1153" s="4">
        <f t="shared" si="71"/>
        <v>-9.7955260000000237</v>
      </c>
      <c r="J1153" s="3">
        <v>52.95</v>
      </c>
      <c r="K1153" s="3">
        <v>20</v>
      </c>
    </row>
    <row r="1154" spans="1:11" x14ac:dyDescent="0.35">
      <c r="A1154" s="2">
        <v>45845</v>
      </c>
      <c r="B1154" s="3">
        <v>133.18821600000001</v>
      </c>
      <c r="C1154" s="4">
        <f t="shared" si="68"/>
        <v>0.23380299999999465</v>
      </c>
      <c r="D1154" s="4">
        <f t="shared" si="70"/>
        <v>-11.257021000000009</v>
      </c>
      <c r="E1154" s="3">
        <v>52.95</v>
      </c>
      <c r="F1154" s="3">
        <v>20</v>
      </c>
      <c r="G1154" s="3">
        <v>140.57684799999998</v>
      </c>
      <c r="H1154" s="4">
        <f t="shared" si="69"/>
        <v>0.31275700000000484</v>
      </c>
      <c r="I1154" s="4">
        <f t="shared" si="71"/>
        <v>-9.8167970000000082</v>
      </c>
      <c r="J1154" s="3">
        <v>52.95</v>
      </c>
      <c r="K1154" s="3">
        <v>20</v>
      </c>
    </row>
    <row r="1155" spans="1:11" x14ac:dyDescent="0.35">
      <c r="A1155" s="2">
        <v>45852</v>
      </c>
      <c r="B1155" s="3">
        <v>133.945447</v>
      </c>
      <c r="C1155" s="4">
        <f t="shared" ref="C1155:C1210" si="72">B1155-B1154</f>
        <v>0.75723099999999022</v>
      </c>
      <c r="D1155" s="4">
        <f t="shared" si="70"/>
        <v>-10.654519999999991</v>
      </c>
      <c r="E1155" s="3">
        <v>52.95</v>
      </c>
      <c r="F1155" s="3">
        <v>20</v>
      </c>
      <c r="G1155" s="3">
        <v>141.10385300000002</v>
      </c>
      <c r="H1155" s="4">
        <f t="shared" ref="H1155:H1210" si="73">G1155-G1154</f>
        <v>0.52700500000003103</v>
      </c>
      <c r="I1155" s="4">
        <f t="shared" si="71"/>
        <v>-9.4585739999999987</v>
      </c>
      <c r="J1155" s="3">
        <v>52.95</v>
      </c>
      <c r="K1155" s="3">
        <v>20</v>
      </c>
    </row>
    <row r="1156" spans="1:11" x14ac:dyDescent="0.35">
      <c r="A1156" s="2">
        <v>45859</v>
      </c>
      <c r="B1156" s="3">
        <v>134.09445300000002</v>
      </c>
      <c r="C1156" s="4">
        <f t="shared" si="72"/>
        <v>0.14900600000001418</v>
      </c>
      <c r="D1156" s="4">
        <f t="shared" si="70"/>
        <v>-10.593119000000002</v>
      </c>
      <c r="E1156" s="3">
        <v>52.95</v>
      </c>
      <c r="F1156" s="3">
        <v>20</v>
      </c>
      <c r="G1156" s="3">
        <v>141.850977</v>
      </c>
      <c r="H1156" s="4">
        <f t="shared" si="73"/>
        <v>0.74712399999998524</v>
      </c>
      <c r="I1156" s="4">
        <f t="shared" si="71"/>
        <v>-8.74088500000002</v>
      </c>
      <c r="J1156" s="3">
        <v>52.95</v>
      </c>
      <c r="K1156" s="3">
        <v>20</v>
      </c>
    </row>
    <row r="1157" spans="1:11" x14ac:dyDescent="0.35">
      <c r="A1157" s="2">
        <v>45866</v>
      </c>
      <c r="B1157" s="3">
        <v>134.243922</v>
      </c>
      <c r="C1157" s="4">
        <f t="shared" si="72"/>
        <v>0.14946899999998209</v>
      </c>
      <c r="D1157" s="4">
        <f t="shared" si="70"/>
        <v>-9.9471350000000029</v>
      </c>
      <c r="E1157" s="3">
        <v>52.95</v>
      </c>
      <c r="F1157" s="3">
        <v>20</v>
      </c>
      <c r="G1157" s="3">
        <v>142.00014199999998</v>
      </c>
      <c r="H1157" s="4">
        <f t="shared" si="73"/>
        <v>0.14916499999998223</v>
      </c>
      <c r="I1157" s="4">
        <f t="shared" si="71"/>
        <v>-8.1564250000000129</v>
      </c>
      <c r="J1157" s="3">
        <v>52.95</v>
      </c>
      <c r="K1157" s="3">
        <v>20</v>
      </c>
    </row>
    <row r="1158" spans="1:11" x14ac:dyDescent="0.35">
      <c r="A1158" s="2">
        <v>45873</v>
      </c>
      <c r="B1158" s="3">
        <v>134.29653199999998</v>
      </c>
      <c r="C1158" s="4">
        <f t="shared" si="72"/>
        <v>5.2609999999987167E-2</v>
      </c>
      <c r="D1158" s="4">
        <f t="shared" si="70"/>
        <v>-9.1278980000000161</v>
      </c>
      <c r="E1158" s="3">
        <v>52.95</v>
      </c>
      <c r="F1158" s="3">
        <v>20</v>
      </c>
      <c r="G1158" s="3">
        <v>142.130449</v>
      </c>
      <c r="H1158" s="4">
        <f t="shared" si="73"/>
        <v>0.13030700000001616</v>
      </c>
      <c r="I1158" s="4">
        <f t="shared" si="71"/>
        <v>-6.9681510000000344</v>
      </c>
      <c r="J1158" s="3">
        <v>52.95</v>
      </c>
      <c r="K1158" s="3">
        <v>20</v>
      </c>
    </row>
    <row r="1159" spans="1:11" x14ac:dyDescent="0.35">
      <c r="A1159" s="2">
        <v>45880</v>
      </c>
      <c r="B1159" s="3">
        <v>134.38629299999999</v>
      </c>
      <c r="C1159" s="4">
        <f t="shared" si="72"/>
        <v>8.9761000000009972E-2</v>
      </c>
      <c r="D1159" s="4">
        <f t="shared" si="70"/>
        <v>-8.5267680000000325</v>
      </c>
      <c r="E1159" s="3">
        <v>52.95</v>
      </c>
      <c r="F1159" s="3">
        <v>20</v>
      </c>
      <c r="G1159" s="3">
        <v>142.48968600000001</v>
      </c>
      <c r="H1159" s="4">
        <f t="shared" si="73"/>
        <v>0.35923700000000736</v>
      </c>
      <c r="I1159" s="4">
        <f t="shared" si="71"/>
        <v>-5.9891299999999887</v>
      </c>
      <c r="J1159" s="3">
        <v>52.95</v>
      </c>
      <c r="K1159" s="3">
        <v>20</v>
      </c>
    </row>
    <row r="1160" spans="1:11" x14ac:dyDescent="0.35">
      <c r="A1160" s="2">
        <v>45887</v>
      </c>
      <c r="B1160" s="3">
        <v>134.30053199999998</v>
      </c>
      <c r="C1160" s="4">
        <f t="shared" si="72"/>
        <v>-8.5761000000019294E-2</v>
      </c>
      <c r="D1160" s="4">
        <f t="shared" si="70"/>
        <v>-7.6592440000000295</v>
      </c>
      <c r="E1160" s="3">
        <v>52.95</v>
      </c>
      <c r="F1160" s="3">
        <v>20</v>
      </c>
      <c r="G1160" s="3">
        <v>142.16559099999998</v>
      </c>
      <c r="H1160" s="4">
        <f t="shared" si="73"/>
        <v>-0.32409500000002822</v>
      </c>
      <c r="I1160" s="4">
        <f t="shared" si="71"/>
        <v>-5.2584670000000244</v>
      </c>
      <c r="J1160" s="3">
        <v>52.95</v>
      </c>
      <c r="K1160" s="3">
        <v>20</v>
      </c>
    </row>
    <row r="1161" spans="1:11" x14ac:dyDescent="0.35">
      <c r="A1161" s="2">
        <v>45894</v>
      </c>
      <c r="B1161" s="3">
        <v>133.91452700000002</v>
      </c>
      <c r="C1161" s="4">
        <f t="shared" si="72"/>
        <v>-0.38600499999995463</v>
      </c>
      <c r="D1161" s="4">
        <f t="shared" si="70"/>
        <v>-7.0951719999999625</v>
      </c>
      <c r="E1161" s="3">
        <v>52.95</v>
      </c>
      <c r="F1161" s="3">
        <v>20</v>
      </c>
      <c r="G1161" s="3">
        <v>141.917306</v>
      </c>
      <c r="H1161" s="4">
        <f t="shared" si="73"/>
        <v>-0.24828499999998144</v>
      </c>
      <c r="I1161" s="4">
        <f t="shared" si="71"/>
        <v>-4.2295070000000408</v>
      </c>
      <c r="J1161" s="3">
        <v>52.95</v>
      </c>
      <c r="K1161" s="3">
        <v>20</v>
      </c>
    </row>
    <row r="1162" spans="1:11" x14ac:dyDescent="0.35">
      <c r="A1162" s="2">
        <v>45901</v>
      </c>
      <c r="B1162" s="3">
        <v>133.860963</v>
      </c>
      <c r="C1162" s="4">
        <f t="shared" si="72"/>
        <v>-5.3564000000022816E-2</v>
      </c>
      <c r="D1162" s="4">
        <f t="shared" si="70"/>
        <v>-6.1003670000000056</v>
      </c>
      <c r="E1162" s="3">
        <v>52.95</v>
      </c>
      <c r="F1162" s="3">
        <v>20</v>
      </c>
      <c r="G1162" s="3">
        <v>141.65410799999998</v>
      </c>
      <c r="H1162" s="4">
        <f t="shared" si="73"/>
        <v>-0.26319800000001692</v>
      </c>
      <c r="I1162" s="4">
        <f t="shared" si="71"/>
        <v>-3.5344460000000311</v>
      </c>
      <c r="J1162" s="3">
        <v>52.95</v>
      </c>
      <c r="K1162" s="3">
        <v>20</v>
      </c>
    </row>
    <row r="1163" spans="1:11" x14ac:dyDescent="0.35">
      <c r="A1163" s="2">
        <v>45908</v>
      </c>
      <c r="B1163" s="3">
        <v>133.724233</v>
      </c>
      <c r="C1163" s="4">
        <f t="shared" si="72"/>
        <v>-0.13673000000000002</v>
      </c>
      <c r="D1163" s="4">
        <f t="shared" si="70"/>
        <v>-4.3762839999999983</v>
      </c>
      <c r="E1163" s="3">
        <v>52.95</v>
      </c>
      <c r="F1163" s="3">
        <v>20</v>
      </c>
      <c r="G1163" s="3">
        <v>141.58071000000001</v>
      </c>
      <c r="H1163" s="4">
        <f t="shared" si="73"/>
        <v>-7.3397999999968988E-2</v>
      </c>
      <c r="I1163" s="4">
        <f t="shared" si="71"/>
        <v>-1.8199940000000083</v>
      </c>
      <c r="J1163" s="3">
        <v>52.95</v>
      </c>
      <c r="K1163" s="3">
        <v>20</v>
      </c>
    </row>
    <row r="1164" spans="1:11" x14ac:dyDescent="0.35">
      <c r="A1164" s="2">
        <v>45915</v>
      </c>
      <c r="B1164" s="3">
        <v>133.812353</v>
      </c>
      <c r="C1164" s="4">
        <f t="shared" si="72"/>
        <v>8.8120000000003529E-2</v>
      </c>
      <c r="D1164" s="4">
        <f t="shared" si="70"/>
        <v>-2.6735529999999983</v>
      </c>
      <c r="E1164" s="3">
        <v>52.95</v>
      </c>
      <c r="F1164" s="3">
        <v>20</v>
      </c>
      <c r="G1164" s="3">
        <v>141.68569500000001</v>
      </c>
      <c r="H1164" s="4">
        <f t="shared" si="73"/>
        <v>0.10498499999999922</v>
      </c>
      <c r="I1164" s="4">
        <f t="shared" si="71"/>
        <v>7.9585000000037098E-2</v>
      </c>
      <c r="J1164" s="3">
        <v>52.95</v>
      </c>
      <c r="K1164" s="3">
        <v>20</v>
      </c>
    </row>
    <row r="1165" spans="1:11" x14ac:dyDescent="0.35">
      <c r="A1165" s="2">
        <v>45922</v>
      </c>
      <c r="B1165" s="3">
        <v>134.14521299999998</v>
      </c>
      <c r="C1165" s="4">
        <f t="shared" si="72"/>
        <v>0.33285999999998239</v>
      </c>
      <c r="D1165" s="4">
        <f t="shared" si="70"/>
        <v>-1.1141390000000229</v>
      </c>
      <c r="E1165" s="3">
        <v>52.95</v>
      </c>
      <c r="F1165" s="3">
        <v>20</v>
      </c>
      <c r="G1165" s="3">
        <v>142.024261</v>
      </c>
      <c r="H1165" s="4">
        <f t="shared" si="73"/>
        <v>0.33856599999998593</v>
      </c>
      <c r="I1165" s="4">
        <f t="shared" si="71"/>
        <v>2.0060450000000003</v>
      </c>
      <c r="J1165" s="3">
        <v>52.95</v>
      </c>
      <c r="K1165" s="3">
        <v>20</v>
      </c>
    </row>
    <row r="1166" spans="1:11" x14ac:dyDescent="0.35">
      <c r="A1166" s="2">
        <v>45929</v>
      </c>
      <c r="B1166" s="3">
        <v>134.36203600000002</v>
      </c>
      <c r="C1166" s="4">
        <f t="shared" si="72"/>
        <v>0.21682300000003352</v>
      </c>
      <c r="D1166" s="4">
        <f t="shared" si="70"/>
        <v>0.19581900000002861</v>
      </c>
      <c r="E1166" s="3">
        <v>52.95</v>
      </c>
      <c r="F1166" s="3">
        <v>20</v>
      </c>
      <c r="G1166" s="3">
        <v>142.23597000000001</v>
      </c>
      <c r="H1166" s="4">
        <f t="shared" si="73"/>
        <v>0.21170900000001325</v>
      </c>
      <c r="I1166" s="4">
        <f t="shared" si="71"/>
        <v>3.3829760000000135</v>
      </c>
      <c r="J1166" s="3">
        <v>52.95</v>
      </c>
      <c r="K1166" s="3">
        <v>20</v>
      </c>
    </row>
    <row r="1167" spans="1:11" x14ac:dyDescent="0.35">
      <c r="A1167" s="2">
        <v>45936</v>
      </c>
      <c r="B1167" s="3">
        <v>134.76431600000001</v>
      </c>
      <c r="C1167" s="4">
        <f t="shared" si="72"/>
        <v>0.40227999999999042</v>
      </c>
      <c r="D1167" s="4">
        <f t="shared" si="70"/>
        <v>1.1781000000000006</v>
      </c>
      <c r="E1167" s="3">
        <v>52.95</v>
      </c>
      <c r="F1167" s="3">
        <v>20</v>
      </c>
      <c r="G1167" s="3">
        <v>142.917157</v>
      </c>
      <c r="H1167" s="4">
        <f t="shared" si="73"/>
        <v>0.68118699999999421</v>
      </c>
      <c r="I1167" s="4">
        <f t="shared" si="71"/>
        <v>4.4537910000000238</v>
      </c>
      <c r="J1167" s="3">
        <v>52.95</v>
      </c>
      <c r="K1167" s="3">
        <v>20</v>
      </c>
    </row>
    <row r="1168" spans="1:11" x14ac:dyDescent="0.35">
      <c r="A1168" s="2">
        <v>45943</v>
      </c>
      <c r="B1168" s="3">
        <v>134.81126799999998</v>
      </c>
      <c r="C1168" s="4">
        <f t="shared" si="72"/>
        <v>4.6951999999976124E-2</v>
      </c>
      <c r="D1168" s="4">
        <f t="shared" si="70"/>
        <v>0.95000699999999938</v>
      </c>
      <c r="E1168" s="3">
        <v>52.95</v>
      </c>
      <c r="F1168" s="3">
        <v>20</v>
      </c>
      <c r="G1168" s="3">
        <v>142.98682199999999</v>
      </c>
      <c r="H1168" s="4">
        <f t="shared" si="73"/>
        <v>6.9664999999986321E-2</v>
      </c>
      <c r="I1168" s="4">
        <f t="shared" si="71"/>
        <v>3.911627999999979</v>
      </c>
      <c r="J1168" s="3">
        <v>52.95</v>
      </c>
      <c r="K1168" s="3">
        <v>20</v>
      </c>
    </row>
    <row r="1169" spans="1:11" x14ac:dyDescent="0.35">
      <c r="A1169" s="2">
        <v>45950</v>
      </c>
      <c r="B1169" s="3">
        <v>134.69223</v>
      </c>
      <c r="C1169" s="4">
        <f t="shared" si="72"/>
        <v>-0.1190379999999891</v>
      </c>
      <c r="D1169" s="4">
        <f t="shared" si="70"/>
        <v>0.70396399999998494</v>
      </c>
      <c r="E1169" s="3">
        <v>52.95</v>
      </c>
      <c r="F1169" s="3">
        <v>20</v>
      </c>
      <c r="G1169" s="3">
        <v>142.81489199999999</v>
      </c>
      <c r="H1169" s="4">
        <f t="shared" si="73"/>
        <v>-0.17193000000000325</v>
      </c>
      <c r="I1169" s="4">
        <f t="shared" si="71"/>
        <v>3.5539249999999925</v>
      </c>
      <c r="J1169" s="3">
        <v>52.95</v>
      </c>
      <c r="K1169" s="3">
        <v>20</v>
      </c>
    </row>
    <row r="1170" spans="1:11" x14ac:dyDescent="0.35">
      <c r="A1170" s="2">
        <v>45957</v>
      </c>
      <c r="B1170" s="3">
        <v>134.40487300000001</v>
      </c>
      <c r="C1170" s="4">
        <f t="shared" si="72"/>
        <v>-0.28735699999998587</v>
      </c>
      <c r="D1170" s="4">
        <f t="shared" si="70"/>
        <v>-8.4579999999903066E-3</v>
      </c>
      <c r="E1170" s="3">
        <v>52.95</v>
      </c>
      <c r="F1170" s="3">
        <v>20</v>
      </c>
      <c r="G1170" s="3">
        <v>142.37860900000001</v>
      </c>
      <c r="H1170" s="4">
        <f t="shared" si="73"/>
        <v>-0.43628299999997466</v>
      </c>
      <c r="I1170" s="4">
        <f t="shared" si="71"/>
        <v>2.6688640000000134</v>
      </c>
      <c r="J1170" s="3">
        <v>52.95</v>
      </c>
      <c r="K1170" s="3">
        <v>20</v>
      </c>
    </row>
    <row r="1171" spans="1:11" x14ac:dyDescent="0.35">
      <c r="A1171" s="2">
        <v>45964</v>
      </c>
      <c r="B1171" s="3">
        <v>134.38128799999998</v>
      </c>
      <c r="C1171" s="4">
        <f t="shared" si="72"/>
        <v>-2.3585000000025502E-2</v>
      </c>
      <c r="D1171" s="4">
        <f t="shared" si="70"/>
        <v>-2.9014000000017859E-2</v>
      </c>
      <c r="E1171" s="3">
        <v>52.95</v>
      </c>
      <c r="F1171" s="3">
        <v>20</v>
      </c>
      <c r="G1171" s="3">
        <v>142.60810999999998</v>
      </c>
      <c r="H1171" s="4">
        <f t="shared" si="73"/>
        <v>0.22950099999997065</v>
      </c>
      <c r="I1171" s="4">
        <f t="shared" si="71"/>
        <v>2.7641519999999957</v>
      </c>
      <c r="J1171" s="3">
        <v>52.95</v>
      </c>
      <c r="K1171" s="3">
        <v>20</v>
      </c>
    </row>
    <row r="1172" spans="1:11" x14ac:dyDescent="0.35">
      <c r="A1172" s="2">
        <v>45971</v>
      </c>
      <c r="B1172" s="3">
        <v>134.64813899999999</v>
      </c>
      <c r="C1172" s="4">
        <f t="shared" si="72"/>
        <v>0.26685100000000261</v>
      </c>
      <c r="D1172" s="4">
        <f t="shared" si="70"/>
        <v>5.3478999999981625E-2</v>
      </c>
      <c r="E1172" s="3">
        <v>52.95</v>
      </c>
      <c r="F1172" s="3">
        <v>20</v>
      </c>
      <c r="G1172" s="3">
        <v>143.30982399999999</v>
      </c>
      <c r="H1172" s="4">
        <f t="shared" si="73"/>
        <v>0.70171400000000972</v>
      </c>
      <c r="I1172" s="4">
        <f t="shared" si="71"/>
        <v>3.1756009999999719</v>
      </c>
      <c r="J1172" s="3">
        <v>52.95</v>
      </c>
      <c r="K1172" s="3">
        <v>20</v>
      </c>
    </row>
    <row r="1173" spans="1:11" x14ac:dyDescent="0.35">
      <c r="A1173" s="2">
        <v>45978</v>
      </c>
      <c r="B1173" s="3">
        <v>135.07288800000001</v>
      </c>
      <c r="C1173" s="4">
        <f t="shared" si="72"/>
        <v>0.42474900000001981</v>
      </c>
      <c r="D1173" s="4">
        <f t="shared" si="70"/>
        <v>0.22445600000000354</v>
      </c>
      <c r="E1173" s="3">
        <v>52.95</v>
      </c>
      <c r="F1173" s="3">
        <v>20</v>
      </c>
      <c r="G1173" s="3">
        <v>143.97318100000001</v>
      </c>
      <c r="H1173" s="4">
        <f t="shared" si="73"/>
        <v>0.66335700000001907</v>
      </c>
      <c r="I1173" s="4">
        <f t="shared" si="71"/>
        <v>3.4858020000000352</v>
      </c>
      <c r="J1173" s="3">
        <v>52.95</v>
      </c>
      <c r="K1173" s="3">
        <v>20</v>
      </c>
    </row>
    <row r="1174" spans="1:11" x14ac:dyDescent="0.35">
      <c r="A1174" s="2">
        <v>45985</v>
      </c>
      <c r="B1174" s="3">
        <v>136.07401099999998</v>
      </c>
      <c r="C1174" s="4">
        <f t="shared" si="72"/>
        <v>1.0011229999999784</v>
      </c>
      <c r="D1174" s="4">
        <f t="shared" si="70"/>
        <v>0.70805099999998333</v>
      </c>
      <c r="E1174" s="3">
        <v>52.95</v>
      </c>
      <c r="F1174" s="3">
        <v>20</v>
      </c>
      <c r="G1174" s="3">
        <v>145.39935000000003</v>
      </c>
      <c r="H1174" s="4">
        <f t="shared" si="73"/>
        <v>1.4261690000000158</v>
      </c>
      <c r="I1174" s="4">
        <f t="shared" si="71"/>
        <v>3.9945100000000195</v>
      </c>
      <c r="J1174" s="3">
        <v>52.95</v>
      </c>
      <c r="K1174" s="3">
        <v>20</v>
      </c>
    </row>
    <row r="1175" spans="1:11" x14ac:dyDescent="0.35">
      <c r="A1175" s="2">
        <v>45992</v>
      </c>
      <c r="B1175" s="3">
        <v>136.61131399999999</v>
      </c>
      <c r="C1175" s="4">
        <f t="shared" si="72"/>
        <v>0.53730300000000852</v>
      </c>
      <c r="D1175" s="4">
        <f t="shared" si="70"/>
        <v>0.68547300000000178</v>
      </c>
      <c r="E1175" s="3">
        <v>52.95</v>
      </c>
      <c r="F1175" s="3">
        <v>20</v>
      </c>
      <c r="G1175" s="3">
        <v>146.19905800000001</v>
      </c>
      <c r="H1175" s="4">
        <f t="shared" si="73"/>
        <v>0.79970799999998121</v>
      </c>
      <c r="I1175" s="4">
        <f t="shared" si="71"/>
        <v>4.1589130000000409</v>
      </c>
      <c r="J1175" s="3">
        <v>52.95</v>
      </c>
      <c r="K1175" s="3">
        <v>20</v>
      </c>
    </row>
    <row r="1176" spans="1:11" x14ac:dyDescent="0.35">
      <c r="A1176" s="2">
        <v>45999</v>
      </c>
      <c r="B1176" s="3">
        <v>136.67733200000001</v>
      </c>
      <c r="C1176" s="4">
        <f t="shared" si="72"/>
        <v>6.6018000000013899E-2</v>
      </c>
      <c r="D1176" s="4">
        <f t="shared" si="70"/>
        <v>0.45088200000000711</v>
      </c>
      <c r="E1176" s="3">
        <v>52.95</v>
      </c>
      <c r="F1176" s="3">
        <v>20</v>
      </c>
      <c r="G1176" s="3">
        <v>146.23381900000001</v>
      </c>
      <c r="H1176" s="4">
        <f t="shared" si="73"/>
        <v>3.476100000000315E-2</v>
      </c>
      <c r="I1176" s="4">
        <f t="shared" si="71"/>
        <v>3.746532000000002</v>
      </c>
      <c r="J1176" s="3">
        <v>52.95</v>
      </c>
      <c r="K1176" s="3">
        <v>20</v>
      </c>
    </row>
    <row r="1177" spans="1:11" x14ac:dyDescent="0.35">
      <c r="A1177" s="2">
        <v>46006</v>
      </c>
      <c r="B1177" s="3">
        <v>136.83113299999999</v>
      </c>
      <c r="C1177" s="4">
        <f t="shared" si="72"/>
        <v>0.1538009999999872</v>
      </c>
      <c r="D1177" s="4">
        <f t="shared" si="70"/>
        <v>0.43985200000000191</v>
      </c>
      <c r="E1177" s="3">
        <v>52.95</v>
      </c>
      <c r="F1177" s="3">
        <v>20</v>
      </c>
      <c r="G1177" s="3">
        <v>146.14285699999999</v>
      </c>
      <c r="H1177" s="4">
        <f t="shared" si="73"/>
        <v>-9.0962000000018861E-2</v>
      </c>
      <c r="I1177" s="4">
        <f t="shared" si="71"/>
        <v>3.4337419999999668</v>
      </c>
      <c r="J1177" s="3">
        <v>52.95</v>
      </c>
      <c r="K1177" s="3">
        <v>20</v>
      </c>
    </row>
    <row r="1178" spans="1:11" x14ac:dyDescent="0.35">
      <c r="A1178" s="2">
        <v>46013</v>
      </c>
      <c r="B1178" s="3">
        <v>136.22822000000002</v>
      </c>
      <c r="C1178" s="4">
        <f t="shared" si="72"/>
        <v>-0.6029129999999725</v>
      </c>
      <c r="D1178" s="4">
        <f t="shared" si="70"/>
        <v>-0.15680899999998132</v>
      </c>
      <c r="E1178" s="3">
        <v>52.95</v>
      </c>
      <c r="F1178" s="3">
        <v>20</v>
      </c>
      <c r="G1178" s="3">
        <v>145.44801899999999</v>
      </c>
      <c r="H1178" s="4">
        <f t="shared" si="73"/>
        <v>-0.69483800000000429</v>
      </c>
      <c r="I1178" s="4">
        <f t="shared" si="71"/>
        <v>2.5999459999999885</v>
      </c>
      <c r="J1178" s="3">
        <v>52.95</v>
      </c>
      <c r="K1178" s="3">
        <v>20</v>
      </c>
    </row>
    <row r="1179" spans="1:11" x14ac:dyDescent="0.35">
      <c r="A1179" s="2">
        <v>46020</v>
      </c>
      <c r="B1179" s="3">
        <v>135.338199</v>
      </c>
      <c r="C1179" s="4">
        <f t="shared" si="72"/>
        <v>-0.8900210000000186</v>
      </c>
      <c r="D1179" s="4">
        <f t="shared" si="70"/>
        <v>-1.1531090000000006</v>
      </c>
      <c r="E1179" s="3">
        <v>52.95</v>
      </c>
      <c r="F1179" s="3">
        <v>20</v>
      </c>
      <c r="G1179" s="3">
        <v>144.58739800000001</v>
      </c>
      <c r="H1179" s="4">
        <f t="shared" si="73"/>
        <v>-0.86062099999998054</v>
      </c>
      <c r="I1179" s="4">
        <f t="shared" si="71"/>
        <v>1.6063810000000274</v>
      </c>
      <c r="J1179" s="3">
        <v>52.95</v>
      </c>
      <c r="K1179" s="3">
        <v>20</v>
      </c>
    </row>
    <row r="1180" spans="1:11" x14ac:dyDescent="0.35">
      <c r="A1180" s="2">
        <v>46027</v>
      </c>
      <c r="B1180" s="3">
        <v>134.89606800000001</v>
      </c>
      <c r="C1180" s="4">
        <f t="shared" si="72"/>
        <v>-0.44213099999998917</v>
      </c>
      <c r="D1180" s="4">
        <f t="shared" si="70"/>
        <v>-1.707178999999968</v>
      </c>
      <c r="E1180" s="3">
        <v>52.95</v>
      </c>
      <c r="F1180" s="3">
        <v>20</v>
      </c>
      <c r="G1180" s="3">
        <v>144.18756299999998</v>
      </c>
      <c r="H1180" s="4">
        <f t="shared" si="73"/>
        <v>-0.39983500000002437</v>
      </c>
      <c r="I1180" s="4">
        <f t="shared" si="71"/>
        <v>0.89232099999998127</v>
      </c>
      <c r="J1180" s="3">
        <v>52.95</v>
      </c>
      <c r="K1180" s="3">
        <v>20</v>
      </c>
    </row>
    <row r="1181" spans="1:11" x14ac:dyDescent="0.35">
      <c r="A1181" s="2">
        <v>46034</v>
      </c>
      <c r="B1181" s="3">
        <v>133.43266399999999</v>
      </c>
      <c r="C1181" s="4">
        <f t="shared" si="72"/>
        <v>-1.4634040000000255</v>
      </c>
      <c r="D1181" s="4">
        <f t="shared" si="70"/>
        <v>-3.077321000000012</v>
      </c>
      <c r="E1181" s="3">
        <v>52.95</v>
      </c>
      <c r="F1181" s="3">
        <v>20</v>
      </c>
      <c r="G1181" s="3">
        <v>142.62878900000001</v>
      </c>
      <c r="H1181" s="4">
        <f t="shared" si="73"/>
        <v>-1.5587739999999712</v>
      </c>
      <c r="I1181" s="4">
        <f t="shared" si="71"/>
        <v>-0.699641999999983</v>
      </c>
      <c r="J1181" s="3">
        <v>52.95</v>
      </c>
      <c r="K1181" s="3">
        <v>20</v>
      </c>
    </row>
    <row r="1182" spans="1:11" x14ac:dyDescent="0.35">
      <c r="A1182" s="2">
        <v>46041</v>
      </c>
      <c r="B1182" s="3">
        <v>132.639636</v>
      </c>
      <c r="C1182" s="4">
        <f t="shared" si="72"/>
        <v>-0.79302799999999252</v>
      </c>
      <c r="D1182" s="4">
        <f t="shared" si="70"/>
        <v>-4.3294139999999857</v>
      </c>
      <c r="E1182" s="3">
        <v>52.95</v>
      </c>
      <c r="F1182" s="3">
        <v>20</v>
      </c>
      <c r="G1182" s="3">
        <v>141.81531200000001</v>
      </c>
      <c r="H1182" s="4">
        <f t="shared" si="73"/>
        <v>-0.813477000000006</v>
      </c>
      <c r="I1182" s="4">
        <f t="shared" si="71"/>
        <v>-2.4521889999999757</v>
      </c>
      <c r="J1182" s="3">
        <v>52.95</v>
      </c>
      <c r="K1182" s="3">
        <v>20</v>
      </c>
    </row>
    <row r="1183" spans="1:11" x14ac:dyDescent="0.35">
      <c r="A1183" s="2">
        <v>46048</v>
      </c>
      <c r="B1183" s="3">
        <v>131.99566799999999</v>
      </c>
      <c r="C1183" s="4">
        <f t="shared" si="72"/>
        <v>-0.64396800000000098</v>
      </c>
      <c r="D1183" s="4">
        <f t="shared" si="70"/>
        <v>-6.3672969999999793</v>
      </c>
      <c r="E1183" s="3">
        <v>52.95</v>
      </c>
      <c r="F1183" s="3">
        <v>20</v>
      </c>
      <c r="G1183" s="3">
        <v>141.25736000000001</v>
      </c>
      <c r="H1183" s="4">
        <f t="shared" si="73"/>
        <v>-0.55795200000000023</v>
      </c>
      <c r="I1183" s="4">
        <f t="shared" si="71"/>
        <v>-4.3174329999999941</v>
      </c>
      <c r="J1183" s="3">
        <v>52.95</v>
      </c>
      <c r="K1183" s="3">
        <v>20</v>
      </c>
    </row>
    <row r="1184" spans="1:11" x14ac:dyDescent="0.35">
      <c r="A1184" s="2">
        <v>46055</v>
      </c>
      <c r="B1184" s="3">
        <v>131.62345400000001</v>
      </c>
      <c r="C1184" s="4">
        <f t="shared" si="72"/>
        <v>-0.37221399999998539</v>
      </c>
      <c r="D1184" s="4">
        <f t="shared" si="70"/>
        <v>-7.1179569999999899</v>
      </c>
      <c r="E1184" s="3">
        <v>52.95</v>
      </c>
      <c r="F1184" s="3">
        <v>20</v>
      </c>
      <c r="G1184" s="3">
        <v>140.81647099999998</v>
      </c>
      <c r="H1184" s="4">
        <f t="shared" si="73"/>
        <v>-0.44088900000002695</v>
      </c>
      <c r="I1184" s="4">
        <f t="shared" si="71"/>
        <v>-5.3144030000000271</v>
      </c>
      <c r="J1184" s="3">
        <v>52.95</v>
      </c>
      <c r="K1184" s="3">
        <v>20</v>
      </c>
    </row>
    <row r="1185" spans="1:11" x14ac:dyDescent="0.35">
      <c r="A1185" s="2">
        <v>46062</v>
      </c>
      <c r="B1185" s="3">
        <v>131.46178999999998</v>
      </c>
      <c r="C1185" s="4">
        <f t="shared" si="72"/>
        <v>-0.16166400000003023</v>
      </c>
      <c r="D1185" s="4">
        <f t="shared" si="70"/>
        <v>-7.5598690000000204</v>
      </c>
      <c r="E1185" s="3">
        <v>52.95</v>
      </c>
      <c r="F1185" s="3">
        <v>20</v>
      </c>
      <c r="G1185" s="3">
        <v>140.72389400000003</v>
      </c>
      <c r="H1185" s="4">
        <f t="shared" si="73"/>
        <v>-9.2576999999948839E-2</v>
      </c>
      <c r="I1185" s="4">
        <f t="shared" si="71"/>
        <v>-5.569437999999991</v>
      </c>
      <c r="J1185" s="3">
        <v>52.95</v>
      </c>
      <c r="K1185" s="3">
        <v>20</v>
      </c>
    </row>
    <row r="1186" spans="1:11" x14ac:dyDescent="0.35">
      <c r="A1186" s="2">
        <v>46069</v>
      </c>
      <c r="B1186" s="3">
        <v>131.597407</v>
      </c>
      <c r="C1186" s="4">
        <f t="shared" si="72"/>
        <v>0.13561700000002475</v>
      </c>
      <c r="D1186" s="4">
        <f t="shared" si="70"/>
        <v>-7.6201719999999966</v>
      </c>
      <c r="E1186" s="3">
        <v>52.95</v>
      </c>
      <c r="F1186" s="3">
        <v>20</v>
      </c>
      <c r="G1186" s="3">
        <v>141.45736099999999</v>
      </c>
      <c r="H1186" s="4">
        <f t="shared" si="73"/>
        <v>0.7334669999999619</v>
      </c>
      <c r="I1186" s="4">
        <f t="shared" si="71"/>
        <v>-4.9903570000000173</v>
      </c>
      <c r="J1186" s="3">
        <v>52.95</v>
      </c>
      <c r="K1186" s="3">
        <v>20</v>
      </c>
    </row>
    <row r="1187" spans="1:11" x14ac:dyDescent="0.35">
      <c r="A1187" s="2">
        <v>46076</v>
      </c>
      <c r="B1187" s="3">
        <v>131.70702400000002</v>
      </c>
      <c r="C1187" s="4">
        <f t="shared" si="72"/>
        <v>0.10961700000001429</v>
      </c>
      <c r="D1187" s="4">
        <f t="shared" si="70"/>
        <v>-7.9152139999999633</v>
      </c>
      <c r="E1187" s="3">
        <v>52.95</v>
      </c>
      <c r="F1187" s="3">
        <v>20</v>
      </c>
      <c r="G1187" s="3">
        <v>141.455443</v>
      </c>
      <c r="H1187" s="4">
        <f t="shared" si="73"/>
        <v>-1.9179999999892061E-3</v>
      </c>
      <c r="I1187" s="4">
        <f t="shared" si="71"/>
        <v>-5.366484000000014</v>
      </c>
      <c r="J1187" s="3">
        <v>52.95</v>
      </c>
      <c r="K1187" s="3">
        <v>20</v>
      </c>
    </row>
    <row r="1188" spans="1:11" x14ac:dyDescent="0.35">
      <c r="A1188" s="2">
        <v>46083</v>
      </c>
      <c r="B1188" s="3">
        <v>132.13817599999999</v>
      </c>
      <c r="C1188" s="4">
        <f t="shared" si="72"/>
        <v>0.43115199999996889</v>
      </c>
      <c r="D1188" s="4">
        <f t="shared" si="70"/>
        <v>-7.4743070000000102</v>
      </c>
      <c r="E1188" s="3">
        <v>52.95</v>
      </c>
      <c r="F1188" s="3">
        <v>20</v>
      </c>
      <c r="G1188" s="3">
        <v>142.14869900000002</v>
      </c>
      <c r="H1188" s="4">
        <f t="shared" si="73"/>
        <v>0.69325600000001941</v>
      </c>
      <c r="I1188" s="4">
        <f t="shared" si="71"/>
        <v>-4.7353279999999813</v>
      </c>
      <c r="J1188" s="3">
        <v>52.95</v>
      </c>
      <c r="K1188" s="3">
        <v>20</v>
      </c>
    </row>
    <row r="1189" spans="1:11" x14ac:dyDescent="0.35">
      <c r="A1189" s="2">
        <v>46090</v>
      </c>
      <c r="B1189" s="3">
        <v>135.667125</v>
      </c>
      <c r="C1189" s="4">
        <f t="shared" si="72"/>
        <v>3.5289490000000114</v>
      </c>
      <c r="D1189" s="4">
        <f t="shared" si="70"/>
        <v>-3.7498449999999934</v>
      </c>
      <c r="E1189" s="3">
        <v>52.95</v>
      </c>
      <c r="F1189" s="3">
        <v>20</v>
      </c>
      <c r="G1189" s="3">
        <v>149.01496200000003</v>
      </c>
      <c r="H1189" s="4">
        <f t="shared" si="73"/>
        <v>6.8662630000000036</v>
      </c>
      <c r="I1189" s="4">
        <f t="shared" si="71"/>
        <v>2.43967200000003</v>
      </c>
      <c r="J1189" s="3">
        <v>52.95</v>
      </c>
      <c r="K1189" s="3">
        <v>20</v>
      </c>
    </row>
    <row r="1190" spans="1:11" x14ac:dyDescent="0.35">
      <c r="A1190" s="2">
        <v>46097</v>
      </c>
      <c r="B1190" s="3">
        <v>140.275083</v>
      </c>
      <c r="C1190" s="4">
        <f t="shared" si="72"/>
        <v>4.6079579999999964</v>
      </c>
      <c r="D1190" s="4">
        <f t="shared" si="70"/>
        <v>2.3034289999999942</v>
      </c>
      <c r="E1190" s="3">
        <v>52.95</v>
      </c>
      <c r="F1190" s="3">
        <v>20</v>
      </c>
      <c r="G1190" s="3">
        <v>158.78076900000002</v>
      </c>
      <c r="H1190" s="4">
        <f t="shared" si="73"/>
        <v>9.7658069999999952</v>
      </c>
      <c r="I1190" s="4">
        <f t="shared" si="71"/>
        <v>13.395941999999991</v>
      </c>
      <c r="J1190" s="3">
        <v>52.95</v>
      </c>
      <c r="K1190" s="3">
        <v>20</v>
      </c>
    </row>
    <row r="1191" spans="1:11" x14ac:dyDescent="0.35">
      <c r="A1191" s="2">
        <v>46104</v>
      </c>
      <c r="B1191" s="3">
        <v>144.16244899999998</v>
      </c>
      <c r="C1191" s="4">
        <f t="shared" si="72"/>
        <v>3.8873659999999859</v>
      </c>
      <c r="D1191" s="4">
        <f t="shared" si="70"/>
        <v>8.554491999999982</v>
      </c>
      <c r="E1191" s="3">
        <v>52.95</v>
      </c>
      <c r="F1191" s="3">
        <v>20</v>
      </c>
      <c r="G1191" s="3">
        <v>166.877734</v>
      </c>
      <c r="H1191" s="4">
        <f t="shared" si="73"/>
        <v>8.0969649999999831</v>
      </c>
      <c r="I1191" s="4">
        <f t="shared" si="71"/>
        <v>23.804653999999999</v>
      </c>
      <c r="J1191" s="3">
        <v>52.95</v>
      </c>
      <c r="K1191" s="3">
        <v>20</v>
      </c>
    </row>
    <row r="1192" spans="1:11" x14ac:dyDescent="0.35">
      <c r="A1192" s="2">
        <v>46111</v>
      </c>
      <c r="B1192" s="3">
        <v>148.781409</v>
      </c>
      <c r="C1192" s="4">
        <f t="shared" si="72"/>
        <v>4.6189600000000155</v>
      </c>
      <c r="D1192" s="4">
        <f t="shared" si="70"/>
        <v>13.873976999999996</v>
      </c>
      <c r="E1192" s="3">
        <v>52.95</v>
      </c>
      <c r="F1192" s="3">
        <v>20</v>
      </c>
      <c r="G1192" s="3">
        <v>176.52186600000002</v>
      </c>
      <c r="H1192" s="4">
        <f t="shared" si="73"/>
        <v>9.6441320000000132</v>
      </c>
      <c r="I1192" s="4">
        <f t="shared" si="71"/>
        <v>34.266857000000016</v>
      </c>
      <c r="J1192" s="3">
        <v>52.95</v>
      </c>
      <c r="K1192" s="3">
        <v>20</v>
      </c>
    </row>
    <row r="1193" spans="1:11" x14ac:dyDescent="0.35">
      <c r="A1193" s="2">
        <v>46118</v>
      </c>
      <c r="B1193" s="3">
        <v>154.65179699999999</v>
      </c>
      <c r="C1193" s="4">
        <f t="shared" si="72"/>
        <v>5.8703879999999913</v>
      </c>
      <c r="D1193" s="4">
        <f t="shared" si="70"/>
        <v>19.402277999999995</v>
      </c>
      <c r="E1193" s="3">
        <v>52.95</v>
      </c>
      <c r="F1193" s="3">
        <v>20</v>
      </c>
      <c r="G1193" s="3">
        <v>186.74589200000003</v>
      </c>
      <c r="H1193" s="4">
        <f t="shared" si="73"/>
        <v>10.224026000000009</v>
      </c>
      <c r="I1193" s="4">
        <f t="shared" si="71"/>
        <v>44.204200000000043</v>
      </c>
      <c r="J1193" s="3">
        <v>52.95</v>
      </c>
      <c r="K1193" s="3">
        <v>20</v>
      </c>
    </row>
    <row r="1194" spans="1:11" x14ac:dyDescent="0.35">
      <c r="A1194" s="2">
        <v>46125</v>
      </c>
      <c r="B1194" s="3">
        <v>158.17279600000001</v>
      </c>
      <c r="C1194" s="4">
        <f t="shared" si="72"/>
        <v>3.5209990000000175</v>
      </c>
      <c r="D1194" s="4">
        <f t="shared" si="70"/>
        <v>23.325082000000009</v>
      </c>
      <c r="E1194" s="3">
        <v>52.95</v>
      </c>
      <c r="F1194" s="3">
        <v>20</v>
      </c>
      <c r="G1194" s="3">
        <v>192.13534799999999</v>
      </c>
      <c r="H1194" s="4">
        <f t="shared" si="73"/>
        <v>5.3894559999999672</v>
      </c>
      <c r="I1194" s="4">
        <f t="shared" si="71"/>
        <v>50.160730000000001</v>
      </c>
      <c r="J1194" s="3">
        <v>52.95</v>
      </c>
      <c r="K1194" s="3">
        <v>20</v>
      </c>
    </row>
    <row r="1195" spans="1:11" x14ac:dyDescent="0.35">
      <c r="A1195" s="2">
        <v>46132</v>
      </c>
      <c r="B1195" s="3">
        <v>157.624481</v>
      </c>
      <c r="C1195" s="4">
        <f t="shared" si="72"/>
        <v>-0.54831500000000233</v>
      </c>
      <c r="D1195" s="4">
        <f t="shared" si="70"/>
        <v>23.363320000000016</v>
      </c>
      <c r="E1195" s="3">
        <v>52.95</v>
      </c>
      <c r="F1195" s="3">
        <v>20</v>
      </c>
      <c r="G1195" s="3">
        <v>191.237031</v>
      </c>
      <c r="H1195" s="4">
        <f t="shared" si="73"/>
        <v>-0.89831699999999159</v>
      </c>
      <c r="I1195" s="4">
        <f t="shared" si="71"/>
        <v>49.794857000000007</v>
      </c>
      <c r="J1195" s="3">
        <v>52.95</v>
      </c>
      <c r="K1195" s="3">
        <v>20</v>
      </c>
    </row>
    <row r="1196" spans="1:11" x14ac:dyDescent="0.35">
      <c r="A1196" s="2">
        <v>46139</v>
      </c>
      <c r="B1196" s="3">
        <v>156.99114800000004</v>
      </c>
      <c r="C1196" s="4">
        <f t="shared" si="72"/>
        <v>-0.63333299999996484</v>
      </c>
      <c r="D1196" s="4">
        <f t="shared" si="70"/>
        <v>23.155448000000035</v>
      </c>
      <c r="E1196" s="3">
        <v>52.95</v>
      </c>
      <c r="F1196" s="3">
        <v>20</v>
      </c>
      <c r="G1196" s="3">
        <v>189.81097900000003</v>
      </c>
      <c r="H1196" s="4">
        <f t="shared" si="73"/>
        <v>-1.4260519999999701</v>
      </c>
      <c r="I1196" s="4">
        <f t="shared" si="71"/>
        <v>49.000003000000021</v>
      </c>
      <c r="J1196" s="3">
        <v>52.95</v>
      </c>
      <c r="K1196" s="3">
        <v>20</v>
      </c>
    </row>
    <row r="1197" spans="1:11" x14ac:dyDescent="0.35">
      <c r="A1197" s="2">
        <v>46146</v>
      </c>
      <c r="B1197" s="3">
        <v>156.81544799999998</v>
      </c>
      <c r="C1197" s="4">
        <f t="shared" si="72"/>
        <v>-0.17570000000006303</v>
      </c>
      <c r="D1197" s="4">
        <f t="shared" si="70"/>
        <v>23.633735000000001</v>
      </c>
      <c r="E1197" s="3">
        <v>52.95</v>
      </c>
      <c r="F1197" s="3">
        <v>20</v>
      </c>
      <c r="G1197" s="3">
        <v>188.79284200000001</v>
      </c>
      <c r="H1197" s="4">
        <f t="shared" si="73"/>
        <v>-1.0181370000000243</v>
      </c>
      <c r="I1197" s="4">
        <f t="shared" si="71"/>
        <v>48.737362000000019</v>
      </c>
      <c r="J1197" s="3">
        <v>52.95</v>
      </c>
      <c r="K1197" s="3">
        <v>20</v>
      </c>
    </row>
    <row r="1198" spans="1:11" x14ac:dyDescent="0.35">
      <c r="A1198" s="2">
        <v>46153</v>
      </c>
      <c r="B1198" s="3">
        <v>156.80991900000001</v>
      </c>
      <c r="C1198" s="4">
        <f t="shared" si="72"/>
        <v>-5.5289999999672546E-3</v>
      </c>
      <c r="D1198" s="4">
        <f t="shared" si="70"/>
        <v>24.491135000000014</v>
      </c>
      <c r="E1198" s="3">
        <v>52.95</v>
      </c>
      <c r="F1198" s="3">
        <v>20</v>
      </c>
      <c r="G1198" s="3">
        <v>188.141614</v>
      </c>
      <c r="H1198" s="4">
        <f t="shared" si="73"/>
        <v>-0.65122800000000325</v>
      </c>
      <c r="I1198" s="4">
        <f t="shared" si="71"/>
        <v>48.943737000000027</v>
      </c>
      <c r="J1198" s="3">
        <v>52.95</v>
      </c>
      <c r="K1198" s="3">
        <v>20</v>
      </c>
    </row>
    <row r="1199" spans="1:11" x14ac:dyDescent="0.35">
      <c r="A1199" s="2">
        <v>46160</v>
      </c>
      <c r="B1199" s="3">
        <v>157.39308400000002</v>
      </c>
      <c r="C1199" s="4">
        <f t="shared" si="72"/>
        <v>0.58316500000000815</v>
      </c>
      <c r="D1199" s="4">
        <f t="shared" si="70"/>
        <v>25.31843600000002</v>
      </c>
      <c r="E1199" s="3">
        <v>52.95</v>
      </c>
      <c r="F1199" s="3">
        <v>20</v>
      </c>
      <c r="G1199" s="3">
        <v>186.56378000000001</v>
      </c>
      <c r="H1199" s="4">
        <f t="shared" si="73"/>
        <v>-1.5778339999999957</v>
      </c>
      <c r="I1199" s="4">
        <f t="shared" si="71"/>
        <v>47.990278999999987</v>
      </c>
      <c r="J1199" s="3">
        <v>52.95</v>
      </c>
      <c r="K1199" s="3">
        <v>20</v>
      </c>
    </row>
    <row r="1200" spans="1:11" x14ac:dyDescent="0.35">
      <c r="A1200" s="2">
        <v>46167</v>
      </c>
      <c r="B1200" s="3">
        <v>158.780822</v>
      </c>
      <c r="C1200" s="4">
        <f t="shared" si="72"/>
        <v>1.3877379999999846</v>
      </c>
      <c r="D1200" s="4">
        <f t="shared" si="70"/>
        <v>26.794651999999985</v>
      </c>
      <c r="E1200" s="3">
        <v>52.95</v>
      </c>
      <c r="F1200" s="3">
        <v>20</v>
      </c>
      <c r="G1200" s="3">
        <v>185.06502800000001</v>
      </c>
      <c r="H1200" s="4">
        <f t="shared" si="73"/>
        <v>-1.4987519999999961</v>
      </c>
      <c r="I1200" s="4">
        <f t="shared" si="71"/>
        <v>46.697637000000014</v>
      </c>
      <c r="J1200" s="3">
        <v>52.95</v>
      </c>
      <c r="K1200" s="3">
        <v>20</v>
      </c>
    </row>
    <row r="1201" spans="1:11" x14ac:dyDescent="0.35">
      <c r="A1201" s="2">
        <v>46174</v>
      </c>
      <c r="B1201" s="3">
        <v>158.735591</v>
      </c>
      <c r="C1201" s="4">
        <f t="shared" si="72"/>
        <v>-4.5231000000001131E-2</v>
      </c>
      <c r="D1201" s="4">
        <f t="shared" si="70"/>
        <v>27.281127000000026</v>
      </c>
      <c r="E1201" s="3">
        <v>52.95</v>
      </c>
      <c r="F1201" s="3">
        <v>20</v>
      </c>
      <c r="G1201" s="3">
        <v>184.10922200000002</v>
      </c>
      <c r="H1201" s="4">
        <f t="shared" si="73"/>
        <v>-0.95580599999999549</v>
      </c>
      <c r="I1201" s="4">
        <f t="shared" si="71"/>
        <v>46.021779000000009</v>
      </c>
      <c r="J1201" s="3">
        <v>52.95</v>
      </c>
      <c r="K1201" s="3">
        <v>20</v>
      </c>
    </row>
    <row r="1202" spans="1:11" x14ac:dyDescent="0.35">
      <c r="A1202" s="2">
        <v>46181</v>
      </c>
      <c r="B1202" s="3">
        <v>157.950931</v>
      </c>
      <c r="C1202" s="4">
        <f t="shared" si="72"/>
        <v>-0.78466000000000236</v>
      </c>
      <c r="D1202" s="4">
        <f t="shared" si="70"/>
        <v>26.603375</v>
      </c>
      <c r="E1202" s="3">
        <v>52.95</v>
      </c>
      <c r="F1202" s="3">
        <v>20</v>
      </c>
      <c r="G1202" s="3">
        <v>181.78607500000001</v>
      </c>
      <c r="H1202" s="4">
        <f t="shared" si="73"/>
        <v>-2.3231470000000058</v>
      </c>
      <c r="I1202" s="4">
        <f t="shared" si="71"/>
        <v>44.247042999999991</v>
      </c>
      <c r="J1202" s="3">
        <v>52.95</v>
      </c>
      <c r="K1202" s="3">
        <v>20</v>
      </c>
    </row>
    <row r="1203" spans="1:11" x14ac:dyDescent="0.35">
      <c r="A1203" s="2">
        <v>46188</v>
      </c>
      <c r="B1203" s="3">
        <v>155.53671700000001</v>
      </c>
      <c r="C1203" s="4">
        <f t="shared" si="72"/>
        <v>-2.414213999999987</v>
      </c>
      <c r="D1203" s="4">
        <f t="shared" si="70"/>
        <v>24.145308999999997</v>
      </c>
      <c r="E1203" s="3">
        <v>52.95</v>
      </c>
      <c r="F1203" s="3">
        <v>20</v>
      </c>
      <c r="G1203" s="3">
        <v>176.71444</v>
      </c>
      <c r="H1203" s="4">
        <f t="shared" si="73"/>
        <v>-5.0716350000000148</v>
      </c>
      <c r="I1203" s="4">
        <f t="shared" si="71"/>
        <v>39.172125999999992</v>
      </c>
      <c r="J1203" s="3">
        <v>52.95</v>
      </c>
      <c r="K1203" s="3">
        <v>20</v>
      </c>
    </row>
    <row r="1204" spans="1:11" x14ac:dyDescent="0.35">
      <c r="A1204" s="2">
        <v>46195</v>
      </c>
      <c r="B1204" s="3">
        <v>153.26066599999999</v>
      </c>
      <c r="C1204" s="4">
        <f t="shared" si="72"/>
        <v>-2.2760510000000238</v>
      </c>
      <c r="D1204" s="4">
        <f t="shared" si="70"/>
        <v>20.931292999999982</v>
      </c>
      <c r="E1204" s="3">
        <v>52.95</v>
      </c>
      <c r="F1204" s="3">
        <v>20</v>
      </c>
      <c r="G1204" s="3">
        <v>172.46530100000001</v>
      </c>
      <c r="H1204" s="4">
        <f t="shared" si="73"/>
        <v>-4.2491389999999853</v>
      </c>
      <c r="I1204" s="4">
        <f t="shared" si="71"/>
        <v>33.435709000000003</v>
      </c>
      <c r="J1204" s="3">
        <v>52.95</v>
      </c>
      <c r="K1204" s="3">
        <v>20</v>
      </c>
    </row>
    <row r="1205" spans="1:11" x14ac:dyDescent="0.35">
      <c r="A1205" s="2">
        <v>46202</v>
      </c>
      <c r="B1205" s="3">
        <v>151.01665299999999</v>
      </c>
      <c r="C1205" s="4">
        <f t="shared" si="72"/>
        <v>-2.2440129999999954</v>
      </c>
      <c r="D1205" s="4">
        <f t="shared" si="70"/>
        <v>18.062239999999974</v>
      </c>
      <c r="E1205" s="3">
        <v>52.95</v>
      </c>
      <c r="F1205" s="3">
        <v>20</v>
      </c>
      <c r="G1205" s="3">
        <v>167.121861</v>
      </c>
      <c r="H1205" s="4">
        <f t="shared" si="73"/>
        <v>-5.3434400000000153</v>
      </c>
      <c r="I1205" s="4">
        <f t="shared" si="71"/>
        <v>26.857770000000016</v>
      </c>
      <c r="J1205" s="3">
        <v>52.95</v>
      </c>
      <c r="K1205" s="3">
        <v>20</v>
      </c>
    </row>
    <row r="1206" spans="1:11" x14ac:dyDescent="0.35">
      <c r="A1206" s="2">
        <v>46209</v>
      </c>
      <c r="B1206" s="3">
        <v>149.79589500000003</v>
      </c>
      <c r="C1206" s="4">
        <f t="shared" si="72"/>
        <v>-1.2207579999999609</v>
      </c>
      <c r="D1206" s="4">
        <f t="shared" si="70"/>
        <v>16.607679000000019</v>
      </c>
      <c r="E1206" s="3">
        <v>52.95</v>
      </c>
      <c r="F1206" s="3">
        <v>20</v>
      </c>
      <c r="G1206" s="3">
        <v>164.774722</v>
      </c>
      <c r="H1206" s="4">
        <f t="shared" si="73"/>
        <v>-2.3471389999999985</v>
      </c>
      <c r="I1206" s="4">
        <f t="shared" si="71"/>
        <v>24.197874000000013</v>
      </c>
      <c r="J1206" s="3">
        <v>52.95</v>
      </c>
      <c r="K1206" s="3">
        <v>20</v>
      </c>
    </row>
    <row r="1207" spans="1:11" x14ac:dyDescent="0.35">
      <c r="A1207" s="2">
        <v>46216</v>
      </c>
      <c r="B1207" s="3">
        <v>150.529146</v>
      </c>
      <c r="C1207" s="4">
        <f t="shared" si="72"/>
        <v>0.73325099999996723</v>
      </c>
      <c r="D1207" s="4">
        <f t="shared" ref="D1207:D1211" si="74">B1207-B1155</f>
        <v>16.583698999999996</v>
      </c>
      <c r="E1207" s="3">
        <v>52.95</v>
      </c>
      <c r="F1207" s="3">
        <v>20</v>
      </c>
      <c r="G1207" s="3">
        <v>164.51511599999998</v>
      </c>
      <c r="H1207" s="4">
        <f t="shared" si="73"/>
        <v>-0.25960600000001932</v>
      </c>
      <c r="I1207" s="4">
        <f t="shared" ref="I1207:I1213" si="75">G1207-G1155</f>
        <v>23.411262999999963</v>
      </c>
      <c r="J1207" s="3">
        <v>52.95</v>
      </c>
      <c r="K1207" s="3">
        <v>20</v>
      </c>
    </row>
    <row r="1208" spans="1:11" x14ac:dyDescent="0.35">
      <c r="A1208" s="2">
        <v>46223</v>
      </c>
      <c r="B1208" s="3">
        <v>152.29188300000001</v>
      </c>
      <c r="C1208" s="4">
        <f t="shared" si="72"/>
        <v>1.7627370000000155</v>
      </c>
      <c r="D1208" s="4">
        <f t="shared" si="74"/>
        <v>18.197429999999997</v>
      </c>
      <c r="E1208" s="3">
        <v>52.95</v>
      </c>
      <c r="F1208" s="3">
        <v>20</v>
      </c>
      <c r="G1208" s="3">
        <v>167.08453599999999</v>
      </c>
      <c r="H1208" s="4">
        <f t="shared" si="73"/>
        <v>2.569420000000008</v>
      </c>
      <c r="I1208" s="4">
        <f t="shared" si="75"/>
        <v>25.233558999999985</v>
      </c>
      <c r="J1208" s="3">
        <v>52.95</v>
      </c>
      <c r="K1208" s="3">
        <v>20</v>
      </c>
    </row>
    <row r="1209" spans="1:11" x14ac:dyDescent="0.35">
      <c r="A1209" s="2">
        <v>46230</v>
      </c>
      <c r="B1209" s="3">
        <v>156.13248000000002</v>
      </c>
      <c r="C1209" s="4">
        <f t="shared" si="72"/>
        <v>3.8405970000000025</v>
      </c>
      <c r="D1209" s="4">
        <f t="shared" si="74"/>
        <v>21.888558000000018</v>
      </c>
      <c r="E1209" s="3">
        <v>52.95</v>
      </c>
      <c r="F1209" s="3">
        <v>20</v>
      </c>
      <c r="G1209" s="3">
        <v>173.96566300000001</v>
      </c>
      <c r="H1209" s="4">
        <f t="shared" si="73"/>
        <v>6.8811270000000206</v>
      </c>
      <c r="I1209" s="4">
        <f t="shared" si="75"/>
        <v>31.965521000000024</v>
      </c>
      <c r="J1209" s="3">
        <v>52.95</v>
      </c>
      <c r="K1209" s="3">
        <v>20</v>
      </c>
    </row>
    <row r="1210" spans="1:11" x14ac:dyDescent="0.35">
      <c r="A1210" s="2">
        <v>46237</v>
      </c>
      <c r="B1210" s="3">
        <v>159.889082</v>
      </c>
      <c r="C1210" s="4">
        <f t="shared" si="72"/>
        <v>3.7566019999999867</v>
      </c>
      <c r="D1210" s="4">
        <f t="shared" si="74"/>
        <v>25.592550000000017</v>
      </c>
      <c r="E1210" s="3">
        <v>52.95</v>
      </c>
      <c r="F1210" s="3">
        <v>20</v>
      </c>
      <c r="G1210" s="3">
        <v>179.186646</v>
      </c>
      <c r="H1210" s="4">
        <f t="shared" si="73"/>
        <v>5.2209829999999897</v>
      </c>
      <c r="I1210" s="4">
        <f t="shared" si="75"/>
        <v>37.056196999999997</v>
      </c>
      <c r="J1210" s="3">
        <v>52.95</v>
      </c>
      <c r="K1210" s="3">
        <v>20</v>
      </c>
    </row>
    <row r="1211" spans="1:11" x14ac:dyDescent="0.35">
      <c r="A1211" s="2">
        <v>46244</v>
      </c>
      <c r="B1211" s="3">
        <v>162.14530099999999</v>
      </c>
      <c r="C1211" s="4">
        <f>B1211-B1210</f>
        <v>2.2562189999999873</v>
      </c>
      <c r="D1211" s="4">
        <f t="shared" si="74"/>
        <v>27.759007999999994</v>
      </c>
      <c r="E1211" s="3">
        <v>52.95</v>
      </c>
      <c r="F1211" s="3">
        <v>20</v>
      </c>
      <c r="G1211" s="3">
        <v>181.97299099999998</v>
      </c>
      <c r="H1211" s="4">
        <f>G1211-G1210</f>
        <v>2.786344999999983</v>
      </c>
      <c r="I1211" s="4">
        <f t="shared" si="75"/>
        <v>39.483304999999973</v>
      </c>
      <c r="J1211" s="3">
        <v>52.95</v>
      </c>
      <c r="K1211" s="3">
        <v>20</v>
      </c>
    </row>
    <row r="1212" spans="1:11" x14ac:dyDescent="0.35">
      <c r="A1212" s="2">
        <v>46251</v>
      </c>
      <c r="B1212" s="12">
        <v>161.802539</v>
      </c>
      <c r="C1212" s="4">
        <f>B1212-B1211</f>
        <v>-0.34276199999999335</v>
      </c>
      <c r="D1212" s="4">
        <f>B1212-B1160</f>
        <v>27.50200700000002</v>
      </c>
      <c r="E1212" s="3">
        <v>52.95</v>
      </c>
      <c r="F1212" s="3">
        <v>20</v>
      </c>
      <c r="G1212" s="12">
        <v>182.45175599999999</v>
      </c>
      <c r="H1212" s="4">
        <f>G1212-G1211</f>
        <v>0.47876500000000988</v>
      </c>
      <c r="I1212" s="4">
        <f t="shared" si="75"/>
        <v>40.286165000000011</v>
      </c>
      <c r="J1212" s="3">
        <v>52.95</v>
      </c>
      <c r="K1212" s="3">
        <v>20</v>
      </c>
    </row>
    <row r="1213" spans="1:11" x14ac:dyDescent="0.35">
      <c r="A1213" s="2">
        <v>46258</v>
      </c>
      <c r="B1213" s="3">
        <v>161.627835</v>
      </c>
      <c r="C1213" s="4">
        <f t="shared" ref="C1213" si="76">B1213-B1212</f>
        <v>-0.17470399999999131</v>
      </c>
      <c r="D1213" s="4">
        <f t="shared" ref="D1213" si="77">B1213-B1161</f>
        <v>27.713307999999984</v>
      </c>
      <c r="E1213" s="3">
        <v>52.95</v>
      </c>
      <c r="F1213" s="3">
        <v>20</v>
      </c>
      <c r="G1213" s="3">
        <v>182.81792899999999</v>
      </c>
      <c r="H1213" s="4">
        <f t="shared" ref="H1213" si="78">G1213-G1212</f>
        <v>0.36617300000000341</v>
      </c>
      <c r="I1213" s="4">
        <f t="shared" si="75"/>
        <v>40.900622999999996</v>
      </c>
      <c r="J1213" s="3">
        <v>52.95</v>
      </c>
      <c r="K1213" s="3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B6678-F37B-4622-B291-B000010B1F2D}">
  <sheetPr>
    <tabColor theme="3" tint="0.499984740745262"/>
  </sheetPr>
  <dimension ref="A1:O1214"/>
  <sheetViews>
    <sheetView topLeftCell="D1145" workbookViewId="0">
      <selection activeCell="H1164" sqref="H1164"/>
    </sheetView>
  </sheetViews>
  <sheetFormatPr defaultRowHeight="14.5" x14ac:dyDescent="0.35"/>
  <cols>
    <col min="1" max="1" width="10.6328125" bestFit="1" customWidth="1"/>
    <col min="2" max="2" width="27.453125" bestFit="1" customWidth="1"/>
    <col min="3" max="3" width="37.36328125" bestFit="1" customWidth="1"/>
    <col min="4" max="4" width="36.26953125" bestFit="1" customWidth="1"/>
    <col min="5" max="5" width="25.1796875" bestFit="1" customWidth="1"/>
    <col min="6" max="6" width="21.453125" bestFit="1" customWidth="1"/>
    <col min="7" max="7" width="27.54296875" bestFit="1" customWidth="1"/>
    <col min="8" max="8" width="37.453125" bestFit="1" customWidth="1"/>
    <col min="9" max="9" width="36.36328125" bestFit="1" customWidth="1"/>
    <col min="10" max="10" width="25.26953125" bestFit="1" customWidth="1"/>
    <col min="11" max="11" width="21.54296875" bestFit="1" customWidth="1"/>
    <col min="12" max="12" width="9" style="16" bestFit="1" customWidth="1"/>
    <col min="14" max="14" width="14.1796875" bestFit="1" customWidth="1"/>
    <col min="15" max="15" width="11.26953125" bestFit="1" customWidth="1"/>
  </cols>
  <sheetData>
    <row r="1" spans="1:15" x14ac:dyDescent="0.35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5" t="s">
        <v>21</v>
      </c>
      <c r="M1" s="1" t="s">
        <v>22</v>
      </c>
      <c r="N1" s="1" t="s">
        <v>23</v>
      </c>
      <c r="O1" s="1" t="s">
        <v>24</v>
      </c>
    </row>
    <row r="2" spans="1:15" x14ac:dyDescent="0.35">
      <c r="A2" s="2">
        <v>37781</v>
      </c>
      <c r="B2" s="3">
        <v>74.590283999999997</v>
      </c>
      <c r="C2" s="4"/>
      <c r="D2" s="4"/>
      <c r="E2" s="3">
        <v>45.82</v>
      </c>
      <c r="F2" s="3">
        <v>17.5</v>
      </c>
      <c r="G2" s="3">
        <v>76.773393999999996</v>
      </c>
      <c r="H2" s="4"/>
      <c r="I2" s="4"/>
      <c r="J2" s="3">
        <v>45.82</v>
      </c>
      <c r="K2" s="3">
        <v>17.5</v>
      </c>
      <c r="L2" s="13">
        <f>YEAR(Weekly_Prices[[#This Row],[Date]])</f>
        <v>2003</v>
      </c>
      <c r="M2" s="13">
        <f>MONTH(Weekly_Prices[[#This Row],[Date]])</f>
        <v>6</v>
      </c>
      <c r="N2" s="3" t="str">
        <f>TEXT(Weekly_Prices[[#This Row],[Date]],"MMMM")</f>
        <v>June</v>
      </c>
      <c r="O2" s="3" t="str">
        <f>YEAR(Weekly_Prices[[#This Row],[Date]])&amp;"-"&amp;TEXT(WEEKNUM(Weekly_Prices[[#This Row],[Date]],2),"00")</f>
        <v>2003-24</v>
      </c>
    </row>
    <row r="3" spans="1:15" x14ac:dyDescent="0.35">
      <c r="A3" s="2">
        <v>37788</v>
      </c>
      <c r="B3" s="3">
        <v>74.469143000000003</v>
      </c>
      <c r="C3" s="4">
        <f t="shared" ref="C3:C66" si="0">B3-B2</f>
        <v>-0.12114099999999439</v>
      </c>
      <c r="D3" s="4"/>
      <c r="E3" s="3">
        <v>45.82</v>
      </c>
      <c r="F3" s="3">
        <v>17.5</v>
      </c>
      <c r="G3" s="3">
        <v>76.689053999999999</v>
      </c>
      <c r="H3" s="4">
        <f t="shared" ref="H3:H66" si="1">G3-G2</f>
        <v>-8.4339999999997417E-2</v>
      </c>
      <c r="I3" s="4"/>
      <c r="J3" s="3">
        <v>45.82</v>
      </c>
      <c r="K3" s="3">
        <v>17.5</v>
      </c>
      <c r="L3" s="13">
        <f>YEAR(Weekly_Prices[[#This Row],[Date]])</f>
        <v>2003</v>
      </c>
      <c r="M3" s="13">
        <f>MONTH(Weekly_Prices[[#This Row],[Date]])</f>
        <v>6</v>
      </c>
      <c r="N3" s="3" t="str">
        <f>TEXT(Weekly_Prices[[#This Row],[Date]],"MMMM")</f>
        <v>June</v>
      </c>
      <c r="O3" s="3" t="str">
        <f>YEAR(Weekly_Prices[[#This Row],[Date]])&amp;"-"&amp;TEXT(WEEKNUM(Weekly_Prices[[#This Row],[Date]],2),"00")</f>
        <v>2003-25</v>
      </c>
    </row>
    <row r="4" spans="1:15" x14ac:dyDescent="0.35">
      <c r="A4" s="2">
        <v>37795</v>
      </c>
      <c r="B4" s="3">
        <v>74.423565999999994</v>
      </c>
      <c r="C4" s="4">
        <f t="shared" si="0"/>
        <v>-4.5577000000008638E-2</v>
      </c>
      <c r="D4" s="4"/>
      <c r="E4" s="3">
        <v>45.82</v>
      </c>
      <c r="F4" s="3">
        <v>17.5</v>
      </c>
      <c r="G4" s="3">
        <v>76.620546000000004</v>
      </c>
      <c r="H4" s="4">
        <f t="shared" si="1"/>
        <v>-6.850799999999424E-2</v>
      </c>
      <c r="I4" s="4"/>
      <c r="J4" s="3">
        <v>45.82</v>
      </c>
      <c r="K4" s="3">
        <v>17.5</v>
      </c>
      <c r="L4" s="13">
        <f>YEAR(Weekly_Prices[[#This Row],[Date]])</f>
        <v>2003</v>
      </c>
      <c r="M4" s="13">
        <f>MONTH(Weekly_Prices[[#This Row],[Date]])</f>
        <v>6</v>
      </c>
      <c r="N4" s="3" t="str">
        <f>TEXT(Weekly_Prices[[#This Row],[Date]],"MMMM")</f>
        <v>June</v>
      </c>
      <c r="O4" s="3" t="str">
        <f>YEAR(Weekly_Prices[[#This Row],[Date]])&amp;"-"&amp;TEXT(WEEKNUM(Weekly_Prices[[#This Row],[Date]],2),"00")</f>
        <v>2003-26</v>
      </c>
    </row>
    <row r="5" spans="1:15" x14ac:dyDescent="0.35">
      <c r="A5" s="2">
        <v>37802</v>
      </c>
      <c r="B5" s="3">
        <v>74.352420999999993</v>
      </c>
      <c r="C5" s="4">
        <f t="shared" si="0"/>
        <v>-7.1145000000001346E-2</v>
      </c>
      <c r="D5" s="4"/>
      <c r="E5" s="3">
        <v>45.82</v>
      </c>
      <c r="F5" s="3">
        <v>17.5</v>
      </c>
      <c r="G5" s="3">
        <v>76.505259999999993</v>
      </c>
      <c r="H5" s="4">
        <f t="shared" si="1"/>
        <v>-0.11528600000001177</v>
      </c>
      <c r="I5" s="4"/>
      <c r="J5" s="3">
        <v>45.82</v>
      </c>
      <c r="K5" s="3">
        <v>17.5</v>
      </c>
      <c r="L5" s="13">
        <f>YEAR(Weekly_Prices[[#This Row],[Date]])</f>
        <v>2003</v>
      </c>
      <c r="M5" s="13">
        <f>MONTH(Weekly_Prices[[#This Row],[Date]])</f>
        <v>6</v>
      </c>
      <c r="N5" s="3" t="str">
        <f>TEXT(Weekly_Prices[[#This Row],[Date]],"MMMM")</f>
        <v>June</v>
      </c>
      <c r="O5" s="3" t="str">
        <f>YEAR(Weekly_Prices[[#This Row],[Date]])&amp;"-"&amp;TEXT(WEEKNUM(Weekly_Prices[[#This Row],[Date]],2),"00")</f>
        <v>2003-27</v>
      </c>
    </row>
    <row r="6" spans="1:15" x14ac:dyDescent="0.35">
      <c r="A6" s="2">
        <v>37809</v>
      </c>
      <c r="B6" s="3">
        <v>74.283737000000002</v>
      </c>
      <c r="C6" s="4">
        <f t="shared" si="0"/>
        <v>-6.8683999999990419E-2</v>
      </c>
      <c r="D6" s="4"/>
      <c r="E6" s="3">
        <v>45.82</v>
      </c>
      <c r="F6" s="3">
        <v>17.5</v>
      </c>
      <c r="G6" s="3">
        <v>76.457375999999996</v>
      </c>
      <c r="H6" s="4">
        <f t="shared" si="1"/>
        <v>-4.7883999999996263E-2</v>
      </c>
      <c r="I6" s="4"/>
      <c r="J6" s="3">
        <v>45.82</v>
      </c>
      <c r="K6" s="3">
        <v>17.5</v>
      </c>
      <c r="L6" s="13">
        <f>YEAR(Weekly_Prices[[#This Row],[Date]])</f>
        <v>2003</v>
      </c>
      <c r="M6" s="13">
        <f>MONTH(Weekly_Prices[[#This Row],[Date]])</f>
        <v>7</v>
      </c>
      <c r="N6" s="3" t="str">
        <f>TEXT(Weekly_Prices[[#This Row],[Date]],"MMMM")</f>
        <v>July</v>
      </c>
      <c r="O6" s="3" t="str">
        <f>YEAR(Weekly_Prices[[#This Row],[Date]])&amp;"-"&amp;TEXT(WEEKNUM(Weekly_Prices[[#This Row],[Date]],2),"00")</f>
        <v>2003-28</v>
      </c>
    </row>
    <row r="7" spans="1:15" x14ac:dyDescent="0.35">
      <c r="A7" s="2">
        <v>37816</v>
      </c>
      <c r="B7" s="3">
        <v>74.206576999999996</v>
      </c>
      <c r="C7" s="4">
        <f t="shared" si="0"/>
        <v>-7.7160000000006335E-2</v>
      </c>
      <c r="D7" s="4"/>
      <c r="E7" s="3">
        <v>45.82</v>
      </c>
      <c r="F7" s="3">
        <v>17.5</v>
      </c>
      <c r="G7" s="3">
        <v>76.408119999999997</v>
      </c>
      <c r="H7" s="4">
        <f t="shared" si="1"/>
        <v>-4.9255999999999744E-2</v>
      </c>
      <c r="I7" s="4"/>
      <c r="J7" s="3">
        <v>45.82</v>
      </c>
      <c r="K7" s="3">
        <v>17.5</v>
      </c>
      <c r="L7" s="13">
        <f>YEAR(Weekly_Prices[[#This Row],[Date]])</f>
        <v>2003</v>
      </c>
      <c r="M7" s="13">
        <f>MONTH(Weekly_Prices[[#This Row],[Date]])</f>
        <v>7</v>
      </c>
      <c r="N7" s="3" t="str">
        <f>TEXT(Weekly_Prices[[#This Row],[Date]],"MMMM")</f>
        <v>July</v>
      </c>
      <c r="O7" s="3" t="str">
        <f>YEAR(Weekly_Prices[[#This Row],[Date]])&amp;"-"&amp;TEXT(WEEKNUM(Weekly_Prices[[#This Row],[Date]],2),"00")</f>
        <v>2003-29</v>
      </c>
    </row>
    <row r="8" spans="1:15" x14ac:dyDescent="0.35">
      <c r="A8" s="2">
        <v>37823</v>
      </c>
      <c r="B8" s="3">
        <v>75.065240000000003</v>
      </c>
      <c r="C8" s="4">
        <f t="shared" si="0"/>
        <v>0.85866300000000706</v>
      </c>
      <c r="D8" s="4"/>
      <c r="E8" s="3">
        <v>45.82</v>
      </c>
      <c r="F8" s="3">
        <v>17.5</v>
      </c>
      <c r="G8" s="3">
        <v>76.899144000000007</v>
      </c>
      <c r="H8" s="4">
        <f t="shared" si="1"/>
        <v>0.49102400000001012</v>
      </c>
      <c r="I8" s="4"/>
      <c r="J8" s="3">
        <v>45.82</v>
      </c>
      <c r="K8" s="3">
        <v>17.5</v>
      </c>
      <c r="L8" s="13">
        <f>YEAR(Weekly_Prices[[#This Row],[Date]])</f>
        <v>2003</v>
      </c>
      <c r="M8" s="13">
        <f>MONTH(Weekly_Prices[[#This Row],[Date]])</f>
        <v>7</v>
      </c>
      <c r="N8" s="3" t="str">
        <f>TEXT(Weekly_Prices[[#This Row],[Date]],"MMMM")</f>
        <v>July</v>
      </c>
      <c r="O8" s="3" t="str">
        <f>YEAR(Weekly_Prices[[#This Row],[Date]])&amp;"-"&amp;TEXT(WEEKNUM(Weekly_Prices[[#This Row],[Date]],2),"00")</f>
        <v>2003-30</v>
      </c>
    </row>
    <row r="9" spans="1:15" x14ac:dyDescent="0.35">
      <c r="A9" s="2">
        <v>37830</v>
      </c>
      <c r="B9" s="3">
        <v>75.10085500000001</v>
      </c>
      <c r="C9" s="4">
        <f t="shared" si="0"/>
        <v>3.5615000000007058E-2</v>
      </c>
      <c r="D9" s="4"/>
      <c r="E9" s="3">
        <v>45.82</v>
      </c>
      <c r="F9" s="3">
        <v>17.5</v>
      </c>
      <c r="G9" s="3">
        <v>76.861863999999997</v>
      </c>
      <c r="H9" s="4">
        <f t="shared" si="1"/>
        <v>-3.728000000000975E-2</v>
      </c>
      <c r="I9" s="4"/>
      <c r="J9" s="3">
        <v>45.82</v>
      </c>
      <c r="K9" s="3">
        <v>17.5</v>
      </c>
      <c r="L9" s="13">
        <f>YEAR(Weekly_Prices[[#This Row],[Date]])</f>
        <v>2003</v>
      </c>
      <c r="M9" s="13">
        <f>MONTH(Weekly_Prices[[#This Row],[Date]])</f>
        <v>7</v>
      </c>
      <c r="N9" s="3" t="str">
        <f>TEXT(Weekly_Prices[[#This Row],[Date]],"MMMM")</f>
        <v>July</v>
      </c>
      <c r="O9" s="3" t="str">
        <f>YEAR(Weekly_Prices[[#This Row],[Date]])&amp;"-"&amp;TEXT(WEEKNUM(Weekly_Prices[[#This Row],[Date]],2),"00")</f>
        <v>2003-31</v>
      </c>
    </row>
    <row r="10" spans="1:15" x14ac:dyDescent="0.35">
      <c r="A10" s="2">
        <v>37837</v>
      </c>
      <c r="B10" s="3">
        <v>75.124384000000006</v>
      </c>
      <c r="C10" s="4">
        <f t="shared" si="0"/>
        <v>2.3528999999996358E-2</v>
      </c>
      <c r="D10" s="4"/>
      <c r="E10" s="3">
        <v>45.82</v>
      </c>
      <c r="F10" s="3">
        <v>17.5</v>
      </c>
      <c r="G10" s="3">
        <v>76.812342000000001</v>
      </c>
      <c r="H10" s="4">
        <f t="shared" si="1"/>
        <v>-4.9521999999996069E-2</v>
      </c>
      <c r="I10" s="4"/>
      <c r="J10" s="3">
        <v>45.82</v>
      </c>
      <c r="K10" s="3">
        <v>17.5</v>
      </c>
      <c r="L10" s="13">
        <f>YEAR(Weekly_Prices[[#This Row],[Date]])</f>
        <v>2003</v>
      </c>
      <c r="M10" s="13">
        <f>MONTH(Weekly_Prices[[#This Row],[Date]])</f>
        <v>8</v>
      </c>
      <c r="N10" s="3" t="str">
        <f>TEXT(Weekly_Prices[[#This Row],[Date]],"MMMM")</f>
        <v>August</v>
      </c>
      <c r="O10" s="3" t="str">
        <f>YEAR(Weekly_Prices[[#This Row],[Date]])&amp;"-"&amp;TEXT(WEEKNUM(Weekly_Prices[[#This Row],[Date]],2),"00")</f>
        <v>2003-32</v>
      </c>
    </row>
    <row r="11" spans="1:15" x14ac:dyDescent="0.35">
      <c r="A11" s="2">
        <v>37844</v>
      </c>
      <c r="B11" s="3">
        <v>75.444516000000007</v>
      </c>
      <c r="C11" s="4">
        <f t="shared" si="0"/>
        <v>0.32013200000000097</v>
      </c>
      <c r="D11" s="4"/>
      <c r="E11" s="3">
        <v>45.82</v>
      </c>
      <c r="F11" s="3">
        <v>17.5</v>
      </c>
      <c r="G11" s="3">
        <v>77.080737999999997</v>
      </c>
      <c r="H11" s="4">
        <f t="shared" si="1"/>
        <v>0.26839599999999564</v>
      </c>
      <c r="I11" s="4"/>
      <c r="J11" s="3">
        <v>45.82</v>
      </c>
      <c r="K11" s="3">
        <v>17.5</v>
      </c>
      <c r="L11" s="13">
        <f>YEAR(Weekly_Prices[[#This Row],[Date]])</f>
        <v>2003</v>
      </c>
      <c r="M11" s="13">
        <f>MONTH(Weekly_Prices[[#This Row],[Date]])</f>
        <v>8</v>
      </c>
      <c r="N11" s="3" t="str">
        <f>TEXT(Weekly_Prices[[#This Row],[Date]],"MMMM")</f>
        <v>August</v>
      </c>
      <c r="O11" s="3" t="str">
        <f>YEAR(Weekly_Prices[[#This Row],[Date]])&amp;"-"&amp;TEXT(WEEKNUM(Weekly_Prices[[#This Row],[Date]],2),"00")</f>
        <v>2003-33</v>
      </c>
    </row>
    <row r="12" spans="1:15" x14ac:dyDescent="0.35">
      <c r="A12" s="2">
        <v>37851</v>
      </c>
      <c r="B12" s="3">
        <v>75.808947999999987</v>
      </c>
      <c r="C12" s="4">
        <f t="shared" si="0"/>
        <v>0.36443199999997944</v>
      </c>
      <c r="D12" s="4"/>
      <c r="E12" s="3">
        <v>45.82</v>
      </c>
      <c r="F12" s="3">
        <v>17.5</v>
      </c>
      <c r="G12" s="3">
        <v>77.438590000000005</v>
      </c>
      <c r="H12" s="4">
        <f t="shared" si="1"/>
        <v>0.35785200000000827</v>
      </c>
      <c r="I12" s="4"/>
      <c r="J12" s="3">
        <v>45.82</v>
      </c>
      <c r="K12" s="3">
        <v>17.5</v>
      </c>
      <c r="L12" s="13">
        <f>YEAR(Weekly_Prices[[#This Row],[Date]])</f>
        <v>2003</v>
      </c>
      <c r="M12" s="13">
        <f>MONTH(Weekly_Prices[[#This Row],[Date]])</f>
        <v>8</v>
      </c>
      <c r="N12" s="3" t="str">
        <f>TEXT(Weekly_Prices[[#This Row],[Date]],"MMMM")</f>
        <v>August</v>
      </c>
      <c r="O12" s="3" t="str">
        <f>YEAR(Weekly_Prices[[#This Row],[Date]])&amp;"-"&amp;TEXT(WEEKNUM(Weekly_Prices[[#This Row],[Date]],2),"00")</f>
        <v>2003-34</v>
      </c>
    </row>
    <row r="13" spans="1:15" x14ac:dyDescent="0.35">
      <c r="A13" s="2">
        <v>37859</v>
      </c>
      <c r="B13" s="3">
        <v>76.053010999999998</v>
      </c>
      <c r="C13" s="4">
        <f t="shared" si="0"/>
        <v>0.24406300000001124</v>
      </c>
      <c r="D13" s="4"/>
      <c r="E13" s="3">
        <v>45.82</v>
      </c>
      <c r="F13" s="3">
        <v>17.5</v>
      </c>
      <c r="G13" s="3">
        <v>77.675094000000001</v>
      </c>
      <c r="H13" s="4">
        <f t="shared" si="1"/>
        <v>0.23650399999999649</v>
      </c>
      <c r="I13" s="4"/>
      <c r="J13" s="3">
        <v>45.82</v>
      </c>
      <c r="K13" s="3">
        <v>17.5</v>
      </c>
      <c r="L13" s="13">
        <f>YEAR(Weekly_Prices[[#This Row],[Date]])</f>
        <v>2003</v>
      </c>
      <c r="M13" s="13">
        <f>MONTH(Weekly_Prices[[#This Row],[Date]])</f>
        <v>8</v>
      </c>
      <c r="N13" s="3" t="str">
        <f>TEXT(Weekly_Prices[[#This Row],[Date]],"MMMM")</f>
        <v>August</v>
      </c>
      <c r="O13" s="3" t="str">
        <f>YEAR(Weekly_Prices[[#This Row],[Date]])&amp;"-"&amp;TEXT(WEEKNUM(Weekly_Prices[[#This Row],[Date]],2),"00")</f>
        <v>2003-35</v>
      </c>
    </row>
    <row r="14" spans="1:15" x14ac:dyDescent="0.35">
      <c r="A14" s="2">
        <v>37865</v>
      </c>
      <c r="B14" s="3">
        <v>76.125859999999989</v>
      </c>
      <c r="C14" s="4">
        <f t="shared" si="0"/>
        <v>7.2848999999990838E-2</v>
      </c>
      <c r="D14" s="4"/>
      <c r="E14" s="3">
        <v>45.82</v>
      </c>
      <c r="F14" s="3">
        <v>17.5</v>
      </c>
      <c r="G14" s="3">
        <v>77.587704000000002</v>
      </c>
      <c r="H14" s="4">
        <f t="shared" si="1"/>
        <v>-8.7389999999999191E-2</v>
      </c>
      <c r="I14" s="4"/>
      <c r="J14" s="3">
        <v>45.82</v>
      </c>
      <c r="K14" s="3">
        <v>17.5</v>
      </c>
      <c r="L14" s="13">
        <f>YEAR(Weekly_Prices[[#This Row],[Date]])</f>
        <v>2003</v>
      </c>
      <c r="M14" s="13">
        <f>MONTH(Weekly_Prices[[#This Row],[Date]])</f>
        <v>9</v>
      </c>
      <c r="N14" s="3" t="str">
        <f>TEXT(Weekly_Prices[[#This Row],[Date]],"MMMM")</f>
        <v>September</v>
      </c>
      <c r="O14" s="3" t="str">
        <f>YEAR(Weekly_Prices[[#This Row],[Date]])&amp;"-"&amp;TEXT(WEEKNUM(Weekly_Prices[[#This Row],[Date]],2),"00")</f>
        <v>2003-36</v>
      </c>
    </row>
    <row r="15" spans="1:15" x14ac:dyDescent="0.35">
      <c r="A15" s="2">
        <v>37872</v>
      </c>
      <c r="B15" s="3">
        <v>76.226190000000003</v>
      </c>
      <c r="C15" s="4">
        <f t="shared" si="0"/>
        <v>0.1003300000000138</v>
      </c>
      <c r="D15" s="4"/>
      <c r="E15" s="3">
        <v>45.82</v>
      </c>
      <c r="F15" s="3">
        <v>17.5</v>
      </c>
      <c r="G15" s="3">
        <v>77.670140000000004</v>
      </c>
      <c r="H15" s="4">
        <f t="shared" si="1"/>
        <v>8.2436000000001286E-2</v>
      </c>
      <c r="I15" s="4"/>
      <c r="J15" s="3">
        <v>45.82</v>
      </c>
      <c r="K15" s="3">
        <v>17.5</v>
      </c>
      <c r="L15" s="13">
        <f>YEAR(Weekly_Prices[[#This Row],[Date]])</f>
        <v>2003</v>
      </c>
      <c r="M15" s="13">
        <f>MONTH(Weekly_Prices[[#This Row],[Date]])</f>
        <v>9</v>
      </c>
      <c r="N15" s="3" t="str">
        <f>TEXT(Weekly_Prices[[#This Row],[Date]],"MMMM")</f>
        <v>September</v>
      </c>
      <c r="O15" s="3" t="str">
        <f>YEAR(Weekly_Prices[[#This Row],[Date]])&amp;"-"&amp;TEXT(WEEKNUM(Weekly_Prices[[#This Row],[Date]],2),"00")</f>
        <v>2003-37</v>
      </c>
    </row>
    <row r="16" spans="1:15" x14ac:dyDescent="0.35">
      <c r="A16" s="2">
        <v>37879</v>
      </c>
      <c r="B16" s="3">
        <v>76.196424999999991</v>
      </c>
      <c r="C16" s="4">
        <f t="shared" si="0"/>
        <v>-2.976500000001181E-2</v>
      </c>
      <c r="D16" s="4"/>
      <c r="E16" s="3">
        <v>45.82</v>
      </c>
      <c r="F16" s="3">
        <v>17.5</v>
      </c>
      <c r="G16" s="3">
        <v>77.626435999999998</v>
      </c>
      <c r="H16" s="4">
        <f t="shared" si="1"/>
        <v>-4.3704000000005294E-2</v>
      </c>
      <c r="I16" s="4"/>
      <c r="J16" s="3">
        <v>45.82</v>
      </c>
      <c r="K16" s="3">
        <v>17.5</v>
      </c>
      <c r="L16" s="13">
        <f>YEAR(Weekly_Prices[[#This Row],[Date]])</f>
        <v>2003</v>
      </c>
      <c r="M16" s="13">
        <f>MONTH(Weekly_Prices[[#This Row],[Date]])</f>
        <v>9</v>
      </c>
      <c r="N16" s="3" t="str">
        <f>TEXT(Weekly_Prices[[#This Row],[Date]],"MMMM")</f>
        <v>September</v>
      </c>
      <c r="O16" s="3" t="str">
        <f>YEAR(Weekly_Prices[[#This Row],[Date]])&amp;"-"&amp;TEXT(WEEKNUM(Weekly_Prices[[#This Row],[Date]],2),"00")</f>
        <v>2003-38</v>
      </c>
    </row>
    <row r="17" spans="1:15" x14ac:dyDescent="0.35">
      <c r="A17" s="2">
        <v>37886</v>
      </c>
      <c r="B17" s="3">
        <v>76.148708999999997</v>
      </c>
      <c r="C17" s="4">
        <f t="shared" si="0"/>
        <v>-4.7715999999994096E-2</v>
      </c>
      <c r="D17" s="4"/>
      <c r="E17" s="3">
        <v>45.82</v>
      </c>
      <c r="F17" s="3">
        <v>17.5</v>
      </c>
      <c r="G17" s="3">
        <v>77.545841999999993</v>
      </c>
      <c r="H17" s="4">
        <f t="shared" si="1"/>
        <v>-8.0594000000004939E-2</v>
      </c>
      <c r="I17" s="4"/>
      <c r="J17" s="3">
        <v>45.82</v>
      </c>
      <c r="K17" s="3">
        <v>17.5</v>
      </c>
      <c r="L17" s="13">
        <f>YEAR(Weekly_Prices[[#This Row],[Date]])</f>
        <v>2003</v>
      </c>
      <c r="M17" s="13">
        <f>MONTH(Weekly_Prices[[#This Row],[Date]])</f>
        <v>9</v>
      </c>
      <c r="N17" s="3" t="str">
        <f>TEXT(Weekly_Prices[[#This Row],[Date]],"MMMM")</f>
        <v>September</v>
      </c>
      <c r="O17" s="3" t="str">
        <f>YEAR(Weekly_Prices[[#This Row],[Date]])&amp;"-"&amp;TEXT(WEEKNUM(Weekly_Prices[[#This Row],[Date]],2),"00")</f>
        <v>2003-39</v>
      </c>
    </row>
    <row r="18" spans="1:15" x14ac:dyDescent="0.35">
      <c r="A18" s="2">
        <v>37893</v>
      </c>
      <c r="B18" s="3">
        <v>76.08399</v>
      </c>
      <c r="C18" s="4">
        <f t="shared" si="0"/>
        <v>-6.471899999999664E-2</v>
      </c>
      <c r="D18" s="4"/>
      <c r="E18" s="3">
        <v>45.82</v>
      </c>
      <c r="F18" s="3">
        <v>17.5</v>
      </c>
      <c r="G18" s="3">
        <v>77.526893999999999</v>
      </c>
      <c r="H18" s="4">
        <f t="shared" si="1"/>
        <v>-1.8947999999994636E-2</v>
      </c>
      <c r="I18" s="4"/>
      <c r="J18" s="3">
        <v>45.82</v>
      </c>
      <c r="K18" s="3">
        <v>17.5</v>
      </c>
      <c r="L18" s="13">
        <f>YEAR(Weekly_Prices[[#This Row],[Date]])</f>
        <v>2003</v>
      </c>
      <c r="M18" s="13">
        <f>MONTH(Weekly_Prices[[#This Row],[Date]])</f>
        <v>9</v>
      </c>
      <c r="N18" s="3" t="str">
        <f>TEXT(Weekly_Prices[[#This Row],[Date]],"MMMM")</f>
        <v>September</v>
      </c>
      <c r="O18" s="3" t="str">
        <f>YEAR(Weekly_Prices[[#This Row],[Date]])&amp;"-"&amp;TEXT(WEEKNUM(Weekly_Prices[[#This Row],[Date]],2),"00")</f>
        <v>2003-40</v>
      </c>
    </row>
    <row r="19" spans="1:15" x14ac:dyDescent="0.35">
      <c r="A19" s="2">
        <v>37900</v>
      </c>
      <c r="B19" s="3">
        <v>76.432933000000006</v>
      </c>
      <c r="C19" s="4">
        <f t="shared" si="0"/>
        <v>0.34894300000000555</v>
      </c>
      <c r="D19" s="4"/>
      <c r="E19" s="3">
        <v>47.1</v>
      </c>
      <c r="F19" s="3">
        <v>17.5</v>
      </c>
      <c r="G19" s="3">
        <v>77.661236000000002</v>
      </c>
      <c r="H19" s="4">
        <f t="shared" si="1"/>
        <v>0.13434200000000374</v>
      </c>
      <c r="I19" s="4"/>
      <c r="J19" s="3">
        <v>47.1</v>
      </c>
      <c r="K19" s="3">
        <v>17.5</v>
      </c>
      <c r="L19" s="13">
        <f>YEAR(Weekly_Prices[[#This Row],[Date]])</f>
        <v>2003</v>
      </c>
      <c r="M19" s="13">
        <f>MONTH(Weekly_Prices[[#This Row],[Date]])</f>
        <v>10</v>
      </c>
      <c r="N19" s="3" t="str">
        <f>TEXT(Weekly_Prices[[#This Row],[Date]],"MMMM")</f>
        <v>October</v>
      </c>
      <c r="O19" s="3" t="str">
        <f>YEAR(Weekly_Prices[[#This Row],[Date]])&amp;"-"&amp;TEXT(WEEKNUM(Weekly_Prices[[#This Row],[Date]],2),"00")</f>
        <v>2003-41</v>
      </c>
    </row>
    <row r="20" spans="1:15" x14ac:dyDescent="0.35">
      <c r="A20" s="2">
        <v>37907</v>
      </c>
      <c r="B20" s="3">
        <v>75.897528000000008</v>
      </c>
      <c r="C20" s="4">
        <f t="shared" si="0"/>
        <v>-0.53540499999999724</v>
      </c>
      <c r="D20" s="4"/>
      <c r="E20" s="3">
        <v>47.1</v>
      </c>
      <c r="F20" s="3">
        <v>17.5</v>
      </c>
      <c r="G20" s="3">
        <v>77.426488000000006</v>
      </c>
      <c r="H20" s="4">
        <f t="shared" si="1"/>
        <v>-0.23474799999999618</v>
      </c>
      <c r="I20" s="4"/>
      <c r="J20" s="3">
        <v>47.1</v>
      </c>
      <c r="K20" s="3">
        <v>17.5</v>
      </c>
      <c r="L20" s="13">
        <f>YEAR(Weekly_Prices[[#This Row],[Date]])</f>
        <v>2003</v>
      </c>
      <c r="M20" s="13">
        <f>MONTH(Weekly_Prices[[#This Row],[Date]])</f>
        <v>10</v>
      </c>
      <c r="N20" s="3" t="str">
        <f>TEXT(Weekly_Prices[[#This Row],[Date]],"MMMM")</f>
        <v>October</v>
      </c>
      <c r="O20" s="3" t="str">
        <f>YEAR(Weekly_Prices[[#This Row],[Date]])&amp;"-"&amp;TEXT(WEEKNUM(Weekly_Prices[[#This Row],[Date]],2),"00")</f>
        <v>2003-42</v>
      </c>
    </row>
    <row r="21" spans="1:15" x14ac:dyDescent="0.35">
      <c r="A21" s="2">
        <v>37914</v>
      </c>
      <c r="B21" s="3">
        <v>76.048059999999992</v>
      </c>
      <c r="C21" s="4">
        <f t="shared" si="0"/>
        <v>0.15053199999998412</v>
      </c>
      <c r="D21" s="4"/>
      <c r="E21" s="3">
        <v>47.1</v>
      </c>
      <c r="F21" s="3">
        <v>17.5</v>
      </c>
      <c r="G21" s="3">
        <v>77.544713999999999</v>
      </c>
      <c r="H21" s="4">
        <f t="shared" si="1"/>
        <v>0.11822599999999284</v>
      </c>
      <c r="I21" s="4"/>
      <c r="J21" s="3">
        <v>47.1</v>
      </c>
      <c r="K21" s="3">
        <v>17.5</v>
      </c>
      <c r="L21" s="13">
        <f>YEAR(Weekly_Prices[[#This Row],[Date]])</f>
        <v>2003</v>
      </c>
      <c r="M21" s="13">
        <f>MONTH(Weekly_Prices[[#This Row],[Date]])</f>
        <v>10</v>
      </c>
      <c r="N21" s="3" t="str">
        <f>TEXT(Weekly_Prices[[#This Row],[Date]],"MMMM")</f>
        <v>October</v>
      </c>
      <c r="O21" s="3" t="str">
        <f>YEAR(Weekly_Prices[[#This Row],[Date]])&amp;"-"&amp;TEXT(WEEKNUM(Weekly_Prices[[#This Row],[Date]],2),"00")</f>
        <v>2003-43</v>
      </c>
    </row>
    <row r="22" spans="1:15" x14ac:dyDescent="0.35">
      <c r="A22" s="2">
        <v>37921</v>
      </c>
      <c r="B22" s="3">
        <v>75.995459999999994</v>
      </c>
      <c r="C22" s="4">
        <f t="shared" si="0"/>
        <v>-5.2599999999998204E-2</v>
      </c>
      <c r="D22" s="4"/>
      <c r="E22" s="3">
        <v>47.1</v>
      </c>
      <c r="F22" s="3">
        <v>17.5</v>
      </c>
      <c r="G22" s="3">
        <v>77.510977999999994</v>
      </c>
      <c r="H22" s="4">
        <f t="shared" si="1"/>
        <v>-3.3736000000004651E-2</v>
      </c>
      <c r="I22" s="4"/>
      <c r="J22" s="3">
        <v>47.1</v>
      </c>
      <c r="K22" s="3">
        <v>17.5</v>
      </c>
      <c r="L22" s="13">
        <f>YEAR(Weekly_Prices[[#This Row],[Date]])</f>
        <v>2003</v>
      </c>
      <c r="M22" s="13">
        <f>MONTH(Weekly_Prices[[#This Row],[Date]])</f>
        <v>10</v>
      </c>
      <c r="N22" s="3" t="str">
        <f>TEXT(Weekly_Prices[[#This Row],[Date]],"MMMM")</f>
        <v>October</v>
      </c>
      <c r="O22" s="3" t="str">
        <f>YEAR(Weekly_Prices[[#This Row],[Date]])&amp;"-"&amp;TEXT(WEEKNUM(Weekly_Prices[[#This Row],[Date]],2),"00")</f>
        <v>2003-44</v>
      </c>
    </row>
    <row r="23" spans="1:15" x14ac:dyDescent="0.35">
      <c r="A23" s="2">
        <v>37928</v>
      </c>
      <c r="B23" s="3">
        <v>75.996259000000009</v>
      </c>
      <c r="C23" s="4">
        <f t="shared" si="0"/>
        <v>7.9900000001487115E-4</v>
      </c>
      <c r="D23" s="4"/>
      <c r="E23" s="3">
        <v>47.1</v>
      </c>
      <c r="F23" s="3">
        <v>17.5</v>
      </c>
      <c r="G23" s="3">
        <v>77.519974000000005</v>
      </c>
      <c r="H23" s="4">
        <f t="shared" si="1"/>
        <v>8.9960000000104401E-3</v>
      </c>
      <c r="I23" s="4"/>
      <c r="J23" s="3">
        <v>47.1</v>
      </c>
      <c r="K23" s="3">
        <v>17.5</v>
      </c>
      <c r="L23" s="13">
        <f>YEAR(Weekly_Prices[[#This Row],[Date]])</f>
        <v>2003</v>
      </c>
      <c r="M23" s="13">
        <f>MONTH(Weekly_Prices[[#This Row],[Date]])</f>
        <v>11</v>
      </c>
      <c r="N23" s="3" t="str">
        <f>TEXT(Weekly_Prices[[#This Row],[Date]],"MMMM")</f>
        <v>November</v>
      </c>
      <c r="O23" s="3" t="str">
        <f>YEAR(Weekly_Prices[[#This Row],[Date]])&amp;"-"&amp;TEXT(WEEKNUM(Weekly_Prices[[#This Row],[Date]],2),"00")</f>
        <v>2003-45</v>
      </c>
    </row>
    <row r="24" spans="1:15" x14ac:dyDescent="0.35">
      <c r="A24" s="2">
        <v>37935</v>
      </c>
      <c r="B24" s="3">
        <v>75.942830000000001</v>
      </c>
      <c r="C24" s="4">
        <f t="shared" si="0"/>
        <v>-5.3429000000008386E-2</v>
      </c>
      <c r="D24" s="4"/>
      <c r="E24" s="3">
        <v>47.1</v>
      </c>
      <c r="F24" s="3">
        <v>17.5</v>
      </c>
      <c r="G24" s="3">
        <v>77.469867999999991</v>
      </c>
      <c r="H24" s="4">
        <f t="shared" si="1"/>
        <v>-5.0106000000013751E-2</v>
      </c>
      <c r="I24" s="4"/>
      <c r="J24" s="3">
        <v>47.1</v>
      </c>
      <c r="K24" s="3">
        <v>17.5</v>
      </c>
      <c r="L24" s="13">
        <f>YEAR(Weekly_Prices[[#This Row],[Date]])</f>
        <v>2003</v>
      </c>
      <c r="M24" s="13">
        <f>MONTH(Weekly_Prices[[#This Row],[Date]])</f>
        <v>11</v>
      </c>
      <c r="N24" s="3" t="str">
        <f>TEXT(Weekly_Prices[[#This Row],[Date]],"MMMM")</f>
        <v>November</v>
      </c>
      <c r="O24" s="3" t="str">
        <f>YEAR(Weekly_Prices[[#This Row],[Date]])&amp;"-"&amp;TEXT(WEEKNUM(Weekly_Prices[[#This Row],[Date]],2),"00")</f>
        <v>2003-46</v>
      </c>
    </row>
    <row r="25" spans="1:15" x14ac:dyDescent="0.35">
      <c r="A25" s="2">
        <v>37942</v>
      </c>
      <c r="B25" s="3">
        <v>75.926843000000005</v>
      </c>
      <c r="C25" s="4">
        <f t="shared" si="0"/>
        <v>-1.5986999999995533E-2</v>
      </c>
      <c r="D25" s="4"/>
      <c r="E25" s="3">
        <v>47.1</v>
      </c>
      <c r="F25" s="3">
        <v>17.5</v>
      </c>
      <c r="G25" s="3">
        <v>77.517623999999998</v>
      </c>
      <c r="H25" s="4">
        <f t="shared" si="1"/>
        <v>4.7756000000006793E-2</v>
      </c>
      <c r="I25" s="4"/>
      <c r="J25" s="3">
        <v>47.1</v>
      </c>
      <c r="K25" s="3">
        <v>17.5</v>
      </c>
      <c r="L25" s="13">
        <f>YEAR(Weekly_Prices[[#This Row],[Date]])</f>
        <v>2003</v>
      </c>
      <c r="M25" s="13">
        <f>MONTH(Weekly_Prices[[#This Row],[Date]])</f>
        <v>11</v>
      </c>
      <c r="N25" s="3" t="str">
        <f>TEXT(Weekly_Prices[[#This Row],[Date]],"MMMM")</f>
        <v>November</v>
      </c>
      <c r="O25" s="3" t="str">
        <f>YEAR(Weekly_Prices[[#This Row],[Date]])&amp;"-"&amp;TEXT(WEEKNUM(Weekly_Prices[[#This Row],[Date]],2),"00")</f>
        <v>2003-47</v>
      </c>
    </row>
    <row r="26" spans="1:15" x14ac:dyDescent="0.35">
      <c r="A26" s="2">
        <v>37949</v>
      </c>
      <c r="B26" s="3">
        <v>76.015097999999995</v>
      </c>
      <c r="C26" s="4">
        <f t="shared" si="0"/>
        <v>8.8254999999989536E-2</v>
      </c>
      <c r="D26" s="4"/>
      <c r="E26" s="3">
        <v>47.1</v>
      </c>
      <c r="F26" s="3">
        <v>17.5</v>
      </c>
      <c r="G26" s="3">
        <v>77.670648</v>
      </c>
      <c r="H26" s="4">
        <f t="shared" si="1"/>
        <v>0.15302400000000205</v>
      </c>
      <c r="I26" s="4"/>
      <c r="J26" s="3">
        <v>47.1</v>
      </c>
      <c r="K26" s="3">
        <v>17.5</v>
      </c>
      <c r="L26" s="13">
        <f>YEAR(Weekly_Prices[[#This Row],[Date]])</f>
        <v>2003</v>
      </c>
      <c r="M26" s="13">
        <f>MONTH(Weekly_Prices[[#This Row],[Date]])</f>
        <v>11</v>
      </c>
      <c r="N26" s="3" t="str">
        <f>TEXT(Weekly_Prices[[#This Row],[Date]],"MMMM")</f>
        <v>November</v>
      </c>
      <c r="O26" s="3" t="str">
        <f>YEAR(Weekly_Prices[[#This Row],[Date]])&amp;"-"&amp;TEXT(WEEKNUM(Weekly_Prices[[#This Row],[Date]],2),"00")</f>
        <v>2003-48</v>
      </c>
    </row>
    <row r="27" spans="1:15" x14ac:dyDescent="0.35">
      <c r="A27" s="2">
        <v>37956</v>
      </c>
      <c r="B27" s="3">
        <v>75.995276000000004</v>
      </c>
      <c r="C27" s="4">
        <f t="shared" si="0"/>
        <v>-1.982199999999068E-2</v>
      </c>
      <c r="D27" s="4"/>
      <c r="E27" s="3">
        <v>47.1</v>
      </c>
      <c r="F27" s="3">
        <v>17.5</v>
      </c>
      <c r="G27" s="3">
        <v>77.657071999999999</v>
      </c>
      <c r="H27" s="4">
        <f t="shared" si="1"/>
        <v>-1.3576000000000477E-2</v>
      </c>
      <c r="I27" s="4"/>
      <c r="J27" s="3">
        <v>47.1</v>
      </c>
      <c r="K27" s="3">
        <v>17.5</v>
      </c>
      <c r="L27" s="13">
        <f>YEAR(Weekly_Prices[[#This Row],[Date]])</f>
        <v>2003</v>
      </c>
      <c r="M27" s="13">
        <f>MONTH(Weekly_Prices[[#This Row],[Date]])</f>
        <v>12</v>
      </c>
      <c r="N27" s="3" t="str">
        <f>TEXT(Weekly_Prices[[#This Row],[Date]],"MMMM")</f>
        <v>December</v>
      </c>
      <c r="O27" s="3" t="str">
        <f>YEAR(Weekly_Prices[[#This Row],[Date]])&amp;"-"&amp;TEXT(WEEKNUM(Weekly_Prices[[#This Row],[Date]],2),"00")</f>
        <v>2003-49</v>
      </c>
    </row>
    <row r="28" spans="1:15" x14ac:dyDescent="0.35">
      <c r="A28" s="2">
        <v>37963</v>
      </c>
      <c r="B28" s="3">
        <v>75.970566000000005</v>
      </c>
      <c r="C28" s="4">
        <f t="shared" si="0"/>
        <v>-2.47099999999989E-2</v>
      </c>
      <c r="D28" s="4"/>
      <c r="E28" s="3">
        <v>47.1</v>
      </c>
      <c r="F28" s="3">
        <v>17.5</v>
      </c>
      <c r="G28" s="3">
        <v>77.628803999999988</v>
      </c>
      <c r="H28" s="4">
        <f t="shared" si="1"/>
        <v>-2.8268000000011284E-2</v>
      </c>
      <c r="I28" s="4"/>
      <c r="J28" s="3">
        <v>47.1</v>
      </c>
      <c r="K28" s="3">
        <v>17.5</v>
      </c>
      <c r="L28" s="13">
        <f>YEAR(Weekly_Prices[[#This Row],[Date]])</f>
        <v>2003</v>
      </c>
      <c r="M28" s="13">
        <f>MONTH(Weekly_Prices[[#This Row],[Date]])</f>
        <v>12</v>
      </c>
      <c r="N28" s="3" t="str">
        <f>TEXT(Weekly_Prices[[#This Row],[Date]],"MMMM")</f>
        <v>December</v>
      </c>
      <c r="O28" s="3" t="str">
        <f>YEAR(Weekly_Prices[[#This Row],[Date]])&amp;"-"&amp;TEXT(WEEKNUM(Weekly_Prices[[#This Row],[Date]],2),"00")</f>
        <v>2003-50</v>
      </c>
    </row>
    <row r="29" spans="1:15" x14ac:dyDescent="0.35">
      <c r="A29" s="2">
        <v>37970</v>
      </c>
      <c r="B29" s="3">
        <v>75.959063</v>
      </c>
      <c r="C29" s="4">
        <f t="shared" si="0"/>
        <v>-1.1503000000004704E-2</v>
      </c>
      <c r="D29" s="4"/>
      <c r="E29" s="3">
        <v>47.1</v>
      </c>
      <c r="F29" s="3">
        <v>17.5</v>
      </c>
      <c r="G29" s="3">
        <v>77.619337999999999</v>
      </c>
      <c r="H29" s="4">
        <f t="shared" si="1"/>
        <v>-9.4659999999890942E-3</v>
      </c>
      <c r="I29" s="4"/>
      <c r="J29" s="3">
        <v>47.1</v>
      </c>
      <c r="K29" s="3">
        <v>17.5</v>
      </c>
      <c r="L29" s="13">
        <f>YEAR(Weekly_Prices[[#This Row],[Date]])</f>
        <v>2003</v>
      </c>
      <c r="M29" s="13">
        <f>MONTH(Weekly_Prices[[#This Row],[Date]])</f>
        <v>12</v>
      </c>
      <c r="N29" s="3" t="str">
        <f>TEXT(Weekly_Prices[[#This Row],[Date]],"MMMM")</f>
        <v>December</v>
      </c>
      <c r="O29" s="3" t="str">
        <f>YEAR(Weekly_Prices[[#This Row],[Date]])&amp;"-"&amp;TEXT(WEEKNUM(Weekly_Prices[[#This Row],[Date]],2),"00")</f>
        <v>2003-51</v>
      </c>
    </row>
    <row r="30" spans="1:15" x14ac:dyDescent="0.35">
      <c r="A30" s="2">
        <v>37977</v>
      </c>
      <c r="B30" s="3">
        <v>75.922636000000011</v>
      </c>
      <c r="C30" s="4">
        <f t="shared" si="0"/>
        <v>-3.6426999999989107E-2</v>
      </c>
      <c r="D30" s="4"/>
      <c r="E30" s="3">
        <v>47.1</v>
      </c>
      <c r="F30" s="3">
        <v>17.5</v>
      </c>
      <c r="G30" s="3">
        <v>77.613817999999995</v>
      </c>
      <c r="H30" s="4">
        <f t="shared" si="1"/>
        <v>-5.5200000000041882E-3</v>
      </c>
      <c r="I30" s="4"/>
      <c r="J30" s="3">
        <v>47.1</v>
      </c>
      <c r="K30" s="3">
        <v>17.5</v>
      </c>
      <c r="L30" s="13">
        <f>YEAR(Weekly_Prices[[#This Row],[Date]])</f>
        <v>2003</v>
      </c>
      <c r="M30" s="13">
        <f>MONTH(Weekly_Prices[[#This Row],[Date]])</f>
        <v>12</v>
      </c>
      <c r="N30" s="3" t="str">
        <f>TEXT(Weekly_Prices[[#This Row],[Date]],"MMMM")</f>
        <v>December</v>
      </c>
      <c r="O30" s="3" t="str">
        <f>YEAR(Weekly_Prices[[#This Row],[Date]])&amp;"-"&amp;TEXT(WEEKNUM(Weekly_Prices[[#This Row],[Date]],2),"00")</f>
        <v>2003-52</v>
      </c>
    </row>
    <row r="31" spans="1:15" x14ac:dyDescent="0.35">
      <c r="A31" s="2">
        <v>37984</v>
      </c>
      <c r="B31" s="3">
        <v>75.939699000000005</v>
      </c>
      <c r="C31" s="4">
        <f t="shared" si="0"/>
        <v>1.7062999999993167E-2</v>
      </c>
      <c r="D31" s="4"/>
      <c r="E31" s="3">
        <v>47.1</v>
      </c>
      <c r="F31" s="3">
        <v>17.5</v>
      </c>
      <c r="G31" s="3">
        <v>77.600881999999984</v>
      </c>
      <c r="H31" s="4">
        <f t="shared" si="1"/>
        <v>-1.2936000000010495E-2</v>
      </c>
      <c r="I31" s="4"/>
      <c r="J31" s="3">
        <v>47.1</v>
      </c>
      <c r="K31" s="3">
        <v>17.5</v>
      </c>
      <c r="L31" s="13">
        <f>YEAR(Weekly_Prices[[#This Row],[Date]])</f>
        <v>2003</v>
      </c>
      <c r="M31" s="13">
        <f>MONTH(Weekly_Prices[[#This Row],[Date]])</f>
        <v>12</v>
      </c>
      <c r="N31" s="3" t="str">
        <f>TEXT(Weekly_Prices[[#This Row],[Date]],"MMMM")</f>
        <v>December</v>
      </c>
      <c r="O31" s="3" t="str">
        <f>YEAR(Weekly_Prices[[#This Row],[Date]])&amp;"-"&amp;TEXT(WEEKNUM(Weekly_Prices[[#This Row],[Date]],2),"00")</f>
        <v>2003-53</v>
      </c>
    </row>
    <row r="32" spans="1:15" x14ac:dyDescent="0.35">
      <c r="A32" s="2">
        <v>37991</v>
      </c>
      <c r="B32" s="3">
        <v>75.876775000000009</v>
      </c>
      <c r="C32" s="4">
        <f t="shared" si="0"/>
        <v>-6.2923999999995317E-2</v>
      </c>
      <c r="D32" s="4"/>
      <c r="E32" s="3">
        <v>47.1</v>
      </c>
      <c r="F32" s="3">
        <v>17.5</v>
      </c>
      <c r="G32" s="3">
        <v>77.535647999999995</v>
      </c>
      <c r="H32" s="4">
        <f t="shared" si="1"/>
        <v>-6.5233999999989578E-2</v>
      </c>
      <c r="I32" s="4"/>
      <c r="J32" s="3">
        <v>47.1</v>
      </c>
      <c r="K32" s="3">
        <v>17.5</v>
      </c>
      <c r="L32" s="13">
        <f>YEAR(Weekly_Prices[[#This Row],[Date]])</f>
        <v>2004</v>
      </c>
      <c r="M32" s="13">
        <f>MONTH(Weekly_Prices[[#This Row],[Date]])</f>
        <v>1</v>
      </c>
      <c r="N32" s="3" t="str">
        <f>TEXT(Weekly_Prices[[#This Row],[Date]],"MMMM")</f>
        <v>January</v>
      </c>
      <c r="O32" s="3" t="str">
        <f>YEAR(Weekly_Prices[[#This Row],[Date]])&amp;"-"&amp;TEXT(WEEKNUM(Weekly_Prices[[#This Row],[Date]],2),"00")</f>
        <v>2004-02</v>
      </c>
    </row>
    <row r="33" spans="1:15" x14ac:dyDescent="0.35">
      <c r="A33" s="2">
        <v>37998</v>
      </c>
      <c r="B33" s="3">
        <v>75.898215999999991</v>
      </c>
      <c r="C33" s="4">
        <f t="shared" si="0"/>
        <v>2.1440999999981614E-2</v>
      </c>
      <c r="D33" s="4"/>
      <c r="E33" s="3">
        <v>47.1</v>
      </c>
      <c r="F33" s="3">
        <v>17.5</v>
      </c>
      <c r="G33" s="3">
        <v>77.542541999999997</v>
      </c>
      <c r="H33" s="4">
        <f t="shared" si="1"/>
        <v>6.8940000000026203E-3</v>
      </c>
      <c r="I33" s="4"/>
      <c r="J33" s="3">
        <v>47.1</v>
      </c>
      <c r="K33" s="3">
        <v>17.5</v>
      </c>
      <c r="L33" s="13">
        <f>YEAR(Weekly_Prices[[#This Row],[Date]])</f>
        <v>2004</v>
      </c>
      <c r="M33" s="13">
        <f>MONTH(Weekly_Prices[[#This Row],[Date]])</f>
        <v>1</v>
      </c>
      <c r="N33" s="3" t="str">
        <f>TEXT(Weekly_Prices[[#This Row],[Date]],"MMMM")</f>
        <v>January</v>
      </c>
      <c r="O33" s="3" t="str">
        <f>YEAR(Weekly_Prices[[#This Row],[Date]])&amp;"-"&amp;TEXT(WEEKNUM(Weekly_Prices[[#This Row],[Date]],2),"00")</f>
        <v>2004-03</v>
      </c>
    </row>
    <row r="34" spans="1:15" x14ac:dyDescent="0.35">
      <c r="A34" s="2">
        <v>38005</v>
      </c>
      <c r="B34" s="3">
        <v>76.360931000000008</v>
      </c>
      <c r="C34" s="4">
        <f t="shared" si="0"/>
        <v>0.46271500000001708</v>
      </c>
      <c r="D34" s="4"/>
      <c r="E34" s="3">
        <v>47.1</v>
      </c>
      <c r="F34" s="3">
        <v>17.5</v>
      </c>
      <c r="G34" s="3">
        <v>78.055917999999991</v>
      </c>
      <c r="H34" s="4">
        <f t="shared" si="1"/>
        <v>0.51337599999999384</v>
      </c>
      <c r="I34" s="4"/>
      <c r="J34" s="3">
        <v>47.1</v>
      </c>
      <c r="K34" s="3">
        <v>17.5</v>
      </c>
      <c r="L34" s="13">
        <f>YEAR(Weekly_Prices[[#This Row],[Date]])</f>
        <v>2004</v>
      </c>
      <c r="M34" s="13">
        <f>MONTH(Weekly_Prices[[#This Row],[Date]])</f>
        <v>1</v>
      </c>
      <c r="N34" s="3" t="str">
        <f>TEXT(Weekly_Prices[[#This Row],[Date]],"MMMM")</f>
        <v>January</v>
      </c>
      <c r="O34" s="3" t="str">
        <f>YEAR(Weekly_Prices[[#This Row],[Date]])&amp;"-"&amp;TEXT(WEEKNUM(Weekly_Prices[[#This Row],[Date]],2),"00")</f>
        <v>2004-04</v>
      </c>
    </row>
    <row r="35" spans="1:15" x14ac:dyDescent="0.35">
      <c r="A35" s="2">
        <v>38012</v>
      </c>
      <c r="B35" s="3">
        <v>76.440478999999996</v>
      </c>
      <c r="C35" s="4">
        <f t="shared" si="0"/>
        <v>7.9547999999988406E-2</v>
      </c>
      <c r="D35" s="4"/>
      <c r="E35" s="3">
        <v>47.1</v>
      </c>
      <c r="F35" s="3">
        <v>17.5</v>
      </c>
      <c r="G35" s="3">
        <v>78.07987</v>
      </c>
      <c r="H35" s="4">
        <f t="shared" si="1"/>
        <v>2.3952000000008411E-2</v>
      </c>
      <c r="I35" s="4"/>
      <c r="J35" s="3">
        <v>47.1</v>
      </c>
      <c r="K35" s="3">
        <v>17.5</v>
      </c>
      <c r="L35" s="13">
        <f>YEAR(Weekly_Prices[[#This Row],[Date]])</f>
        <v>2004</v>
      </c>
      <c r="M35" s="13">
        <f>MONTH(Weekly_Prices[[#This Row],[Date]])</f>
        <v>1</v>
      </c>
      <c r="N35" s="3" t="str">
        <f>TEXT(Weekly_Prices[[#This Row],[Date]],"MMMM")</f>
        <v>January</v>
      </c>
      <c r="O35" s="3" t="str">
        <f>YEAR(Weekly_Prices[[#This Row],[Date]])&amp;"-"&amp;TEXT(WEEKNUM(Weekly_Prices[[#This Row],[Date]],2),"00")</f>
        <v>2004-05</v>
      </c>
    </row>
    <row r="36" spans="1:15" x14ac:dyDescent="0.35">
      <c r="A36" s="2">
        <v>38019</v>
      </c>
      <c r="B36" s="3">
        <v>76.484503000000004</v>
      </c>
      <c r="C36" s="4">
        <f t="shared" si="0"/>
        <v>4.4024000000007391E-2</v>
      </c>
      <c r="D36" s="4"/>
      <c r="E36" s="3">
        <v>47.1</v>
      </c>
      <c r="F36" s="3">
        <v>17.5</v>
      </c>
      <c r="G36" s="3">
        <v>78.125573999999986</v>
      </c>
      <c r="H36" s="4">
        <f t="shared" si="1"/>
        <v>4.5703999999986422E-2</v>
      </c>
      <c r="I36" s="4"/>
      <c r="J36" s="3">
        <v>47.1</v>
      </c>
      <c r="K36" s="3">
        <v>17.5</v>
      </c>
      <c r="L36" s="13">
        <f>YEAR(Weekly_Prices[[#This Row],[Date]])</f>
        <v>2004</v>
      </c>
      <c r="M36" s="13">
        <f>MONTH(Weekly_Prices[[#This Row],[Date]])</f>
        <v>2</v>
      </c>
      <c r="N36" s="3" t="str">
        <f>TEXT(Weekly_Prices[[#This Row],[Date]],"MMMM")</f>
        <v>February</v>
      </c>
      <c r="O36" s="3" t="str">
        <f>YEAR(Weekly_Prices[[#This Row],[Date]])&amp;"-"&amp;TEXT(WEEKNUM(Weekly_Prices[[#This Row],[Date]],2),"00")</f>
        <v>2004-06</v>
      </c>
    </row>
    <row r="37" spans="1:15" x14ac:dyDescent="0.35">
      <c r="A37" s="2">
        <v>38026</v>
      </c>
      <c r="B37" s="3">
        <v>76.501518999999988</v>
      </c>
      <c r="C37" s="4">
        <f t="shared" si="0"/>
        <v>1.7015999999983933E-2</v>
      </c>
      <c r="D37" s="4"/>
      <c r="E37" s="3">
        <v>47.1</v>
      </c>
      <c r="F37" s="3">
        <v>17.5</v>
      </c>
      <c r="G37" s="3">
        <v>77.981781999999981</v>
      </c>
      <c r="H37" s="4">
        <f t="shared" si="1"/>
        <v>-0.1437920000000048</v>
      </c>
      <c r="I37" s="4"/>
      <c r="J37" s="3">
        <v>47.1</v>
      </c>
      <c r="K37" s="3">
        <v>17.5</v>
      </c>
      <c r="L37" s="13">
        <f>YEAR(Weekly_Prices[[#This Row],[Date]])</f>
        <v>2004</v>
      </c>
      <c r="M37" s="13">
        <f>MONTH(Weekly_Prices[[#This Row],[Date]])</f>
        <v>2</v>
      </c>
      <c r="N37" s="3" t="str">
        <f>TEXT(Weekly_Prices[[#This Row],[Date]],"MMMM")</f>
        <v>February</v>
      </c>
      <c r="O37" s="3" t="str">
        <f>YEAR(Weekly_Prices[[#This Row],[Date]])&amp;"-"&amp;TEXT(WEEKNUM(Weekly_Prices[[#This Row],[Date]],2),"00")</f>
        <v>2004-07</v>
      </c>
    </row>
    <row r="38" spans="1:15" x14ac:dyDescent="0.35">
      <c r="A38" s="2">
        <v>38033</v>
      </c>
      <c r="B38" s="3">
        <v>76.440508999999992</v>
      </c>
      <c r="C38" s="4">
        <f t="shared" si="0"/>
        <v>-6.1009999999996012E-2</v>
      </c>
      <c r="D38" s="4"/>
      <c r="E38" s="3">
        <v>47.1</v>
      </c>
      <c r="F38" s="3">
        <v>17.5</v>
      </c>
      <c r="G38" s="3">
        <v>77.996951999999993</v>
      </c>
      <c r="H38" s="4">
        <f t="shared" si="1"/>
        <v>1.5170000000011896E-2</v>
      </c>
      <c r="I38" s="4"/>
      <c r="J38" s="3">
        <v>47.1</v>
      </c>
      <c r="K38" s="3">
        <v>17.5</v>
      </c>
      <c r="L38" s="13">
        <f>YEAR(Weekly_Prices[[#This Row],[Date]])</f>
        <v>2004</v>
      </c>
      <c r="M38" s="13">
        <f>MONTH(Weekly_Prices[[#This Row],[Date]])</f>
        <v>2</v>
      </c>
      <c r="N38" s="3" t="str">
        <f>TEXT(Weekly_Prices[[#This Row],[Date]],"MMMM")</f>
        <v>February</v>
      </c>
      <c r="O38" s="3" t="str">
        <f>YEAR(Weekly_Prices[[#This Row],[Date]])&amp;"-"&amp;TEXT(WEEKNUM(Weekly_Prices[[#This Row],[Date]],2),"00")</f>
        <v>2004-08</v>
      </c>
    </row>
    <row r="39" spans="1:15" x14ac:dyDescent="0.35">
      <c r="A39" s="2">
        <v>38040</v>
      </c>
      <c r="B39" s="3">
        <v>76.381048000000007</v>
      </c>
      <c r="C39" s="4">
        <f t="shared" si="0"/>
        <v>-5.9460999999984665E-2</v>
      </c>
      <c r="D39" s="4"/>
      <c r="E39" s="3">
        <v>47.1</v>
      </c>
      <c r="F39" s="3">
        <v>17.5</v>
      </c>
      <c r="G39" s="3">
        <v>77.928959999999989</v>
      </c>
      <c r="H39" s="4">
        <f t="shared" si="1"/>
        <v>-6.7992000000003827E-2</v>
      </c>
      <c r="I39" s="4"/>
      <c r="J39" s="3">
        <v>47.1</v>
      </c>
      <c r="K39" s="3">
        <v>17.5</v>
      </c>
      <c r="L39" s="13">
        <f>YEAR(Weekly_Prices[[#This Row],[Date]])</f>
        <v>2004</v>
      </c>
      <c r="M39" s="13">
        <f>MONTH(Weekly_Prices[[#This Row],[Date]])</f>
        <v>2</v>
      </c>
      <c r="N39" s="3" t="str">
        <f>TEXT(Weekly_Prices[[#This Row],[Date]],"MMMM")</f>
        <v>February</v>
      </c>
      <c r="O39" s="3" t="str">
        <f>YEAR(Weekly_Prices[[#This Row],[Date]])&amp;"-"&amp;TEXT(WEEKNUM(Weekly_Prices[[#This Row],[Date]],2),"00")</f>
        <v>2004-09</v>
      </c>
    </row>
    <row r="40" spans="1:15" x14ac:dyDescent="0.35">
      <c r="A40" s="2">
        <v>38047</v>
      </c>
      <c r="B40" s="3">
        <v>76.324192000000011</v>
      </c>
      <c r="C40" s="4">
        <f t="shared" si="0"/>
        <v>-5.6855999999996243E-2</v>
      </c>
      <c r="D40" s="4"/>
      <c r="E40" s="3">
        <v>47.1</v>
      </c>
      <c r="F40" s="3">
        <v>17.5</v>
      </c>
      <c r="G40" s="3">
        <v>77.869355999999996</v>
      </c>
      <c r="H40" s="4">
        <f t="shared" si="1"/>
        <v>-5.9603999999993107E-2</v>
      </c>
      <c r="I40" s="4"/>
      <c r="J40" s="3">
        <v>47.1</v>
      </c>
      <c r="K40" s="3">
        <v>17.5</v>
      </c>
      <c r="L40" s="13">
        <f>YEAR(Weekly_Prices[[#This Row],[Date]])</f>
        <v>2004</v>
      </c>
      <c r="M40" s="13">
        <f>MONTH(Weekly_Prices[[#This Row],[Date]])</f>
        <v>3</v>
      </c>
      <c r="N40" s="3" t="str">
        <f>TEXT(Weekly_Prices[[#This Row],[Date]],"MMMM")</f>
        <v>March</v>
      </c>
      <c r="O40" s="3" t="str">
        <f>YEAR(Weekly_Prices[[#This Row],[Date]])&amp;"-"&amp;TEXT(WEEKNUM(Weekly_Prices[[#This Row],[Date]],2),"00")</f>
        <v>2004-10</v>
      </c>
    </row>
    <row r="41" spans="1:15" x14ac:dyDescent="0.35">
      <c r="A41" s="2">
        <v>38054</v>
      </c>
      <c r="B41" s="3">
        <v>76.733069</v>
      </c>
      <c r="C41" s="4">
        <f t="shared" si="0"/>
        <v>0.40887699999998972</v>
      </c>
      <c r="D41" s="4"/>
      <c r="E41" s="3">
        <v>47.1</v>
      </c>
      <c r="F41" s="3">
        <v>17.5</v>
      </c>
      <c r="G41" s="3">
        <v>78.254357999999996</v>
      </c>
      <c r="H41" s="4">
        <f t="shared" si="1"/>
        <v>0.38500200000000007</v>
      </c>
      <c r="I41" s="4"/>
      <c r="J41" s="3">
        <v>47.1</v>
      </c>
      <c r="K41" s="3">
        <v>17.5</v>
      </c>
      <c r="L41" s="13">
        <f>YEAR(Weekly_Prices[[#This Row],[Date]])</f>
        <v>2004</v>
      </c>
      <c r="M41" s="13">
        <f>MONTH(Weekly_Prices[[#This Row],[Date]])</f>
        <v>3</v>
      </c>
      <c r="N41" s="3" t="str">
        <f>TEXT(Weekly_Prices[[#This Row],[Date]],"MMMM")</f>
        <v>March</v>
      </c>
      <c r="O41" s="3" t="str">
        <f>YEAR(Weekly_Prices[[#This Row],[Date]])&amp;"-"&amp;TEXT(WEEKNUM(Weekly_Prices[[#This Row],[Date]],2),"00")</f>
        <v>2004-11</v>
      </c>
    </row>
    <row r="42" spans="1:15" x14ac:dyDescent="0.35">
      <c r="A42" s="2">
        <v>38061</v>
      </c>
      <c r="B42" s="3">
        <v>77.388471999999993</v>
      </c>
      <c r="C42" s="4">
        <f t="shared" si="0"/>
        <v>0.65540299999999263</v>
      </c>
      <c r="D42" s="4"/>
      <c r="E42" s="3">
        <v>47.1</v>
      </c>
      <c r="F42" s="3">
        <v>17.5</v>
      </c>
      <c r="G42" s="3">
        <v>78.797116000000003</v>
      </c>
      <c r="H42" s="4">
        <f t="shared" si="1"/>
        <v>0.54275800000000629</v>
      </c>
      <c r="I42" s="4"/>
      <c r="J42" s="3">
        <v>47.1</v>
      </c>
      <c r="K42" s="3">
        <v>17.5</v>
      </c>
      <c r="L42" s="13">
        <f>YEAR(Weekly_Prices[[#This Row],[Date]])</f>
        <v>2004</v>
      </c>
      <c r="M42" s="13">
        <f>MONTH(Weekly_Prices[[#This Row],[Date]])</f>
        <v>3</v>
      </c>
      <c r="N42" s="3" t="str">
        <f>TEXT(Weekly_Prices[[#This Row],[Date]],"MMMM")</f>
        <v>March</v>
      </c>
      <c r="O42" s="3" t="str">
        <f>YEAR(Weekly_Prices[[#This Row],[Date]])&amp;"-"&amp;TEXT(WEEKNUM(Weekly_Prices[[#This Row],[Date]],2),"00")</f>
        <v>2004-12</v>
      </c>
    </row>
    <row r="43" spans="1:15" x14ac:dyDescent="0.35">
      <c r="A43" s="2">
        <v>38068</v>
      </c>
      <c r="B43" s="3">
        <v>77.440048000000004</v>
      </c>
      <c r="C43" s="4">
        <f t="shared" si="0"/>
        <v>5.1576000000011391E-2</v>
      </c>
      <c r="D43" s="4"/>
      <c r="E43" s="3">
        <v>47.1</v>
      </c>
      <c r="F43" s="3">
        <v>17.5</v>
      </c>
      <c r="G43" s="3">
        <v>78.924886000000001</v>
      </c>
      <c r="H43" s="4">
        <f t="shared" si="1"/>
        <v>0.12776999999999816</v>
      </c>
      <c r="I43" s="4"/>
      <c r="J43" s="3">
        <v>47.1</v>
      </c>
      <c r="K43" s="3">
        <v>17.5</v>
      </c>
      <c r="L43" s="13">
        <f>YEAR(Weekly_Prices[[#This Row],[Date]])</f>
        <v>2004</v>
      </c>
      <c r="M43" s="13">
        <f>MONTH(Weekly_Prices[[#This Row],[Date]])</f>
        <v>3</v>
      </c>
      <c r="N43" s="3" t="str">
        <f>TEXT(Weekly_Prices[[#This Row],[Date]],"MMMM")</f>
        <v>March</v>
      </c>
      <c r="O43" s="3" t="str">
        <f>YEAR(Weekly_Prices[[#This Row],[Date]])&amp;"-"&amp;TEXT(WEEKNUM(Weekly_Prices[[#This Row],[Date]],2),"00")</f>
        <v>2004-13</v>
      </c>
    </row>
    <row r="44" spans="1:15" x14ac:dyDescent="0.35">
      <c r="A44" s="2">
        <v>38075</v>
      </c>
      <c r="B44" s="3">
        <v>77.590616000000011</v>
      </c>
      <c r="C44" s="4">
        <f t="shared" si="0"/>
        <v>0.15056800000000692</v>
      </c>
      <c r="D44" s="4"/>
      <c r="E44" s="3">
        <v>47.1</v>
      </c>
      <c r="F44" s="3">
        <v>17.5</v>
      </c>
      <c r="G44" s="3">
        <v>79.013481999999996</v>
      </c>
      <c r="H44" s="4">
        <f t="shared" si="1"/>
        <v>8.8595999999995456E-2</v>
      </c>
      <c r="I44" s="4"/>
      <c r="J44" s="3">
        <v>47.1</v>
      </c>
      <c r="K44" s="3">
        <v>17.5</v>
      </c>
      <c r="L44" s="13">
        <f>YEAR(Weekly_Prices[[#This Row],[Date]])</f>
        <v>2004</v>
      </c>
      <c r="M44" s="13">
        <f>MONTH(Weekly_Prices[[#This Row],[Date]])</f>
        <v>3</v>
      </c>
      <c r="N44" s="3" t="str">
        <f>TEXT(Weekly_Prices[[#This Row],[Date]],"MMMM")</f>
        <v>March</v>
      </c>
      <c r="O44" s="3" t="str">
        <f>YEAR(Weekly_Prices[[#This Row],[Date]])&amp;"-"&amp;TEXT(WEEKNUM(Weekly_Prices[[#This Row],[Date]],2),"00")</f>
        <v>2004-14</v>
      </c>
    </row>
    <row r="45" spans="1:15" x14ac:dyDescent="0.35">
      <c r="A45" s="2">
        <v>38082</v>
      </c>
      <c r="B45" s="3">
        <v>77.855522000000008</v>
      </c>
      <c r="C45" s="4">
        <f t="shared" si="0"/>
        <v>0.26490599999999631</v>
      </c>
      <c r="D45" s="4"/>
      <c r="E45" s="3">
        <v>47.1</v>
      </c>
      <c r="F45" s="3">
        <v>17.5</v>
      </c>
      <c r="G45" s="3">
        <v>79.232032999999987</v>
      </c>
      <c r="H45" s="4">
        <f t="shared" si="1"/>
        <v>0.21855099999999084</v>
      </c>
      <c r="I45" s="4"/>
      <c r="J45" s="3">
        <v>47.1</v>
      </c>
      <c r="K45" s="3">
        <v>17.5</v>
      </c>
      <c r="L45" s="13">
        <f>YEAR(Weekly_Prices[[#This Row],[Date]])</f>
        <v>2004</v>
      </c>
      <c r="M45" s="13">
        <f>MONTH(Weekly_Prices[[#This Row],[Date]])</f>
        <v>4</v>
      </c>
      <c r="N45" s="3" t="str">
        <f>TEXT(Weekly_Prices[[#This Row],[Date]],"MMMM")</f>
        <v>April</v>
      </c>
      <c r="O45" s="3" t="str">
        <f>YEAR(Weekly_Prices[[#This Row],[Date]])&amp;"-"&amp;TEXT(WEEKNUM(Weekly_Prices[[#This Row],[Date]],2),"00")</f>
        <v>2004-15</v>
      </c>
    </row>
    <row r="46" spans="1:15" x14ac:dyDescent="0.35">
      <c r="A46" s="2">
        <v>38089</v>
      </c>
      <c r="B46" s="3">
        <v>77.884124</v>
      </c>
      <c r="C46" s="4">
        <f t="shared" si="0"/>
        <v>2.8601999999992245E-2</v>
      </c>
      <c r="D46" s="4"/>
      <c r="E46" s="3">
        <v>47.1</v>
      </c>
      <c r="F46" s="3">
        <v>17.5</v>
      </c>
      <c r="G46" s="3">
        <v>79.270280999999997</v>
      </c>
      <c r="H46" s="4">
        <f t="shared" si="1"/>
        <v>3.8248000000010052E-2</v>
      </c>
      <c r="I46" s="4"/>
      <c r="J46" s="3">
        <v>47.1</v>
      </c>
      <c r="K46" s="3">
        <v>17.5</v>
      </c>
      <c r="L46" s="13">
        <f>YEAR(Weekly_Prices[[#This Row],[Date]])</f>
        <v>2004</v>
      </c>
      <c r="M46" s="13">
        <f>MONTH(Weekly_Prices[[#This Row],[Date]])</f>
        <v>4</v>
      </c>
      <c r="N46" s="3" t="str">
        <f>TEXT(Weekly_Prices[[#This Row],[Date]],"MMMM")</f>
        <v>April</v>
      </c>
      <c r="O46" s="3" t="str">
        <f>YEAR(Weekly_Prices[[#This Row],[Date]])&amp;"-"&amp;TEXT(WEEKNUM(Weekly_Prices[[#This Row],[Date]],2),"00")</f>
        <v>2004-16</v>
      </c>
    </row>
    <row r="47" spans="1:15" x14ac:dyDescent="0.35">
      <c r="A47" s="2">
        <v>38096</v>
      </c>
      <c r="B47" s="3">
        <v>78.043833000000006</v>
      </c>
      <c r="C47" s="4">
        <f t="shared" si="0"/>
        <v>0.15970900000000654</v>
      </c>
      <c r="D47" s="4"/>
      <c r="E47" s="3">
        <v>47.1</v>
      </c>
      <c r="F47" s="3">
        <v>17.5</v>
      </c>
      <c r="G47" s="3">
        <v>79.433368999999999</v>
      </c>
      <c r="H47" s="4">
        <f t="shared" si="1"/>
        <v>0.1630880000000019</v>
      </c>
      <c r="I47" s="4"/>
      <c r="J47" s="3">
        <v>47.1</v>
      </c>
      <c r="K47" s="3">
        <v>17.5</v>
      </c>
      <c r="L47" s="13">
        <f>YEAR(Weekly_Prices[[#This Row],[Date]])</f>
        <v>2004</v>
      </c>
      <c r="M47" s="13">
        <f>MONTH(Weekly_Prices[[#This Row],[Date]])</f>
        <v>4</v>
      </c>
      <c r="N47" s="3" t="str">
        <f>TEXT(Weekly_Prices[[#This Row],[Date]],"MMMM")</f>
        <v>April</v>
      </c>
      <c r="O47" s="3" t="str">
        <f>YEAR(Weekly_Prices[[#This Row],[Date]])&amp;"-"&amp;TEXT(WEEKNUM(Weekly_Prices[[#This Row],[Date]],2),"00")</f>
        <v>2004-17</v>
      </c>
    </row>
    <row r="48" spans="1:15" x14ac:dyDescent="0.35">
      <c r="A48" s="2">
        <v>38103</v>
      </c>
      <c r="B48" s="3">
        <v>78.395093000000003</v>
      </c>
      <c r="C48" s="4">
        <f t="shared" si="0"/>
        <v>0.35125999999999635</v>
      </c>
      <c r="D48" s="4"/>
      <c r="E48" s="3">
        <v>47.1</v>
      </c>
      <c r="F48" s="3">
        <v>17.5</v>
      </c>
      <c r="G48" s="3">
        <v>79.75238499999999</v>
      </c>
      <c r="H48" s="4">
        <f t="shared" si="1"/>
        <v>0.31901599999999064</v>
      </c>
      <c r="I48" s="4"/>
      <c r="J48" s="3">
        <v>47.1</v>
      </c>
      <c r="K48" s="3">
        <v>17.5</v>
      </c>
      <c r="L48" s="13">
        <f>YEAR(Weekly_Prices[[#This Row],[Date]])</f>
        <v>2004</v>
      </c>
      <c r="M48" s="13">
        <f>MONTH(Weekly_Prices[[#This Row],[Date]])</f>
        <v>4</v>
      </c>
      <c r="N48" s="3" t="str">
        <f>TEXT(Weekly_Prices[[#This Row],[Date]],"MMMM")</f>
        <v>April</v>
      </c>
      <c r="O48" s="3" t="str">
        <f>YEAR(Weekly_Prices[[#This Row],[Date]])&amp;"-"&amp;TEXT(WEEKNUM(Weekly_Prices[[#This Row],[Date]],2),"00")</f>
        <v>2004-18</v>
      </c>
    </row>
    <row r="49" spans="1:15" x14ac:dyDescent="0.35">
      <c r="A49" s="2">
        <v>38111</v>
      </c>
      <c r="B49" s="3">
        <v>79.275408999999996</v>
      </c>
      <c r="C49" s="4">
        <f t="shared" si="0"/>
        <v>0.88031599999999344</v>
      </c>
      <c r="D49" s="4"/>
      <c r="E49" s="3">
        <v>47.1</v>
      </c>
      <c r="F49" s="3">
        <v>17.5</v>
      </c>
      <c r="G49" s="3">
        <v>80.643159999999995</v>
      </c>
      <c r="H49" s="4">
        <f t="shared" si="1"/>
        <v>0.89077500000000498</v>
      </c>
      <c r="I49" s="4"/>
      <c r="J49" s="3">
        <v>47.1</v>
      </c>
      <c r="K49" s="3">
        <v>17.5</v>
      </c>
      <c r="L49" s="13">
        <f>YEAR(Weekly_Prices[[#This Row],[Date]])</f>
        <v>2004</v>
      </c>
      <c r="M49" s="13">
        <f>MONTH(Weekly_Prices[[#This Row],[Date]])</f>
        <v>5</v>
      </c>
      <c r="N49" s="3" t="str">
        <f>TEXT(Weekly_Prices[[#This Row],[Date]],"MMMM")</f>
        <v>May</v>
      </c>
      <c r="O49" s="3" t="str">
        <f>YEAR(Weekly_Prices[[#This Row],[Date]])&amp;"-"&amp;TEXT(WEEKNUM(Weekly_Prices[[#This Row],[Date]],2),"00")</f>
        <v>2004-19</v>
      </c>
    </row>
    <row r="50" spans="1:15" x14ac:dyDescent="0.35">
      <c r="A50" s="2">
        <v>38117</v>
      </c>
      <c r="B50" s="3">
        <v>80.295771999999999</v>
      </c>
      <c r="C50" s="4">
        <f t="shared" si="0"/>
        <v>1.0203630000000032</v>
      </c>
      <c r="D50" s="4"/>
      <c r="E50" s="3">
        <v>47.1</v>
      </c>
      <c r="F50" s="3">
        <v>17.5</v>
      </c>
      <c r="G50" s="3">
        <v>81.675301999999988</v>
      </c>
      <c r="H50" s="4">
        <f t="shared" si="1"/>
        <v>1.0321419999999932</v>
      </c>
      <c r="I50" s="4"/>
      <c r="J50" s="3">
        <v>47.1</v>
      </c>
      <c r="K50" s="3">
        <v>17.5</v>
      </c>
      <c r="L50" s="13">
        <f>YEAR(Weekly_Prices[[#This Row],[Date]])</f>
        <v>2004</v>
      </c>
      <c r="M50" s="13">
        <f>MONTH(Weekly_Prices[[#This Row],[Date]])</f>
        <v>5</v>
      </c>
      <c r="N50" s="3" t="str">
        <f>TEXT(Weekly_Prices[[#This Row],[Date]],"MMMM")</f>
        <v>May</v>
      </c>
      <c r="O50" s="3" t="str">
        <f>YEAR(Weekly_Prices[[#This Row],[Date]])&amp;"-"&amp;TEXT(WEEKNUM(Weekly_Prices[[#This Row],[Date]],2),"00")</f>
        <v>2004-20</v>
      </c>
    </row>
    <row r="51" spans="1:15" x14ac:dyDescent="0.35">
      <c r="A51" s="2">
        <v>38124</v>
      </c>
      <c r="B51" s="3">
        <v>81.493419000000003</v>
      </c>
      <c r="C51" s="4">
        <f t="shared" si="0"/>
        <v>1.1976470000000035</v>
      </c>
      <c r="D51" s="4"/>
      <c r="E51" s="3">
        <v>47.1</v>
      </c>
      <c r="F51" s="3">
        <v>17.5</v>
      </c>
      <c r="G51" s="3">
        <v>82.830852000000021</v>
      </c>
      <c r="H51" s="4">
        <f t="shared" si="1"/>
        <v>1.1555500000000336</v>
      </c>
      <c r="I51" s="4"/>
      <c r="J51" s="3">
        <v>47.1</v>
      </c>
      <c r="K51" s="3">
        <v>17.5</v>
      </c>
      <c r="L51" s="13">
        <f>YEAR(Weekly_Prices[[#This Row],[Date]])</f>
        <v>2004</v>
      </c>
      <c r="M51" s="13">
        <f>MONTH(Weekly_Prices[[#This Row],[Date]])</f>
        <v>5</v>
      </c>
      <c r="N51" s="3" t="str">
        <f>TEXT(Weekly_Prices[[#This Row],[Date]],"MMMM")</f>
        <v>May</v>
      </c>
      <c r="O51" s="3" t="str">
        <f>YEAR(Weekly_Prices[[#This Row],[Date]])&amp;"-"&amp;TEXT(WEEKNUM(Weekly_Prices[[#This Row],[Date]],2),"00")</f>
        <v>2004-21</v>
      </c>
    </row>
    <row r="52" spans="1:15" x14ac:dyDescent="0.35">
      <c r="A52" s="2">
        <v>38131</v>
      </c>
      <c r="B52" s="3">
        <v>82.125366</v>
      </c>
      <c r="C52" s="4">
        <f t="shared" si="0"/>
        <v>0.63194699999999671</v>
      </c>
      <c r="D52" s="4"/>
      <c r="E52" s="3">
        <v>47.1</v>
      </c>
      <c r="F52" s="3">
        <v>17.5</v>
      </c>
      <c r="G52" s="3">
        <v>83.479307000000006</v>
      </c>
      <c r="H52" s="4">
        <f t="shared" si="1"/>
        <v>0.64845499999998424</v>
      </c>
      <c r="I52" s="4"/>
      <c r="J52" s="3">
        <v>47.1</v>
      </c>
      <c r="K52" s="3">
        <v>17.5</v>
      </c>
      <c r="L52" s="13">
        <f>YEAR(Weekly_Prices[[#This Row],[Date]])</f>
        <v>2004</v>
      </c>
      <c r="M52" s="13">
        <f>MONTH(Weekly_Prices[[#This Row],[Date]])</f>
        <v>5</v>
      </c>
      <c r="N52" s="3" t="str">
        <f>TEXT(Weekly_Prices[[#This Row],[Date]],"MMMM")</f>
        <v>May</v>
      </c>
      <c r="O52" s="3" t="str">
        <f>YEAR(Weekly_Prices[[#This Row],[Date]])&amp;"-"&amp;TEXT(WEEKNUM(Weekly_Prices[[#This Row],[Date]],2),"00")</f>
        <v>2004-22</v>
      </c>
    </row>
    <row r="53" spans="1:15" x14ac:dyDescent="0.35">
      <c r="A53" s="2">
        <v>38138</v>
      </c>
      <c r="B53" s="3">
        <v>82.354682999999994</v>
      </c>
      <c r="C53" s="4">
        <f t="shared" si="0"/>
        <v>0.22931699999999466</v>
      </c>
      <c r="D53" s="4"/>
      <c r="E53" s="3">
        <v>47.1</v>
      </c>
      <c r="F53" s="3">
        <v>17.5</v>
      </c>
      <c r="G53" s="3">
        <v>83.612115999999986</v>
      </c>
      <c r="H53" s="4">
        <f t="shared" si="1"/>
        <v>0.13280899999998041</v>
      </c>
      <c r="I53" s="4"/>
      <c r="J53" s="3">
        <v>47.1</v>
      </c>
      <c r="K53" s="3">
        <v>17.5</v>
      </c>
      <c r="L53" s="13">
        <f>YEAR(Weekly_Prices[[#This Row],[Date]])</f>
        <v>2004</v>
      </c>
      <c r="M53" s="13">
        <f>MONTH(Weekly_Prices[[#This Row],[Date]])</f>
        <v>5</v>
      </c>
      <c r="N53" s="3" t="str">
        <f>TEXT(Weekly_Prices[[#This Row],[Date]],"MMMM")</f>
        <v>May</v>
      </c>
      <c r="O53" s="3" t="str">
        <f>YEAR(Weekly_Prices[[#This Row],[Date]])&amp;"-"&amp;TEXT(WEEKNUM(Weekly_Prices[[#This Row],[Date]],2),"00")</f>
        <v>2004-23</v>
      </c>
    </row>
    <row r="54" spans="1:15" x14ac:dyDescent="0.35">
      <c r="A54" s="2">
        <v>38145</v>
      </c>
      <c r="B54" s="3">
        <v>82.441050000000004</v>
      </c>
      <c r="C54" s="4">
        <f t="shared" si="0"/>
        <v>8.6367000000009853E-2</v>
      </c>
      <c r="D54" s="4">
        <f>B54-B2</f>
        <v>7.8507660000000072</v>
      </c>
      <c r="E54" s="3">
        <v>47.1</v>
      </c>
      <c r="F54" s="3">
        <v>17.5</v>
      </c>
      <c r="G54" s="3">
        <v>83.651707000000002</v>
      </c>
      <c r="H54" s="4">
        <f t="shared" si="1"/>
        <v>3.9591000000015697E-2</v>
      </c>
      <c r="I54" s="4">
        <f>G54-G2</f>
        <v>6.8783130000000057</v>
      </c>
      <c r="J54" s="3">
        <v>47.1</v>
      </c>
      <c r="K54" s="3">
        <v>17.5</v>
      </c>
      <c r="L54" s="13">
        <f>YEAR(Weekly_Prices[[#This Row],[Date]])</f>
        <v>2004</v>
      </c>
      <c r="M54" s="13">
        <f>MONTH(Weekly_Prices[[#This Row],[Date]])</f>
        <v>6</v>
      </c>
      <c r="N54" s="3" t="str">
        <f>TEXT(Weekly_Prices[[#This Row],[Date]],"MMMM")</f>
        <v>June</v>
      </c>
      <c r="O54" s="3" t="str">
        <f>YEAR(Weekly_Prices[[#This Row],[Date]])&amp;"-"&amp;TEXT(WEEKNUM(Weekly_Prices[[#This Row],[Date]],2),"00")</f>
        <v>2004-24</v>
      </c>
    </row>
    <row r="55" spans="1:15" x14ac:dyDescent="0.35">
      <c r="A55" s="2">
        <v>38152</v>
      </c>
      <c r="B55" s="3">
        <v>81.54213</v>
      </c>
      <c r="C55" s="4">
        <f t="shared" si="0"/>
        <v>-0.89892000000000394</v>
      </c>
      <c r="D55" s="4">
        <f t="shared" ref="D55:D118" si="2">B55-B3</f>
        <v>7.0729869999999977</v>
      </c>
      <c r="E55" s="3">
        <v>47.1</v>
      </c>
      <c r="F55" s="3">
        <v>17.5</v>
      </c>
      <c r="G55" s="3">
        <v>82.604957000000013</v>
      </c>
      <c r="H55" s="4">
        <f t="shared" si="1"/>
        <v>-1.0467499999999887</v>
      </c>
      <c r="I55" s="4">
        <f t="shared" ref="I55:I118" si="3">G55-G3</f>
        <v>5.9159030000000143</v>
      </c>
      <c r="J55" s="3">
        <v>47.1</v>
      </c>
      <c r="K55" s="3">
        <v>17.5</v>
      </c>
      <c r="L55" s="13">
        <f>YEAR(Weekly_Prices[[#This Row],[Date]])</f>
        <v>2004</v>
      </c>
      <c r="M55" s="13">
        <f>MONTH(Weekly_Prices[[#This Row],[Date]])</f>
        <v>6</v>
      </c>
      <c r="N55" s="3" t="str">
        <f>TEXT(Weekly_Prices[[#This Row],[Date]],"MMMM")</f>
        <v>June</v>
      </c>
      <c r="O55" s="3" t="str">
        <f>YEAR(Weekly_Prices[[#This Row],[Date]])&amp;"-"&amp;TEXT(WEEKNUM(Weekly_Prices[[#This Row],[Date]],2),"00")</f>
        <v>2004-25</v>
      </c>
    </row>
    <row r="56" spans="1:15" x14ac:dyDescent="0.35">
      <c r="A56" s="2">
        <v>38159</v>
      </c>
      <c r="B56" s="3">
        <v>81.042513999999997</v>
      </c>
      <c r="C56" s="4">
        <f t="shared" si="0"/>
        <v>-0.49961600000000317</v>
      </c>
      <c r="D56" s="4">
        <f t="shared" si="2"/>
        <v>6.6189480000000032</v>
      </c>
      <c r="E56" s="3">
        <v>47.1</v>
      </c>
      <c r="F56" s="3">
        <v>17.5</v>
      </c>
      <c r="G56" s="3">
        <v>82.094263000000012</v>
      </c>
      <c r="H56" s="4">
        <f t="shared" si="1"/>
        <v>-0.51069400000000087</v>
      </c>
      <c r="I56" s="4">
        <f t="shared" si="3"/>
        <v>5.4737170000000077</v>
      </c>
      <c r="J56" s="3">
        <v>47.1</v>
      </c>
      <c r="K56" s="3">
        <v>17.5</v>
      </c>
      <c r="L56" s="13">
        <f>YEAR(Weekly_Prices[[#This Row],[Date]])</f>
        <v>2004</v>
      </c>
      <c r="M56" s="13">
        <f>MONTH(Weekly_Prices[[#This Row],[Date]])</f>
        <v>6</v>
      </c>
      <c r="N56" s="3" t="str">
        <f>TEXT(Weekly_Prices[[#This Row],[Date]],"MMMM")</f>
        <v>June</v>
      </c>
      <c r="O56" s="3" t="str">
        <f>YEAR(Weekly_Prices[[#This Row],[Date]])&amp;"-"&amp;TEXT(WEEKNUM(Weekly_Prices[[#This Row],[Date]],2),"00")</f>
        <v>2004-26</v>
      </c>
    </row>
    <row r="57" spans="1:15" x14ac:dyDescent="0.35">
      <c r="A57" s="2">
        <v>38166</v>
      </c>
      <c r="B57" s="3">
        <v>80.408494999999988</v>
      </c>
      <c r="C57" s="4">
        <f t="shared" si="0"/>
        <v>-0.63401900000000921</v>
      </c>
      <c r="D57" s="4">
        <f t="shared" si="2"/>
        <v>6.0560739999999953</v>
      </c>
      <c r="E57" s="3">
        <v>47.1</v>
      </c>
      <c r="F57" s="3">
        <v>17.5</v>
      </c>
      <c r="G57" s="3">
        <v>81.044817000000009</v>
      </c>
      <c r="H57" s="4">
        <f t="shared" si="1"/>
        <v>-1.0494460000000032</v>
      </c>
      <c r="I57" s="4">
        <f t="shared" si="3"/>
        <v>4.5395570000000163</v>
      </c>
      <c r="J57" s="3">
        <v>47.1</v>
      </c>
      <c r="K57" s="3">
        <v>17.5</v>
      </c>
      <c r="L57" s="13">
        <f>YEAR(Weekly_Prices[[#This Row],[Date]])</f>
        <v>2004</v>
      </c>
      <c r="M57" s="13">
        <f>MONTH(Weekly_Prices[[#This Row],[Date]])</f>
        <v>6</v>
      </c>
      <c r="N57" s="3" t="str">
        <f>TEXT(Weekly_Prices[[#This Row],[Date]],"MMMM")</f>
        <v>June</v>
      </c>
      <c r="O57" s="3" t="str">
        <f>YEAR(Weekly_Prices[[#This Row],[Date]])&amp;"-"&amp;TEXT(WEEKNUM(Weekly_Prices[[#This Row],[Date]],2),"00")</f>
        <v>2004-27</v>
      </c>
    </row>
    <row r="58" spans="1:15" x14ac:dyDescent="0.35">
      <c r="A58" s="2">
        <v>38173</v>
      </c>
      <c r="B58" s="3">
        <v>79.873708999999991</v>
      </c>
      <c r="C58" s="4">
        <f t="shared" si="0"/>
        <v>-0.53478599999999687</v>
      </c>
      <c r="D58" s="4">
        <f t="shared" si="2"/>
        <v>5.5899719999999888</v>
      </c>
      <c r="E58" s="3">
        <v>47.1</v>
      </c>
      <c r="F58" s="3">
        <v>17.5</v>
      </c>
      <c r="G58" s="3">
        <v>80.511467999999994</v>
      </c>
      <c r="H58" s="4">
        <f t="shared" si="1"/>
        <v>-0.53334900000001539</v>
      </c>
      <c r="I58" s="4">
        <f t="shared" si="3"/>
        <v>4.0540919999999971</v>
      </c>
      <c r="J58" s="3">
        <v>47.1</v>
      </c>
      <c r="K58" s="3">
        <v>17.5</v>
      </c>
      <c r="L58" s="13">
        <f>YEAR(Weekly_Prices[[#This Row],[Date]])</f>
        <v>2004</v>
      </c>
      <c r="M58" s="13">
        <f>MONTH(Weekly_Prices[[#This Row],[Date]])</f>
        <v>7</v>
      </c>
      <c r="N58" s="3" t="str">
        <f>TEXT(Weekly_Prices[[#This Row],[Date]],"MMMM")</f>
        <v>July</v>
      </c>
      <c r="O58" s="3" t="str">
        <f>YEAR(Weekly_Prices[[#This Row],[Date]])&amp;"-"&amp;TEXT(WEEKNUM(Weekly_Prices[[#This Row],[Date]],2),"00")</f>
        <v>2004-28</v>
      </c>
    </row>
    <row r="59" spans="1:15" x14ac:dyDescent="0.35">
      <c r="A59" s="2">
        <v>38180</v>
      </c>
      <c r="B59" s="3">
        <v>80.336298999999997</v>
      </c>
      <c r="C59" s="4">
        <f t="shared" si="0"/>
        <v>0.46259000000000583</v>
      </c>
      <c r="D59" s="4">
        <f t="shared" si="2"/>
        <v>6.129722000000001</v>
      </c>
      <c r="E59" s="3">
        <v>47.1</v>
      </c>
      <c r="F59" s="3">
        <v>17.5</v>
      </c>
      <c r="G59" s="3">
        <v>81.054852000000011</v>
      </c>
      <c r="H59" s="4">
        <f t="shared" si="1"/>
        <v>0.54338400000001741</v>
      </c>
      <c r="I59" s="4">
        <f t="shared" si="3"/>
        <v>4.6467320000000143</v>
      </c>
      <c r="J59" s="3">
        <v>47.1</v>
      </c>
      <c r="K59" s="3">
        <v>17.5</v>
      </c>
      <c r="L59" s="13">
        <f>YEAR(Weekly_Prices[[#This Row],[Date]])</f>
        <v>2004</v>
      </c>
      <c r="M59" s="13">
        <f>MONTH(Weekly_Prices[[#This Row],[Date]])</f>
        <v>7</v>
      </c>
      <c r="N59" s="3" t="str">
        <f>TEXT(Weekly_Prices[[#This Row],[Date]],"MMMM")</f>
        <v>July</v>
      </c>
      <c r="O59" s="3" t="str">
        <f>YEAR(Weekly_Prices[[#This Row],[Date]])&amp;"-"&amp;TEXT(WEEKNUM(Weekly_Prices[[#This Row],[Date]],2),"00")</f>
        <v>2004-29</v>
      </c>
    </row>
    <row r="60" spans="1:15" x14ac:dyDescent="0.35">
      <c r="A60" s="2">
        <v>38187</v>
      </c>
      <c r="B60" s="3">
        <v>80.836542999999992</v>
      </c>
      <c r="C60" s="4">
        <f t="shared" si="0"/>
        <v>0.50024399999999503</v>
      </c>
      <c r="D60" s="4">
        <f t="shared" si="2"/>
        <v>5.771302999999989</v>
      </c>
      <c r="E60" s="3">
        <v>47.1</v>
      </c>
      <c r="F60" s="3">
        <v>17.5</v>
      </c>
      <c r="G60" s="3">
        <v>81.677249000000018</v>
      </c>
      <c r="H60" s="4">
        <f t="shared" si="1"/>
        <v>0.62239700000000653</v>
      </c>
      <c r="I60" s="4">
        <f t="shared" si="3"/>
        <v>4.7781050000000107</v>
      </c>
      <c r="J60" s="3">
        <v>47.1</v>
      </c>
      <c r="K60" s="3">
        <v>17.5</v>
      </c>
      <c r="L60" s="13">
        <f>YEAR(Weekly_Prices[[#This Row],[Date]])</f>
        <v>2004</v>
      </c>
      <c r="M60" s="13">
        <f>MONTH(Weekly_Prices[[#This Row],[Date]])</f>
        <v>7</v>
      </c>
      <c r="N60" s="3" t="str">
        <f>TEXT(Weekly_Prices[[#This Row],[Date]],"MMMM")</f>
        <v>July</v>
      </c>
      <c r="O60" s="3" t="str">
        <f>YEAR(Weekly_Prices[[#This Row],[Date]])&amp;"-"&amp;TEXT(WEEKNUM(Weekly_Prices[[#This Row],[Date]],2),"00")</f>
        <v>2004-30</v>
      </c>
    </row>
    <row r="61" spans="1:15" x14ac:dyDescent="0.35">
      <c r="A61" s="2">
        <v>38194</v>
      </c>
      <c r="B61" s="3">
        <v>80.868030000000005</v>
      </c>
      <c r="C61" s="4">
        <f t="shared" si="0"/>
        <v>3.1487000000012699E-2</v>
      </c>
      <c r="D61" s="4">
        <f t="shared" si="2"/>
        <v>5.7671749999999946</v>
      </c>
      <c r="E61" s="3">
        <v>47.1</v>
      </c>
      <c r="F61" s="3">
        <v>17.5</v>
      </c>
      <c r="G61" s="3">
        <v>81.697859000000008</v>
      </c>
      <c r="H61" s="4">
        <f t="shared" si="1"/>
        <v>2.0609999999990691E-2</v>
      </c>
      <c r="I61" s="4">
        <f t="shared" si="3"/>
        <v>4.8359950000000111</v>
      </c>
      <c r="J61" s="3">
        <v>47.1</v>
      </c>
      <c r="K61" s="3">
        <v>17.5</v>
      </c>
      <c r="L61" s="13">
        <f>YEAR(Weekly_Prices[[#This Row],[Date]])</f>
        <v>2004</v>
      </c>
      <c r="M61" s="13">
        <f>MONTH(Weekly_Prices[[#This Row],[Date]])</f>
        <v>7</v>
      </c>
      <c r="N61" s="3" t="str">
        <f>TEXT(Weekly_Prices[[#This Row],[Date]],"MMMM")</f>
        <v>July</v>
      </c>
      <c r="O61" s="3" t="str">
        <f>YEAR(Weekly_Prices[[#This Row],[Date]])&amp;"-"&amp;TEXT(WEEKNUM(Weekly_Prices[[#This Row],[Date]],2),"00")</f>
        <v>2004-31</v>
      </c>
    </row>
    <row r="62" spans="1:15" x14ac:dyDescent="0.35">
      <c r="A62" s="2">
        <v>38201</v>
      </c>
      <c r="B62" s="3">
        <v>80.855708000000007</v>
      </c>
      <c r="C62" s="4">
        <f t="shared" si="0"/>
        <v>-1.2321999999997502E-2</v>
      </c>
      <c r="D62" s="4">
        <f t="shared" si="2"/>
        <v>5.7313240000000008</v>
      </c>
      <c r="E62" s="3">
        <v>47.1</v>
      </c>
      <c r="F62" s="3">
        <v>17.5</v>
      </c>
      <c r="G62" s="3">
        <v>81.793266000000017</v>
      </c>
      <c r="H62" s="4">
        <f t="shared" si="1"/>
        <v>9.5407000000008679E-2</v>
      </c>
      <c r="I62" s="4">
        <f t="shared" si="3"/>
        <v>4.9809240000000159</v>
      </c>
      <c r="J62" s="3">
        <v>47.1</v>
      </c>
      <c r="K62" s="3">
        <v>17.5</v>
      </c>
      <c r="L62" s="13">
        <f>YEAR(Weekly_Prices[[#This Row],[Date]])</f>
        <v>2004</v>
      </c>
      <c r="M62" s="13">
        <f>MONTH(Weekly_Prices[[#This Row],[Date]])</f>
        <v>8</v>
      </c>
      <c r="N62" s="3" t="str">
        <f>TEXT(Weekly_Prices[[#This Row],[Date]],"MMMM")</f>
        <v>August</v>
      </c>
      <c r="O62" s="3" t="str">
        <f>YEAR(Weekly_Prices[[#This Row],[Date]])&amp;"-"&amp;TEXT(WEEKNUM(Weekly_Prices[[#This Row],[Date]],2),"00")</f>
        <v>2004-32</v>
      </c>
    </row>
    <row r="63" spans="1:15" x14ac:dyDescent="0.35">
      <c r="A63" s="2">
        <v>38208</v>
      </c>
      <c r="B63" s="3">
        <v>81.183042</v>
      </c>
      <c r="C63" s="4">
        <f t="shared" si="0"/>
        <v>0.32733399999999335</v>
      </c>
      <c r="D63" s="4">
        <f t="shared" si="2"/>
        <v>5.7385259999999931</v>
      </c>
      <c r="E63" s="3">
        <v>47.1</v>
      </c>
      <c r="F63" s="3">
        <v>17.5</v>
      </c>
      <c r="G63" s="3">
        <v>82.144335000000027</v>
      </c>
      <c r="H63" s="4">
        <f t="shared" si="1"/>
        <v>0.35106900000000962</v>
      </c>
      <c r="I63" s="4">
        <f t="shared" si="3"/>
        <v>5.0635970000000299</v>
      </c>
      <c r="J63" s="3">
        <v>47.1</v>
      </c>
      <c r="K63" s="3">
        <v>17.5</v>
      </c>
      <c r="L63" s="13">
        <f>YEAR(Weekly_Prices[[#This Row],[Date]])</f>
        <v>2004</v>
      </c>
      <c r="M63" s="13">
        <f>MONTH(Weekly_Prices[[#This Row],[Date]])</f>
        <v>8</v>
      </c>
      <c r="N63" s="3" t="str">
        <f>TEXT(Weekly_Prices[[#This Row],[Date]],"MMMM")</f>
        <v>August</v>
      </c>
      <c r="O63" s="3" t="str">
        <f>YEAR(Weekly_Prices[[#This Row],[Date]])&amp;"-"&amp;TEXT(WEEKNUM(Weekly_Prices[[#This Row],[Date]],2),"00")</f>
        <v>2004-33</v>
      </c>
    </row>
    <row r="64" spans="1:15" x14ac:dyDescent="0.35">
      <c r="A64" s="2">
        <v>38215</v>
      </c>
      <c r="B64" s="3">
        <v>81.251350000000002</v>
      </c>
      <c r="C64" s="4">
        <f t="shared" si="0"/>
        <v>6.8308000000001812E-2</v>
      </c>
      <c r="D64" s="4">
        <f t="shared" si="2"/>
        <v>5.4424020000000155</v>
      </c>
      <c r="E64" s="3">
        <v>47.1</v>
      </c>
      <c r="F64" s="3">
        <v>17.5</v>
      </c>
      <c r="G64" s="3">
        <v>82.327274000000003</v>
      </c>
      <c r="H64" s="4">
        <f t="shared" si="1"/>
        <v>0.1829389999999762</v>
      </c>
      <c r="I64" s="4">
        <f t="shared" si="3"/>
        <v>4.8886839999999978</v>
      </c>
      <c r="J64" s="3">
        <v>47.1</v>
      </c>
      <c r="K64" s="3">
        <v>17.5</v>
      </c>
      <c r="L64" s="13">
        <f>YEAR(Weekly_Prices[[#This Row],[Date]])</f>
        <v>2004</v>
      </c>
      <c r="M64" s="13">
        <f>MONTH(Weekly_Prices[[#This Row],[Date]])</f>
        <v>8</v>
      </c>
      <c r="N64" s="3" t="str">
        <f>TEXT(Weekly_Prices[[#This Row],[Date]],"MMMM")</f>
        <v>August</v>
      </c>
      <c r="O64" s="3" t="str">
        <f>YEAR(Weekly_Prices[[#This Row],[Date]])&amp;"-"&amp;TEXT(WEEKNUM(Weekly_Prices[[#This Row],[Date]],2),"00")</f>
        <v>2004-34</v>
      </c>
    </row>
    <row r="65" spans="1:15" x14ac:dyDescent="0.35">
      <c r="A65" s="2">
        <v>38222</v>
      </c>
      <c r="B65" s="3">
        <v>81.507866000000007</v>
      </c>
      <c r="C65" s="4">
        <f t="shared" si="0"/>
        <v>0.25651600000000485</v>
      </c>
      <c r="D65" s="4">
        <f t="shared" si="2"/>
        <v>5.4548550000000091</v>
      </c>
      <c r="E65" s="3">
        <v>47.1</v>
      </c>
      <c r="F65" s="3">
        <v>17.5</v>
      </c>
      <c r="G65" s="3">
        <v>82.819437000000008</v>
      </c>
      <c r="H65" s="4">
        <f t="shared" si="1"/>
        <v>0.49216300000000501</v>
      </c>
      <c r="I65" s="4">
        <f t="shared" si="3"/>
        <v>5.1443430000000063</v>
      </c>
      <c r="J65" s="3">
        <v>47.1</v>
      </c>
      <c r="K65" s="3">
        <v>17.5</v>
      </c>
      <c r="L65" s="13">
        <f>YEAR(Weekly_Prices[[#This Row],[Date]])</f>
        <v>2004</v>
      </c>
      <c r="M65" s="13">
        <f>MONTH(Weekly_Prices[[#This Row],[Date]])</f>
        <v>8</v>
      </c>
      <c r="N65" s="3" t="str">
        <f>TEXT(Weekly_Prices[[#This Row],[Date]],"MMMM")</f>
        <v>August</v>
      </c>
      <c r="O65" s="3" t="str">
        <f>YEAR(Weekly_Prices[[#This Row],[Date]])&amp;"-"&amp;TEXT(WEEKNUM(Weekly_Prices[[#This Row],[Date]],2),"00")</f>
        <v>2004-35</v>
      </c>
    </row>
    <row r="66" spans="1:15" x14ac:dyDescent="0.35">
      <c r="A66" s="2">
        <v>38230</v>
      </c>
      <c r="B66" s="3">
        <v>81.528019999999998</v>
      </c>
      <c r="C66" s="4">
        <f t="shared" si="0"/>
        <v>2.0153999999990901E-2</v>
      </c>
      <c r="D66" s="4">
        <f t="shared" si="2"/>
        <v>5.4021600000000092</v>
      </c>
      <c r="E66" s="3">
        <v>47.1</v>
      </c>
      <c r="F66" s="3">
        <v>17.5</v>
      </c>
      <c r="G66" s="3">
        <v>82.887681000000001</v>
      </c>
      <c r="H66" s="4">
        <f t="shared" si="1"/>
        <v>6.8243999999992866E-2</v>
      </c>
      <c r="I66" s="4">
        <f t="shared" si="3"/>
        <v>5.2999769999999984</v>
      </c>
      <c r="J66" s="3">
        <v>47.1</v>
      </c>
      <c r="K66" s="3">
        <v>17.5</v>
      </c>
      <c r="L66" s="13">
        <f>YEAR(Weekly_Prices[[#This Row],[Date]])</f>
        <v>2004</v>
      </c>
      <c r="M66" s="13">
        <f>MONTH(Weekly_Prices[[#This Row],[Date]])</f>
        <v>8</v>
      </c>
      <c r="N66" s="3" t="str">
        <f>TEXT(Weekly_Prices[[#This Row],[Date]],"MMMM")</f>
        <v>August</v>
      </c>
      <c r="O66" s="3" t="str">
        <f>YEAR(Weekly_Prices[[#This Row],[Date]])&amp;"-"&amp;TEXT(WEEKNUM(Weekly_Prices[[#This Row],[Date]],2),"00")</f>
        <v>2004-36</v>
      </c>
    </row>
    <row r="67" spans="1:15" x14ac:dyDescent="0.35">
      <c r="A67" s="2">
        <v>38236</v>
      </c>
      <c r="B67" s="3">
        <v>81.369415000000004</v>
      </c>
      <c r="C67" s="4">
        <f t="shared" ref="C67:C130" si="4">B67-B66</f>
        <v>-0.15860499999999433</v>
      </c>
      <c r="D67" s="4">
        <f t="shared" si="2"/>
        <v>5.143225000000001</v>
      </c>
      <c r="E67" s="3">
        <v>47.1</v>
      </c>
      <c r="F67" s="3">
        <v>17.5</v>
      </c>
      <c r="G67" s="3">
        <v>82.9208</v>
      </c>
      <c r="H67" s="4">
        <f t="shared" ref="H67:H130" si="5">G67-G66</f>
        <v>3.3118999999999232E-2</v>
      </c>
      <c r="I67" s="4">
        <f t="shared" si="3"/>
        <v>5.2506599999999963</v>
      </c>
      <c r="J67" s="3">
        <v>47.1</v>
      </c>
      <c r="K67" s="3">
        <v>17.5</v>
      </c>
      <c r="L67" s="13">
        <f>YEAR(Weekly_Prices[[#This Row],[Date]])</f>
        <v>2004</v>
      </c>
      <c r="M67" s="13">
        <f>MONTH(Weekly_Prices[[#This Row],[Date]])</f>
        <v>9</v>
      </c>
      <c r="N67" s="3" t="str">
        <f>TEXT(Weekly_Prices[[#This Row],[Date]],"MMMM")</f>
        <v>September</v>
      </c>
      <c r="O67" s="3" t="str">
        <f>YEAR(Weekly_Prices[[#This Row],[Date]])&amp;"-"&amp;TEXT(WEEKNUM(Weekly_Prices[[#This Row],[Date]],2),"00")</f>
        <v>2004-37</v>
      </c>
    </row>
    <row r="68" spans="1:15" x14ac:dyDescent="0.35">
      <c r="A68" s="2">
        <v>38243</v>
      </c>
      <c r="B68" s="3">
        <v>81.311183</v>
      </c>
      <c r="C68" s="4">
        <f t="shared" si="4"/>
        <v>-5.8232000000003836E-2</v>
      </c>
      <c r="D68" s="4">
        <f t="shared" si="2"/>
        <v>5.114758000000009</v>
      </c>
      <c r="E68" s="3">
        <v>47.1</v>
      </c>
      <c r="F68" s="3">
        <v>17.5</v>
      </c>
      <c r="G68" s="3">
        <v>82.906786999999994</v>
      </c>
      <c r="H68" s="4">
        <f t="shared" si="5"/>
        <v>-1.4013000000005604E-2</v>
      </c>
      <c r="I68" s="4">
        <f t="shared" si="3"/>
        <v>5.280350999999996</v>
      </c>
      <c r="J68" s="3">
        <v>47.1</v>
      </c>
      <c r="K68" s="3">
        <v>17.5</v>
      </c>
      <c r="L68" s="13">
        <f>YEAR(Weekly_Prices[[#This Row],[Date]])</f>
        <v>2004</v>
      </c>
      <c r="M68" s="13">
        <f>MONTH(Weekly_Prices[[#This Row],[Date]])</f>
        <v>9</v>
      </c>
      <c r="N68" s="3" t="str">
        <f>TEXT(Weekly_Prices[[#This Row],[Date]],"MMMM")</f>
        <v>September</v>
      </c>
      <c r="O68" s="3" t="str">
        <f>YEAR(Weekly_Prices[[#This Row],[Date]])&amp;"-"&amp;TEXT(WEEKNUM(Weekly_Prices[[#This Row],[Date]],2),"00")</f>
        <v>2004-38</v>
      </c>
    </row>
    <row r="69" spans="1:15" x14ac:dyDescent="0.35">
      <c r="A69" s="2">
        <v>38250</v>
      </c>
      <c r="B69" s="3">
        <v>81.278715000000005</v>
      </c>
      <c r="C69" s="4">
        <f t="shared" si="4"/>
        <v>-3.246799999999439E-2</v>
      </c>
      <c r="D69" s="4">
        <f t="shared" si="2"/>
        <v>5.1300060000000087</v>
      </c>
      <c r="E69" s="3">
        <v>47.1</v>
      </c>
      <c r="F69" s="3">
        <v>17.5</v>
      </c>
      <c r="G69" s="3">
        <v>83.031695000000013</v>
      </c>
      <c r="H69" s="4">
        <f t="shared" si="5"/>
        <v>0.12490800000001911</v>
      </c>
      <c r="I69" s="4">
        <f t="shared" si="3"/>
        <v>5.4858530000000201</v>
      </c>
      <c r="J69" s="3">
        <v>47.1</v>
      </c>
      <c r="K69" s="3">
        <v>17.5</v>
      </c>
      <c r="L69" s="13">
        <f>YEAR(Weekly_Prices[[#This Row],[Date]])</f>
        <v>2004</v>
      </c>
      <c r="M69" s="13">
        <f>MONTH(Weekly_Prices[[#This Row],[Date]])</f>
        <v>9</v>
      </c>
      <c r="N69" s="3" t="str">
        <f>TEXT(Weekly_Prices[[#This Row],[Date]],"MMMM")</f>
        <v>September</v>
      </c>
      <c r="O69" s="3" t="str">
        <f>YEAR(Weekly_Prices[[#This Row],[Date]])&amp;"-"&amp;TEXT(WEEKNUM(Weekly_Prices[[#This Row],[Date]],2),"00")</f>
        <v>2004-39</v>
      </c>
    </row>
    <row r="70" spans="1:15" x14ac:dyDescent="0.35">
      <c r="A70" s="2">
        <v>38257</v>
      </c>
      <c r="B70" s="3">
        <v>81.625393000000003</v>
      </c>
      <c r="C70" s="4">
        <f t="shared" si="4"/>
        <v>0.34667799999999716</v>
      </c>
      <c r="D70" s="4">
        <f t="shared" si="2"/>
        <v>5.5414030000000025</v>
      </c>
      <c r="E70" s="3">
        <v>47.1</v>
      </c>
      <c r="F70" s="3">
        <v>17.5</v>
      </c>
      <c r="G70" s="3">
        <v>83.461528000000001</v>
      </c>
      <c r="H70" s="4">
        <f t="shared" si="5"/>
        <v>0.42983299999998792</v>
      </c>
      <c r="I70" s="4">
        <f t="shared" si="3"/>
        <v>5.9346340000000026</v>
      </c>
      <c r="J70" s="3">
        <v>47.1</v>
      </c>
      <c r="K70" s="3">
        <v>17.5</v>
      </c>
      <c r="L70" s="13">
        <f>YEAR(Weekly_Prices[[#This Row],[Date]])</f>
        <v>2004</v>
      </c>
      <c r="M70" s="13">
        <f>MONTH(Weekly_Prices[[#This Row],[Date]])</f>
        <v>9</v>
      </c>
      <c r="N70" s="3" t="str">
        <f>TEXT(Weekly_Prices[[#This Row],[Date]],"MMMM")</f>
        <v>September</v>
      </c>
      <c r="O70" s="3" t="str">
        <f>YEAR(Weekly_Prices[[#This Row],[Date]])&amp;"-"&amp;TEXT(WEEKNUM(Weekly_Prices[[#This Row],[Date]],2),"00")</f>
        <v>2004-40</v>
      </c>
    </row>
    <row r="71" spans="1:15" x14ac:dyDescent="0.35">
      <c r="A71" s="2">
        <v>38264</v>
      </c>
      <c r="B71" s="3">
        <v>82.049086000000003</v>
      </c>
      <c r="C71" s="4">
        <f t="shared" si="4"/>
        <v>0.4236930000000001</v>
      </c>
      <c r="D71" s="4">
        <f t="shared" si="2"/>
        <v>5.6161529999999971</v>
      </c>
      <c r="E71" s="3">
        <v>47.1</v>
      </c>
      <c r="F71" s="3">
        <v>17.5</v>
      </c>
      <c r="G71" s="3">
        <v>83.84076300000001</v>
      </c>
      <c r="H71" s="4">
        <f t="shared" si="5"/>
        <v>0.37923500000000843</v>
      </c>
      <c r="I71" s="4">
        <f t="shared" si="3"/>
        <v>6.1795270000000073</v>
      </c>
      <c r="J71" s="3">
        <v>47.1</v>
      </c>
      <c r="K71" s="3">
        <v>17.5</v>
      </c>
      <c r="L71" s="13">
        <f>YEAR(Weekly_Prices[[#This Row],[Date]])</f>
        <v>2004</v>
      </c>
      <c r="M71" s="13">
        <f>MONTH(Weekly_Prices[[#This Row],[Date]])</f>
        <v>10</v>
      </c>
      <c r="N71" s="3" t="str">
        <f>TEXT(Weekly_Prices[[#This Row],[Date]],"MMMM")</f>
        <v>October</v>
      </c>
      <c r="O71" s="3" t="str">
        <f>YEAR(Weekly_Prices[[#This Row],[Date]])&amp;"-"&amp;TEXT(WEEKNUM(Weekly_Prices[[#This Row],[Date]],2),"00")</f>
        <v>2004-41</v>
      </c>
    </row>
    <row r="72" spans="1:15" x14ac:dyDescent="0.35">
      <c r="A72" s="2">
        <v>38271</v>
      </c>
      <c r="B72" s="3">
        <v>83.110709000000014</v>
      </c>
      <c r="C72" s="4">
        <f t="shared" si="4"/>
        <v>1.0616230000000115</v>
      </c>
      <c r="D72" s="4">
        <f t="shared" si="2"/>
        <v>7.2131810000000058</v>
      </c>
      <c r="E72" s="3">
        <v>47.1</v>
      </c>
      <c r="F72" s="3">
        <v>17.5</v>
      </c>
      <c r="G72" s="3">
        <v>85.012929999999997</v>
      </c>
      <c r="H72" s="4">
        <f t="shared" si="5"/>
        <v>1.1721669999999875</v>
      </c>
      <c r="I72" s="4">
        <f t="shared" si="3"/>
        <v>7.586441999999991</v>
      </c>
      <c r="J72" s="3">
        <v>47.1</v>
      </c>
      <c r="K72" s="3">
        <v>17.5</v>
      </c>
      <c r="L72" s="13">
        <f>YEAR(Weekly_Prices[[#This Row],[Date]])</f>
        <v>2004</v>
      </c>
      <c r="M72" s="13">
        <f>MONTH(Weekly_Prices[[#This Row],[Date]])</f>
        <v>10</v>
      </c>
      <c r="N72" s="3" t="str">
        <f>TEXT(Weekly_Prices[[#This Row],[Date]],"MMMM")</f>
        <v>October</v>
      </c>
      <c r="O72" s="3" t="str">
        <f>YEAR(Weekly_Prices[[#This Row],[Date]])&amp;"-"&amp;TEXT(WEEKNUM(Weekly_Prices[[#This Row],[Date]],2),"00")</f>
        <v>2004-42</v>
      </c>
    </row>
    <row r="73" spans="1:15" x14ac:dyDescent="0.35">
      <c r="A73" s="2">
        <v>38278</v>
      </c>
      <c r="B73" s="3">
        <v>83.349954999999994</v>
      </c>
      <c r="C73" s="4">
        <f t="shared" si="4"/>
        <v>0.23924599999998009</v>
      </c>
      <c r="D73" s="4">
        <f t="shared" si="2"/>
        <v>7.3018950000000018</v>
      </c>
      <c r="E73" s="3">
        <v>47.1</v>
      </c>
      <c r="F73" s="3">
        <v>17.5</v>
      </c>
      <c r="G73" s="3">
        <v>85.33741599999999</v>
      </c>
      <c r="H73" s="4">
        <f t="shared" si="5"/>
        <v>0.32448599999999317</v>
      </c>
      <c r="I73" s="4">
        <f t="shared" si="3"/>
        <v>7.7927019999999914</v>
      </c>
      <c r="J73" s="3">
        <v>47.1</v>
      </c>
      <c r="K73" s="3">
        <v>17.5</v>
      </c>
      <c r="L73" s="13">
        <f>YEAR(Weekly_Prices[[#This Row],[Date]])</f>
        <v>2004</v>
      </c>
      <c r="M73" s="13">
        <f>MONTH(Weekly_Prices[[#This Row],[Date]])</f>
        <v>10</v>
      </c>
      <c r="N73" s="3" t="str">
        <f>TEXT(Weekly_Prices[[#This Row],[Date]],"MMMM")</f>
        <v>October</v>
      </c>
      <c r="O73" s="3" t="str">
        <f>YEAR(Weekly_Prices[[#This Row],[Date]])&amp;"-"&amp;TEXT(WEEKNUM(Weekly_Prices[[#This Row],[Date]],2),"00")</f>
        <v>2004-43</v>
      </c>
    </row>
    <row r="74" spans="1:15" x14ac:dyDescent="0.35">
      <c r="A74" s="2">
        <v>38285</v>
      </c>
      <c r="B74" s="3">
        <v>83.935907999999998</v>
      </c>
      <c r="C74" s="4">
        <f t="shared" si="4"/>
        <v>0.5859530000000035</v>
      </c>
      <c r="D74" s="4">
        <f t="shared" si="2"/>
        <v>7.9404480000000035</v>
      </c>
      <c r="E74" s="3">
        <v>47.1</v>
      </c>
      <c r="F74" s="3">
        <v>17.5</v>
      </c>
      <c r="G74" s="3">
        <v>86.034387999999993</v>
      </c>
      <c r="H74" s="4">
        <f t="shared" si="5"/>
        <v>0.69697200000000237</v>
      </c>
      <c r="I74" s="4">
        <f t="shared" si="3"/>
        <v>8.5234099999999984</v>
      </c>
      <c r="J74" s="3">
        <v>47.1</v>
      </c>
      <c r="K74" s="3">
        <v>17.5</v>
      </c>
      <c r="L74" s="13">
        <f>YEAR(Weekly_Prices[[#This Row],[Date]])</f>
        <v>2004</v>
      </c>
      <c r="M74" s="13">
        <f>MONTH(Weekly_Prices[[#This Row],[Date]])</f>
        <v>10</v>
      </c>
      <c r="N74" s="3" t="str">
        <f>TEXT(Weekly_Prices[[#This Row],[Date]],"MMMM")</f>
        <v>October</v>
      </c>
      <c r="O74" s="3" t="str">
        <f>YEAR(Weekly_Prices[[#This Row],[Date]])&amp;"-"&amp;TEXT(WEEKNUM(Weekly_Prices[[#This Row],[Date]],2),"00")</f>
        <v>2004-44</v>
      </c>
    </row>
    <row r="75" spans="1:15" x14ac:dyDescent="0.35">
      <c r="A75" s="2">
        <v>38292</v>
      </c>
      <c r="B75" s="3">
        <v>84.269620000000003</v>
      </c>
      <c r="C75" s="4">
        <f t="shared" si="4"/>
        <v>0.33371200000000556</v>
      </c>
      <c r="D75" s="4">
        <f t="shared" si="2"/>
        <v>8.2733609999999942</v>
      </c>
      <c r="E75" s="3">
        <v>47.1</v>
      </c>
      <c r="F75" s="3">
        <v>17.5</v>
      </c>
      <c r="G75" s="3">
        <v>86.421527000000012</v>
      </c>
      <c r="H75" s="4">
        <f t="shared" si="5"/>
        <v>0.387139000000019</v>
      </c>
      <c r="I75" s="4">
        <f t="shared" si="3"/>
        <v>8.9015530000000069</v>
      </c>
      <c r="J75" s="3">
        <v>47.1</v>
      </c>
      <c r="K75" s="3">
        <v>17.5</v>
      </c>
      <c r="L75" s="13">
        <f>YEAR(Weekly_Prices[[#This Row],[Date]])</f>
        <v>2004</v>
      </c>
      <c r="M75" s="13">
        <f>MONTH(Weekly_Prices[[#This Row],[Date]])</f>
        <v>11</v>
      </c>
      <c r="N75" s="3" t="str">
        <f>TEXT(Weekly_Prices[[#This Row],[Date]],"MMMM")</f>
        <v>November</v>
      </c>
      <c r="O75" s="3" t="str">
        <f>YEAR(Weekly_Prices[[#This Row],[Date]])&amp;"-"&amp;TEXT(WEEKNUM(Weekly_Prices[[#This Row],[Date]],2),"00")</f>
        <v>2004-45</v>
      </c>
    </row>
    <row r="76" spans="1:15" x14ac:dyDescent="0.35">
      <c r="A76" s="2">
        <v>38299</v>
      </c>
      <c r="B76" s="3">
        <v>84.343500000000006</v>
      </c>
      <c r="C76" s="4">
        <f t="shared" si="4"/>
        <v>7.388000000000261E-2</v>
      </c>
      <c r="D76" s="4">
        <f t="shared" si="2"/>
        <v>8.4006700000000052</v>
      </c>
      <c r="E76" s="3">
        <v>47.1</v>
      </c>
      <c r="F76" s="3">
        <v>17.5</v>
      </c>
      <c r="G76" s="3">
        <v>86.544431000000017</v>
      </c>
      <c r="H76" s="4">
        <f t="shared" si="5"/>
        <v>0.12290400000000545</v>
      </c>
      <c r="I76" s="4">
        <f t="shared" si="3"/>
        <v>9.0745630000000261</v>
      </c>
      <c r="J76" s="3">
        <v>47.1</v>
      </c>
      <c r="K76" s="3">
        <v>17.5</v>
      </c>
      <c r="L76" s="13">
        <f>YEAR(Weekly_Prices[[#This Row],[Date]])</f>
        <v>2004</v>
      </c>
      <c r="M76" s="13">
        <f>MONTH(Weekly_Prices[[#This Row],[Date]])</f>
        <v>11</v>
      </c>
      <c r="N76" s="3" t="str">
        <f>TEXT(Weekly_Prices[[#This Row],[Date]],"MMMM")</f>
        <v>November</v>
      </c>
      <c r="O76" s="3" t="str">
        <f>YEAR(Weekly_Prices[[#This Row],[Date]])&amp;"-"&amp;TEXT(WEEKNUM(Weekly_Prices[[#This Row],[Date]],2),"00")</f>
        <v>2004-46</v>
      </c>
    </row>
    <row r="77" spans="1:15" x14ac:dyDescent="0.35">
      <c r="A77" s="2">
        <v>38306</v>
      </c>
      <c r="B77" s="3">
        <v>84.264193000000006</v>
      </c>
      <c r="C77" s="4">
        <f t="shared" si="4"/>
        <v>-7.9307000000000016E-2</v>
      </c>
      <c r="D77" s="4">
        <f t="shared" si="2"/>
        <v>8.3373500000000007</v>
      </c>
      <c r="E77" s="3">
        <v>47.1</v>
      </c>
      <c r="F77" s="3">
        <v>17.5</v>
      </c>
      <c r="G77" s="3">
        <v>86.420849000000004</v>
      </c>
      <c r="H77" s="4">
        <f t="shared" si="5"/>
        <v>-0.12358200000001318</v>
      </c>
      <c r="I77" s="4">
        <f t="shared" si="3"/>
        <v>8.9032250000000062</v>
      </c>
      <c r="J77" s="3">
        <v>47.1</v>
      </c>
      <c r="K77" s="3">
        <v>17.5</v>
      </c>
      <c r="L77" s="13">
        <f>YEAR(Weekly_Prices[[#This Row],[Date]])</f>
        <v>2004</v>
      </c>
      <c r="M77" s="13">
        <f>MONTH(Weekly_Prices[[#This Row],[Date]])</f>
        <v>11</v>
      </c>
      <c r="N77" s="3" t="str">
        <f>TEXT(Weekly_Prices[[#This Row],[Date]],"MMMM")</f>
        <v>November</v>
      </c>
      <c r="O77" s="3" t="str">
        <f>YEAR(Weekly_Prices[[#This Row],[Date]])&amp;"-"&amp;TEXT(WEEKNUM(Weekly_Prices[[#This Row],[Date]],2),"00")</f>
        <v>2004-47</v>
      </c>
    </row>
    <row r="78" spans="1:15" x14ac:dyDescent="0.35">
      <c r="A78" s="2">
        <v>38313</v>
      </c>
      <c r="B78" s="3">
        <v>81.46464499999999</v>
      </c>
      <c r="C78" s="4">
        <f t="shared" si="4"/>
        <v>-2.7995480000000157</v>
      </c>
      <c r="D78" s="4">
        <f t="shared" si="2"/>
        <v>5.4495469999999955</v>
      </c>
      <c r="E78" s="3">
        <v>47.1</v>
      </c>
      <c r="F78" s="3">
        <v>17.5</v>
      </c>
      <c r="G78" s="3">
        <v>85.166606000000002</v>
      </c>
      <c r="H78" s="4">
        <f t="shared" si="5"/>
        <v>-1.2542430000000024</v>
      </c>
      <c r="I78" s="4">
        <f t="shared" si="3"/>
        <v>7.4959580000000017</v>
      </c>
      <c r="J78" s="3">
        <v>47.1</v>
      </c>
      <c r="K78" s="3">
        <v>17.5</v>
      </c>
      <c r="L78" s="13">
        <f>YEAR(Weekly_Prices[[#This Row],[Date]])</f>
        <v>2004</v>
      </c>
      <c r="M78" s="13">
        <f>MONTH(Weekly_Prices[[#This Row],[Date]])</f>
        <v>11</v>
      </c>
      <c r="N78" s="3" t="str">
        <f>TEXT(Weekly_Prices[[#This Row],[Date]],"MMMM")</f>
        <v>November</v>
      </c>
      <c r="O78" s="3" t="str">
        <f>YEAR(Weekly_Prices[[#This Row],[Date]])&amp;"-"&amp;TEXT(WEEKNUM(Weekly_Prices[[#This Row],[Date]],2),"00")</f>
        <v>2004-48</v>
      </c>
    </row>
    <row r="79" spans="1:15" x14ac:dyDescent="0.35">
      <c r="A79" s="2">
        <v>38320</v>
      </c>
      <c r="B79" s="3">
        <v>84.165259000000006</v>
      </c>
      <c r="C79" s="4">
        <f t="shared" si="4"/>
        <v>2.7006140000000158</v>
      </c>
      <c r="D79" s="4">
        <f t="shared" si="2"/>
        <v>8.169983000000002</v>
      </c>
      <c r="E79" s="3">
        <v>47.1</v>
      </c>
      <c r="F79" s="3">
        <v>17.5</v>
      </c>
      <c r="G79" s="3">
        <v>86.361028000000005</v>
      </c>
      <c r="H79" s="4">
        <f t="shared" si="5"/>
        <v>1.194422000000003</v>
      </c>
      <c r="I79" s="4">
        <f t="shared" si="3"/>
        <v>8.7039560000000051</v>
      </c>
      <c r="J79" s="3">
        <v>47.1</v>
      </c>
      <c r="K79" s="3">
        <v>17.5</v>
      </c>
      <c r="L79" s="13">
        <f>YEAR(Weekly_Prices[[#This Row],[Date]])</f>
        <v>2004</v>
      </c>
      <c r="M79" s="13">
        <f>MONTH(Weekly_Prices[[#This Row],[Date]])</f>
        <v>11</v>
      </c>
      <c r="N79" s="3" t="str">
        <f>TEXT(Weekly_Prices[[#This Row],[Date]],"MMMM")</f>
        <v>November</v>
      </c>
      <c r="O79" s="3" t="str">
        <f>YEAR(Weekly_Prices[[#This Row],[Date]])&amp;"-"&amp;TEXT(WEEKNUM(Weekly_Prices[[#This Row],[Date]],2),"00")</f>
        <v>2004-49</v>
      </c>
    </row>
    <row r="80" spans="1:15" x14ac:dyDescent="0.35">
      <c r="A80" s="2">
        <v>38327</v>
      </c>
      <c r="B80" s="3">
        <v>84.062279000000018</v>
      </c>
      <c r="C80" s="4">
        <f t="shared" si="4"/>
        <v>-0.10297999999998808</v>
      </c>
      <c r="D80" s="4">
        <f t="shared" si="2"/>
        <v>8.0917130000000128</v>
      </c>
      <c r="E80" s="3">
        <v>47.1</v>
      </c>
      <c r="F80" s="3">
        <v>17.5</v>
      </c>
      <c r="G80" s="3">
        <v>86.397681000000006</v>
      </c>
      <c r="H80" s="4">
        <f t="shared" si="5"/>
        <v>3.6653000000001157E-2</v>
      </c>
      <c r="I80" s="4">
        <f t="shared" si="3"/>
        <v>8.7688770000000176</v>
      </c>
      <c r="J80" s="3">
        <v>47.1</v>
      </c>
      <c r="K80" s="3">
        <v>17.5</v>
      </c>
      <c r="L80" s="13">
        <f>YEAR(Weekly_Prices[[#This Row],[Date]])</f>
        <v>2004</v>
      </c>
      <c r="M80" s="13">
        <f>MONTH(Weekly_Prices[[#This Row],[Date]])</f>
        <v>12</v>
      </c>
      <c r="N80" s="3" t="str">
        <f>TEXT(Weekly_Prices[[#This Row],[Date]],"MMMM")</f>
        <v>December</v>
      </c>
      <c r="O80" s="3" t="str">
        <f>YEAR(Weekly_Prices[[#This Row],[Date]])&amp;"-"&amp;TEXT(WEEKNUM(Weekly_Prices[[#This Row],[Date]],2),"00")</f>
        <v>2004-50</v>
      </c>
    </row>
    <row r="81" spans="1:15" x14ac:dyDescent="0.35">
      <c r="A81" s="2">
        <v>38334</v>
      </c>
      <c r="B81" s="3">
        <v>82.732802000000007</v>
      </c>
      <c r="C81" s="4">
        <f t="shared" si="4"/>
        <v>-1.3294770000000113</v>
      </c>
      <c r="D81" s="4">
        <f t="shared" si="2"/>
        <v>6.7737390000000062</v>
      </c>
      <c r="E81" s="3">
        <v>47.1</v>
      </c>
      <c r="F81" s="3">
        <v>17.5</v>
      </c>
      <c r="G81" s="3">
        <v>85.978619000000009</v>
      </c>
      <c r="H81" s="4">
        <f t="shared" si="5"/>
        <v>-0.41906199999999671</v>
      </c>
      <c r="I81" s="4">
        <f t="shared" si="3"/>
        <v>8.35928100000001</v>
      </c>
      <c r="J81" s="3">
        <v>47.1</v>
      </c>
      <c r="K81" s="3">
        <v>17.5</v>
      </c>
      <c r="L81" s="13">
        <f>YEAR(Weekly_Prices[[#This Row],[Date]])</f>
        <v>2004</v>
      </c>
      <c r="M81" s="13">
        <f>MONTH(Weekly_Prices[[#This Row],[Date]])</f>
        <v>12</v>
      </c>
      <c r="N81" s="3" t="str">
        <f>TEXT(Weekly_Prices[[#This Row],[Date]],"MMMM")</f>
        <v>December</v>
      </c>
      <c r="O81" s="3" t="str">
        <f>YEAR(Weekly_Prices[[#This Row],[Date]])&amp;"-"&amp;TEXT(WEEKNUM(Weekly_Prices[[#This Row],[Date]],2),"00")</f>
        <v>2004-51</v>
      </c>
    </row>
    <row r="82" spans="1:15" x14ac:dyDescent="0.35">
      <c r="A82" s="2">
        <v>38341</v>
      </c>
      <c r="B82" s="3">
        <v>81.46464499999999</v>
      </c>
      <c r="C82" s="4">
        <f t="shared" si="4"/>
        <v>-1.2681570000000164</v>
      </c>
      <c r="D82" s="4">
        <f t="shared" si="2"/>
        <v>5.5420089999999789</v>
      </c>
      <c r="E82" s="3">
        <v>47.1</v>
      </c>
      <c r="F82" s="3">
        <v>17.5</v>
      </c>
      <c r="G82" s="3">
        <v>85.166606000000002</v>
      </c>
      <c r="H82" s="4">
        <f t="shared" si="5"/>
        <v>-0.81201300000000742</v>
      </c>
      <c r="I82" s="4">
        <f t="shared" si="3"/>
        <v>7.5527880000000067</v>
      </c>
      <c r="J82" s="3">
        <v>47.1</v>
      </c>
      <c r="K82" s="3">
        <v>17.5</v>
      </c>
      <c r="L82" s="13">
        <f>YEAR(Weekly_Prices[[#This Row],[Date]])</f>
        <v>2004</v>
      </c>
      <c r="M82" s="13">
        <f>MONTH(Weekly_Prices[[#This Row],[Date]])</f>
        <v>12</v>
      </c>
      <c r="N82" s="3" t="str">
        <f>TEXT(Weekly_Prices[[#This Row],[Date]],"MMMM")</f>
        <v>December</v>
      </c>
      <c r="O82" s="3" t="str">
        <f>YEAR(Weekly_Prices[[#This Row],[Date]])&amp;"-"&amp;TEXT(WEEKNUM(Weekly_Prices[[#This Row],[Date]],2),"00")</f>
        <v>2004-52</v>
      </c>
    </row>
    <row r="83" spans="1:15" x14ac:dyDescent="0.35">
      <c r="A83" s="2">
        <v>38348</v>
      </c>
      <c r="B83" s="3">
        <v>81.200710000000015</v>
      </c>
      <c r="C83" s="4">
        <f t="shared" si="4"/>
        <v>-0.26393499999997516</v>
      </c>
      <c r="D83" s="4">
        <f t="shared" si="2"/>
        <v>5.2610110000000105</v>
      </c>
      <c r="E83" s="3">
        <v>47.1</v>
      </c>
      <c r="F83" s="3">
        <v>17.5</v>
      </c>
      <c r="G83" s="3">
        <v>85.14009200000001</v>
      </c>
      <c r="H83" s="4">
        <f t="shared" si="5"/>
        <v>-2.6513999999991711E-2</v>
      </c>
      <c r="I83" s="4">
        <f t="shared" si="3"/>
        <v>7.5392100000000255</v>
      </c>
      <c r="J83" s="3">
        <v>47.1</v>
      </c>
      <c r="K83" s="3">
        <v>17.5</v>
      </c>
      <c r="L83" s="13">
        <f>YEAR(Weekly_Prices[[#This Row],[Date]])</f>
        <v>2004</v>
      </c>
      <c r="M83" s="13">
        <f>MONTH(Weekly_Prices[[#This Row],[Date]])</f>
        <v>12</v>
      </c>
      <c r="N83" s="3" t="str">
        <f>TEXT(Weekly_Prices[[#This Row],[Date]],"MMMM")</f>
        <v>December</v>
      </c>
      <c r="O83" s="3" t="str">
        <f>YEAR(Weekly_Prices[[#This Row],[Date]])&amp;"-"&amp;TEXT(WEEKNUM(Weekly_Prices[[#This Row],[Date]],2),"00")</f>
        <v>2004-53</v>
      </c>
    </row>
    <row r="84" spans="1:15" x14ac:dyDescent="0.35">
      <c r="A84" s="2">
        <v>38355</v>
      </c>
      <c r="B84" s="3">
        <v>81.165354000000008</v>
      </c>
      <c r="C84" s="4">
        <f t="shared" si="4"/>
        <v>-3.5356000000007271E-2</v>
      </c>
      <c r="D84" s="4">
        <f t="shared" si="2"/>
        <v>5.2885789999999986</v>
      </c>
      <c r="E84" s="3">
        <v>47.1</v>
      </c>
      <c r="F84" s="3">
        <v>17.5</v>
      </c>
      <c r="G84" s="3">
        <v>85.123320000000007</v>
      </c>
      <c r="H84" s="4">
        <f t="shared" si="5"/>
        <v>-1.6772000000003118E-2</v>
      </c>
      <c r="I84" s="4">
        <f t="shared" si="3"/>
        <v>7.587672000000012</v>
      </c>
      <c r="J84" s="3">
        <v>47.1</v>
      </c>
      <c r="K84" s="3">
        <v>17.5</v>
      </c>
      <c r="L84" s="13">
        <f>YEAR(Weekly_Prices[[#This Row],[Date]])</f>
        <v>2005</v>
      </c>
      <c r="M84" s="13">
        <f>MONTH(Weekly_Prices[[#This Row],[Date]])</f>
        <v>1</v>
      </c>
      <c r="N84" s="3" t="str">
        <f>TEXT(Weekly_Prices[[#This Row],[Date]],"MMMM")</f>
        <v>January</v>
      </c>
      <c r="O84" s="3" t="str">
        <f>YEAR(Weekly_Prices[[#This Row],[Date]])&amp;"-"&amp;TEXT(WEEKNUM(Weekly_Prices[[#This Row],[Date]],2),"00")</f>
        <v>2005-02</v>
      </c>
    </row>
    <row r="85" spans="1:15" x14ac:dyDescent="0.35">
      <c r="A85" s="2">
        <v>38362</v>
      </c>
      <c r="B85" s="3">
        <v>79.835996000000009</v>
      </c>
      <c r="C85" s="4">
        <f t="shared" si="4"/>
        <v>-1.3293579999999992</v>
      </c>
      <c r="D85" s="4">
        <f t="shared" si="2"/>
        <v>3.9377800000000178</v>
      </c>
      <c r="E85" s="3">
        <v>47.1</v>
      </c>
      <c r="F85" s="3">
        <v>17.5</v>
      </c>
      <c r="G85" s="3">
        <v>84.865123999999994</v>
      </c>
      <c r="H85" s="4">
        <f t="shared" si="5"/>
        <v>-0.2581960000000123</v>
      </c>
      <c r="I85" s="4">
        <f t="shared" si="3"/>
        <v>7.322581999999997</v>
      </c>
      <c r="J85" s="3">
        <v>47.1</v>
      </c>
      <c r="K85" s="3">
        <v>17.5</v>
      </c>
      <c r="L85" s="13">
        <f>YEAR(Weekly_Prices[[#This Row],[Date]])</f>
        <v>2005</v>
      </c>
      <c r="M85" s="13">
        <f>MONTH(Weekly_Prices[[#This Row],[Date]])</f>
        <v>1</v>
      </c>
      <c r="N85" s="3" t="str">
        <f>TEXT(Weekly_Prices[[#This Row],[Date]],"MMMM")</f>
        <v>January</v>
      </c>
      <c r="O85" s="3" t="str">
        <f>YEAR(Weekly_Prices[[#This Row],[Date]])&amp;"-"&amp;TEXT(WEEKNUM(Weekly_Prices[[#This Row],[Date]],2),"00")</f>
        <v>2005-03</v>
      </c>
    </row>
    <row r="86" spans="1:15" x14ac:dyDescent="0.35">
      <c r="A86" s="2">
        <v>38369</v>
      </c>
      <c r="B86" s="3">
        <v>78.934239999999988</v>
      </c>
      <c r="C86" s="4">
        <f t="shared" si="4"/>
        <v>-0.90175600000002021</v>
      </c>
      <c r="D86" s="4">
        <f t="shared" si="2"/>
        <v>2.5733089999999805</v>
      </c>
      <c r="E86" s="3">
        <v>47.1</v>
      </c>
      <c r="F86" s="3">
        <v>17.5</v>
      </c>
      <c r="G86" s="3">
        <v>83.939431000000013</v>
      </c>
      <c r="H86" s="4">
        <f t="shared" si="5"/>
        <v>-0.92569299999998123</v>
      </c>
      <c r="I86" s="4">
        <f t="shared" si="3"/>
        <v>5.883513000000022</v>
      </c>
      <c r="J86" s="3">
        <v>47.1</v>
      </c>
      <c r="K86" s="3">
        <v>17.5</v>
      </c>
      <c r="L86" s="13">
        <f>YEAR(Weekly_Prices[[#This Row],[Date]])</f>
        <v>2005</v>
      </c>
      <c r="M86" s="13">
        <f>MONTH(Weekly_Prices[[#This Row],[Date]])</f>
        <v>1</v>
      </c>
      <c r="N86" s="3" t="str">
        <f>TEXT(Weekly_Prices[[#This Row],[Date]],"MMMM")</f>
        <v>January</v>
      </c>
      <c r="O86" s="3" t="str">
        <f>YEAR(Weekly_Prices[[#This Row],[Date]])&amp;"-"&amp;TEXT(WEEKNUM(Weekly_Prices[[#This Row],[Date]],2),"00")</f>
        <v>2005-04</v>
      </c>
    </row>
    <row r="87" spans="1:15" x14ac:dyDescent="0.35">
      <c r="A87" s="2">
        <v>38376</v>
      </c>
      <c r="B87" s="3">
        <v>78.929773000000012</v>
      </c>
      <c r="C87" s="4">
        <f t="shared" si="4"/>
        <v>-4.4669999999769061E-3</v>
      </c>
      <c r="D87" s="4">
        <f t="shared" si="2"/>
        <v>2.4892940000000152</v>
      </c>
      <c r="E87" s="3">
        <v>47.1</v>
      </c>
      <c r="F87" s="3">
        <v>17.5</v>
      </c>
      <c r="G87" s="3">
        <v>83.865077000000014</v>
      </c>
      <c r="H87" s="4">
        <f t="shared" si="5"/>
        <v>-7.4353999999999587E-2</v>
      </c>
      <c r="I87" s="4">
        <f t="shared" si="3"/>
        <v>5.785207000000014</v>
      </c>
      <c r="J87" s="3">
        <v>47.1</v>
      </c>
      <c r="K87" s="3">
        <v>17.5</v>
      </c>
      <c r="L87" s="13">
        <f>YEAR(Weekly_Prices[[#This Row],[Date]])</f>
        <v>2005</v>
      </c>
      <c r="M87" s="13">
        <f>MONTH(Weekly_Prices[[#This Row],[Date]])</f>
        <v>1</v>
      </c>
      <c r="N87" s="3" t="str">
        <f>TEXT(Weekly_Prices[[#This Row],[Date]],"MMMM")</f>
        <v>January</v>
      </c>
      <c r="O87" s="3" t="str">
        <f>YEAR(Weekly_Prices[[#This Row],[Date]])&amp;"-"&amp;TEXT(WEEKNUM(Weekly_Prices[[#This Row],[Date]],2),"00")</f>
        <v>2005-05</v>
      </c>
    </row>
    <row r="88" spans="1:15" x14ac:dyDescent="0.35">
      <c r="A88" s="2">
        <v>38383</v>
      </c>
      <c r="B88" s="3">
        <v>79.540199000000001</v>
      </c>
      <c r="C88" s="4">
        <f t="shared" si="4"/>
        <v>0.6104259999999897</v>
      </c>
      <c r="D88" s="4">
        <f t="shared" si="2"/>
        <v>3.0556959999999975</v>
      </c>
      <c r="E88" s="3">
        <v>47.1</v>
      </c>
      <c r="F88" s="3">
        <v>17.5</v>
      </c>
      <c r="G88" s="3">
        <v>84.225148000000019</v>
      </c>
      <c r="H88" s="4">
        <f t="shared" si="5"/>
        <v>0.36007100000000491</v>
      </c>
      <c r="I88" s="4">
        <f t="shared" si="3"/>
        <v>6.0995740000000325</v>
      </c>
      <c r="J88" s="3">
        <v>47.1</v>
      </c>
      <c r="K88" s="3">
        <v>17.5</v>
      </c>
      <c r="L88" s="13">
        <f>YEAR(Weekly_Prices[[#This Row],[Date]])</f>
        <v>2005</v>
      </c>
      <c r="M88" s="13">
        <f>MONTH(Weekly_Prices[[#This Row],[Date]])</f>
        <v>1</v>
      </c>
      <c r="N88" s="3" t="str">
        <f>TEXT(Weekly_Prices[[#This Row],[Date]],"MMMM")</f>
        <v>January</v>
      </c>
      <c r="O88" s="3" t="str">
        <f>YEAR(Weekly_Prices[[#This Row],[Date]])&amp;"-"&amp;TEXT(WEEKNUM(Weekly_Prices[[#This Row],[Date]],2),"00")</f>
        <v>2005-06</v>
      </c>
    </row>
    <row r="89" spans="1:15" x14ac:dyDescent="0.35">
      <c r="A89" s="2">
        <v>38390</v>
      </c>
      <c r="B89" s="3">
        <v>79.843308000000007</v>
      </c>
      <c r="C89" s="4">
        <f t="shared" si="4"/>
        <v>0.30310900000000629</v>
      </c>
      <c r="D89" s="4">
        <f t="shared" si="2"/>
        <v>3.3417890000000199</v>
      </c>
      <c r="E89" s="3">
        <v>47.1</v>
      </c>
      <c r="F89" s="3">
        <v>17.5</v>
      </c>
      <c r="G89" s="3">
        <v>84.274849000000003</v>
      </c>
      <c r="H89" s="4">
        <f t="shared" si="5"/>
        <v>4.9700999999984674E-2</v>
      </c>
      <c r="I89" s="4">
        <f t="shared" si="3"/>
        <v>6.2930670000000219</v>
      </c>
      <c r="J89" s="3">
        <v>47.1</v>
      </c>
      <c r="K89" s="3">
        <v>17.5</v>
      </c>
      <c r="L89" s="13">
        <f>YEAR(Weekly_Prices[[#This Row],[Date]])</f>
        <v>2005</v>
      </c>
      <c r="M89" s="13">
        <f>MONTH(Weekly_Prices[[#This Row],[Date]])</f>
        <v>2</v>
      </c>
      <c r="N89" s="3" t="str">
        <f>TEXT(Weekly_Prices[[#This Row],[Date]],"MMMM")</f>
        <v>February</v>
      </c>
      <c r="O89" s="3" t="str">
        <f>YEAR(Weekly_Prices[[#This Row],[Date]])&amp;"-"&amp;TEXT(WEEKNUM(Weekly_Prices[[#This Row],[Date]],2),"00")</f>
        <v>2005-07</v>
      </c>
    </row>
    <row r="90" spans="1:15" x14ac:dyDescent="0.35">
      <c r="A90" s="2">
        <v>38397</v>
      </c>
      <c r="B90" s="3">
        <v>80.033432999999988</v>
      </c>
      <c r="C90" s="4">
        <f t="shared" si="4"/>
        <v>0.19012499999998056</v>
      </c>
      <c r="D90" s="4">
        <f t="shared" si="2"/>
        <v>3.5929239999999965</v>
      </c>
      <c r="E90" s="3">
        <v>47.1</v>
      </c>
      <c r="F90" s="3">
        <v>17.5</v>
      </c>
      <c r="G90" s="3">
        <v>84.316680000000019</v>
      </c>
      <c r="H90" s="4">
        <f t="shared" si="5"/>
        <v>4.1831000000016161E-2</v>
      </c>
      <c r="I90" s="4">
        <f t="shared" si="3"/>
        <v>6.3197280000000262</v>
      </c>
      <c r="J90" s="3">
        <v>47.1</v>
      </c>
      <c r="K90" s="3">
        <v>17.5</v>
      </c>
      <c r="L90" s="13">
        <f>YEAR(Weekly_Prices[[#This Row],[Date]])</f>
        <v>2005</v>
      </c>
      <c r="M90" s="13">
        <f>MONTH(Weekly_Prices[[#This Row],[Date]])</f>
        <v>2</v>
      </c>
      <c r="N90" s="3" t="str">
        <f>TEXT(Weekly_Prices[[#This Row],[Date]],"MMMM")</f>
        <v>February</v>
      </c>
      <c r="O90" s="3" t="str">
        <f>YEAR(Weekly_Prices[[#This Row],[Date]])&amp;"-"&amp;TEXT(WEEKNUM(Weekly_Prices[[#This Row],[Date]],2),"00")</f>
        <v>2005-08</v>
      </c>
    </row>
    <row r="91" spans="1:15" x14ac:dyDescent="0.35">
      <c r="A91" s="2">
        <v>38404</v>
      </c>
      <c r="B91" s="3">
        <v>80.150513000000004</v>
      </c>
      <c r="C91" s="4">
        <f t="shared" si="4"/>
        <v>0.11708000000001562</v>
      </c>
      <c r="D91" s="4">
        <f t="shared" si="2"/>
        <v>3.7694649999999967</v>
      </c>
      <c r="E91" s="3">
        <v>47.1</v>
      </c>
      <c r="F91" s="3">
        <v>17.5</v>
      </c>
      <c r="G91" s="3">
        <v>84.358613999999989</v>
      </c>
      <c r="H91" s="4">
        <f t="shared" si="5"/>
        <v>4.1933999999969274E-2</v>
      </c>
      <c r="I91" s="4">
        <f t="shared" si="3"/>
        <v>6.4296539999999993</v>
      </c>
      <c r="J91" s="3">
        <v>47.1</v>
      </c>
      <c r="K91" s="3">
        <v>17.5</v>
      </c>
      <c r="L91" s="13">
        <f>YEAR(Weekly_Prices[[#This Row],[Date]])</f>
        <v>2005</v>
      </c>
      <c r="M91" s="13">
        <f>MONTH(Weekly_Prices[[#This Row],[Date]])</f>
        <v>2</v>
      </c>
      <c r="N91" s="3" t="str">
        <f>TEXT(Weekly_Prices[[#This Row],[Date]],"MMMM")</f>
        <v>February</v>
      </c>
      <c r="O91" s="3" t="str">
        <f>YEAR(Weekly_Prices[[#This Row],[Date]])&amp;"-"&amp;TEXT(WEEKNUM(Weekly_Prices[[#This Row],[Date]],2),"00")</f>
        <v>2005-09</v>
      </c>
    </row>
    <row r="92" spans="1:15" x14ac:dyDescent="0.35">
      <c r="A92" s="2">
        <v>38411</v>
      </c>
      <c r="B92" s="3">
        <v>80.445567999999994</v>
      </c>
      <c r="C92" s="4">
        <f t="shared" si="4"/>
        <v>0.29505499999999074</v>
      </c>
      <c r="D92" s="4">
        <f t="shared" si="2"/>
        <v>4.1213759999999837</v>
      </c>
      <c r="E92" s="3">
        <v>47.1</v>
      </c>
      <c r="F92" s="3">
        <v>17.5</v>
      </c>
      <c r="G92" s="3">
        <v>84.651199999999989</v>
      </c>
      <c r="H92" s="4">
        <f t="shared" si="5"/>
        <v>0.29258600000000001</v>
      </c>
      <c r="I92" s="4">
        <f t="shared" si="3"/>
        <v>6.7818439999999924</v>
      </c>
      <c r="J92" s="3">
        <v>47.1</v>
      </c>
      <c r="K92" s="3">
        <v>17.5</v>
      </c>
      <c r="L92" s="13">
        <f>YEAR(Weekly_Prices[[#This Row],[Date]])</f>
        <v>2005</v>
      </c>
      <c r="M92" s="13">
        <f>MONTH(Weekly_Prices[[#This Row],[Date]])</f>
        <v>2</v>
      </c>
      <c r="N92" s="3" t="str">
        <f>TEXT(Weekly_Prices[[#This Row],[Date]],"MMMM")</f>
        <v>February</v>
      </c>
      <c r="O92" s="3" t="str">
        <f>YEAR(Weekly_Prices[[#This Row],[Date]])&amp;"-"&amp;TEXT(WEEKNUM(Weekly_Prices[[#This Row],[Date]],2),"00")</f>
        <v>2005-10</v>
      </c>
    </row>
    <row r="93" spans="1:15" x14ac:dyDescent="0.35">
      <c r="A93" s="2">
        <v>38418</v>
      </c>
      <c r="B93" s="3">
        <v>81.164686000000003</v>
      </c>
      <c r="C93" s="4">
        <f t="shared" si="4"/>
        <v>0.71911800000000881</v>
      </c>
      <c r="D93" s="4">
        <f t="shared" si="2"/>
        <v>4.4316170000000028</v>
      </c>
      <c r="E93" s="3">
        <v>47.1</v>
      </c>
      <c r="F93" s="3">
        <v>17.5</v>
      </c>
      <c r="G93" s="3">
        <v>85.636466000000013</v>
      </c>
      <c r="H93" s="4">
        <f t="shared" si="5"/>
        <v>0.98526600000002418</v>
      </c>
      <c r="I93" s="4">
        <f t="shared" si="3"/>
        <v>7.3821080000000165</v>
      </c>
      <c r="J93" s="3">
        <v>47.1</v>
      </c>
      <c r="K93" s="3">
        <v>17.5</v>
      </c>
      <c r="L93" s="13">
        <f>YEAR(Weekly_Prices[[#This Row],[Date]])</f>
        <v>2005</v>
      </c>
      <c r="M93" s="13">
        <f>MONTH(Weekly_Prices[[#This Row],[Date]])</f>
        <v>3</v>
      </c>
      <c r="N93" s="3" t="str">
        <f>TEXT(Weekly_Prices[[#This Row],[Date]],"MMMM")</f>
        <v>March</v>
      </c>
      <c r="O93" s="3" t="str">
        <f>YEAR(Weekly_Prices[[#This Row],[Date]])&amp;"-"&amp;TEXT(WEEKNUM(Weekly_Prices[[#This Row],[Date]],2),"00")</f>
        <v>2005-11</v>
      </c>
    </row>
    <row r="94" spans="1:15" x14ac:dyDescent="0.35">
      <c r="A94" s="2">
        <v>38425</v>
      </c>
      <c r="B94" s="3">
        <v>81.635306999999997</v>
      </c>
      <c r="C94" s="4">
        <f t="shared" si="4"/>
        <v>0.47062099999999418</v>
      </c>
      <c r="D94" s="4">
        <f t="shared" si="2"/>
        <v>4.2468350000000044</v>
      </c>
      <c r="E94" s="3">
        <v>47.1</v>
      </c>
      <c r="F94" s="3">
        <v>17.5</v>
      </c>
      <c r="G94" s="3">
        <v>86.10979900000001</v>
      </c>
      <c r="H94" s="4">
        <f t="shared" si="5"/>
        <v>0.47333299999999667</v>
      </c>
      <c r="I94" s="4">
        <f t="shared" si="3"/>
        <v>7.3126830000000069</v>
      </c>
      <c r="J94" s="3">
        <v>47.1</v>
      </c>
      <c r="K94" s="3">
        <v>17.5</v>
      </c>
      <c r="L94" s="13">
        <f>YEAR(Weekly_Prices[[#This Row],[Date]])</f>
        <v>2005</v>
      </c>
      <c r="M94" s="13">
        <f>MONTH(Weekly_Prices[[#This Row],[Date]])</f>
        <v>3</v>
      </c>
      <c r="N94" s="3" t="str">
        <f>TEXT(Weekly_Prices[[#This Row],[Date]],"MMMM")</f>
        <v>March</v>
      </c>
      <c r="O94" s="3" t="str">
        <f>YEAR(Weekly_Prices[[#This Row],[Date]])&amp;"-"&amp;TEXT(WEEKNUM(Weekly_Prices[[#This Row],[Date]],2),"00")</f>
        <v>2005-12</v>
      </c>
    </row>
    <row r="95" spans="1:15" x14ac:dyDescent="0.35">
      <c r="A95" s="2">
        <v>38432</v>
      </c>
      <c r="B95" s="3">
        <v>82.696926000000005</v>
      </c>
      <c r="C95" s="4">
        <f t="shared" si="4"/>
        <v>1.0616190000000074</v>
      </c>
      <c r="D95" s="4">
        <f t="shared" si="2"/>
        <v>5.2568780000000004</v>
      </c>
      <c r="E95" s="3">
        <v>47.1</v>
      </c>
      <c r="F95" s="3">
        <v>17.5</v>
      </c>
      <c r="G95" s="3">
        <v>87.055381000000011</v>
      </c>
      <c r="H95" s="4">
        <f t="shared" si="5"/>
        <v>0.9455820000000017</v>
      </c>
      <c r="I95" s="4">
        <f t="shared" si="3"/>
        <v>8.1304950000000105</v>
      </c>
      <c r="J95" s="3">
        <v>47.1</v>
      </c>
      <c r="K95" s="3">
        <v>17.5</v>
      </c>
      <c r="L95" s="13">
        <f>YEAR(Weekly_Prices[[#This Row],[Date]])</f>
        <v>2005</v>
      </c>
      <c r="M95" s="13">
        <f>MONTH(Weekly_Prices[[#This Row],[Date]])</f>
        <v>3</v>
      </c>
      <c r="N95" s="3" t="str">
        <f>TEXT(Weekly_Prices[[#This Row],[Date]],"MMMM")</f>
        <v>March</v>
      </c>
      <c r="O95" s="3" t="str">
        <f>YEAR(Weekly_Prices[[#This Row],[Date]])&amp;"-"&amp;TEXT(WEEKNUM(Weekly_Prices[[#This Row],[Date]],2),"00")</f>
        <v>2005-13</v>
      </c>
    </row>
    <row r="96" spans="1:15" x14ac:dyDescent="0.35">
      <c r="A96" s="2">
        <v>38439</v>
      </c>
      <c r="B96" s="3">
        <v>83.404918999999992</v>
      </c>
      <c r="C96" s="4">
        <f t="shared" si="4"/>
        <v>0.70799299999998766</v>
      </c>
      <c r="D96" s="4">
        <f t="shared" si="2"/>
        <v>5.8143029999999811</v>
      </c>
      <c r="E96" s="3">
        <v>47.1</v>
      </c>
      <c r="F96" s="3">
        <v>17.5</v>
      </c>
      <c r="G96" s="3">
        <v>87.684281999999996</v>
      </c>
      <c r="H96" s="4">
        <f t="shared" si="5"/>
        <v>0.62890099999998483</v>
      </c>
      <c r="I96" s="4">
        <f t="shared" si="3"/>
        <v>8.6707999999999998</v>
      </c>
      <c r="J96" s="3">
        <v>47.1</v>
      </c>
      <c r="K96" s="3">
        <v>17.5</v>
      </c>
      <c r="L96" s="13">
        <f>YEAR(Weekly_Prices[[#This Row],[Date]])</f>
        <v>2005</v>
      </c>
      <c r="M96" s="13">
        <f>MONTH(Weekly_Prices[[#This Row],[Date]])</f>
        <v>3</v>
      </c>
      <c r="N96" s="3" t="str">
        <f>TEXT(Weekly_Prices[[#This Row],[Date]],"MMMM")</f>
        <v>March</v>
      </c>
      <c r="O96" s="3" t="str">
        <f>YEAR(Weekly_Prices[[#This Row],[Date]])&amp;"-"&amp;TEXT(WEEKNUM(Weekly_Prices[[#This Row],[Date]],2),"00")</f>
        <v>2005-14</v>
      </c>
    </row>
    <row r="97" spans="1:15" x14ac:dyDescent="0.35">
      <c r="A97" s="2">
        <v>38446</v>
      </c>
      <c r="B97" s="3">
        <v>83.914503000000011</v>
      </c>
      <c r="C97" s="4">
        <f t="shared" si="4"/>
        <v>0.50958400000001802</v>
      </c>
      <c r="D97" s="4">
        <f t="shared" si="2"/>
        <v>6.0589810000000028</v>
      </c>
      <c r="E97" s="3">
        <v>47.1</v>
      </c>
      <c r="F97" s="3">
        <v>17.5</v>
      </c>
      <c r="G97" s="3">
        <v>88.302899999999994</v>
      </c>
      <c r="H97" s="4">
        <f t="shared" si="5"/>
        <v>0.61861799999999789</v>
      </c>
      <c r="I97" s="4">
        <f t="shared" si="3"/>
        <v>9.0708670000000069</v>
      </c>
      <c r="J97" s="3">
        <v>47.1</v>
      </c>
      <c r="K97" s="3">
        <v>17.5</v>
      </c>
      <c r="L97" s="13">
        <f>YEAR(Weekly_Prices[[#This Row],[Date]])</f>
        <v>2005</v>
      </c>
      <c r="M97" s="13">
        <f>MONTH(Weekly_Prices[[#This Row],[Date]])</f>
        <v>4</v>
      </c>
      <c r="N97" s="3" t="str">
        <f>TEXT(Weekly_Prices[[#This Row],[Date]],"MMMM")</f>
        <v>April</v>
      </c>
      <c r="O97" s="3" t="str">
        <f>YEAR(Weekly_Prices[[#This Row],[Date]])&amp;"-"&amp;TEXT(WEEKNUM(Weekly_Prices[[#This Row],[Date]],2),"00")</f>
        <v>2005-15</v>
      </c>
    </row>
    <row r="98" spans="1:15" x14ac:dyDescent="0.35">
      <c r="A98" s="2">
        <v>38453</v>
      </c>
      <c r="B98" s="3">
        <v>85.608850000000004</v>
      </c>
      <c r="C98" s="4">
        <f t="shared" si="4"/>
        <v>1.6943469999999934</v>
      </c>
      <c r="D98" s="4">
        <f t="shared" si="2"/>
        <v>7.724726000000004</v>
      </c>
      <c r="E98" s="3">
        <v>47.1</v>
      </c>
      <c r="F98" s="3">
        <v>17.5</v>
      </c>
      <c r="G98" s="3">
        <v>89.816452999999996</v>
      </c>
      <c r="H98" s="4">
        <f t="shared" si="5"/>
        <v>1.5135530000000017</v>
      </c>
      <c r="I98" s="4">
        <f t="shared" si="3"/>
        <v>10.546171999999999</v>
      </c>
      <c r="J98" s="3">
        <v>47.1</v>
      </c>
      <c r="K98" s="3">
        <v>17.5</v>
      </c>
      <c r="L98" s="13">
        <f>YEAR(Weekly_Prices[[#This Row],[Date]])</f>
        <v>2005</v>
      </c>
      <c r="M98" s="13">
        <f>MONTH(Weekly_Prices[[#This Row],[Date]])</f>
        <v>4</v>
      </c>
      <c r="N98" s="3" t="str">
        <f>TEXT(Weekly_Prices[[#This Row],[Date]],"MMMM")</f>
        <v>April</v>
      </c>
      <c r="O98" s="3" t="str">
        <f>YEAR(Weekly_Prices[[#This Row],[Date]])&amp;"-"&amp;TEXT(WEEKNUM(Weekly_Prices[[#This Row],[Date]],2),"00")</f>
        <v>2005-16</v>
      </c>
    </row>
    <row r="99" spans="1:15" x14ac:dyDescent="0.35">
      <c r="A99" s="2">
        <v>38460</v>
      </c>
      <c r="B99" s="3">
        <v>85.628297999999987</v>
      </c>
      <c r="C99" s="4">
        <f t="shared" si="4"/>
        <v>1.9447999999982812E-2</v>
      </c>
      <c r="D99" s="4">
        <f t="shared" si="2"/>
        <v>7.5844649999999803</v>
      </c>
      <c r="E99" s="3">
        <v>47.1</v>
      </c>
      <c r="F99" s="3">
        <v>17.5</v>
      </c>
      <c r="G99" s="3">
        <v>89.799409000000011</v>
      </c>
      <c r="H99" s="4">
        <f t="shared" si="5"/>
        <v>-1.7043999999984294E-2</v>
      </c>
      <c r="I99" s="4">
        <f t="shared" si="3"/>
        <v>10.366040000000012</v>
      </c>
      <c r="J99" s="3">
        <v>47.1</v>
      </c>
      <c r="K99" s="3">
        <v>17.5</v>
      </c>
      <c r="L99" s="13">
        <f>YEAR(Weekly_Prices[[#This Row],[Date]])</f>
        <v>2005</v>
      </c>
      <c r="M99" s="13">
        <f>MONTH(Weekly_Prices[[#This Row],[Date]])</f>
        <v>4</v>
      </c>
      <c r="N99" s="3" t="str">
        <f>TEXT(Weekly_Prices[[#This Row],[Date]],"MMMM")</f>
        <v>April</v>
      </c>
      <c r="O99" s="3" t="str">
        <f>YEAR(Weekly_Prices[[#This Row],[Date]])&amp;"-"&amp;TEXT(WEEKNUM(Weekly_Prices[[#This Row],[Date]],2),"00")</f>
        <v>2005-17</v>
      </c>
    </row>
    <row r="100" spans="1:15" x14ac:dyDescent="0.35">
      <c r="A100" s="2">
        <v>38467</v>
      </c>
      <c r="B100" s="3">
        <v>85.505451999999991</v>
      </c>
      <c r="C100" s="4">
        <f t="shared" si="4"/>
        <v>-0.12284599999999557</v>
      </c>
      <c r="D100" s="4">
        <f t="shared" si="2"/>
        <v>7.1103589999999883</v>
      </c>
      <c r="E100" s="3">
        <v>47.1</v>
      </c>
      <c r="F100" s="3">
        <v>17.5</v>
      </c>
      <c r="G100" s="3">
        <v>89.622190000000003</v>
      </c>
      <c r="H100" s="4">
        <f t="shared" si="5"/>
        <v>-0.17721900000000801</v>
      </c>
      <c r="I100" s="4">
        <f t="shared" si="3"/>
        <v>9.8698050000000137</v>
      </c>
      <c r="J100" s="3">
        <v>47.1</v>
      </c>
      <c r="K100" s="3">
        <v>17.5</v>
      </c>
      <c r="L100" s="13">
        <f>YEAR(Weekly_Prices[[#This Row],[Date]])</f>
        <v>2005</v>
      </c>
      <c r="M100" s="13">
        <f>MONTH(Weekly_Prices[[#This Row],[Date]])</f>
        <v>4</v>
      </c>
      <c r="N100" s="3" t="str">
        <f>TEXT(Weekly_Prices[[#This Row],[Date]],"MMMM")</f>
        <v>April</v>
      </c>
      <c r="O100" s="3" t="str">
        <f>YEAR(Weekly_Prices[[#This Row],[Date]])&amp;"-"&amp;TEXT(WEEKNUM(Weekly_Prices[[#This Row],[Date]],2),"00")</f>
        <v>2005-18</v>
      </c>
    </row>
    <row r="101" spans="1:15" x14ac:dyDescent="0.35">
      <c r="A101" s="2">
        <v>38474</v>
      </c>
      <c r="B101" s="3">
        <v>85.43958600000002</v>
      </c>
      <c r="C101" s="4">
        <f t="shared" si="4"/>
        <v>-6.5865999999971336E-2</v>
      </c>
      <c r="D101" s="4">
        <f t="shared" si="2"/>
        <v>6.1641770000000236</v>
      </c>
      <c r="E101" s="3">
        <v>47.1</v>
      </c>
      <c r="F101" s="3">
        <v>17.5</v>
      </c>
      <c r="G101" s="3">
        <v>89.3</v>
      </c>
      <c r="H101" s="4">
        <f t="shared" si="5"/>
        <v>-0.32219000000000619</v>
      </c>
      <c r="I101" s="4">
        <f t="shared" si="3"/>
        <v>8.6568400000000025</v>
      </c>
      <c r="J101" s="3">
        <v>47.1</v>
      </c>
      <c r="K101" s="3">
        <v>17.5</v>
      </c>
      <c r="L101" s="13">
        <f>YEAR(Weekly_Prices[[#This Row],[Date]])</f>
        <v>2005</v>
      </c>
      <c r="M101" s="13">
        <f>MONTH(Weekly_Prices[[#This Row],[Date]])</f>
        <v>5</v>
      </c>
      <c r="N101" s="3" t="str">
        <f>TEXT(Weekly_Prices[[#This Row],[Date]],"MMMM")</f>
        <v>May</v>
      </c>
      <c r="O101" s="3" t="str">
        <f>YEAR(Weekly_Prices[[#This Row],[Date]])&amp;"-"&amp;TEXT(WEEKNUM(Weekly_Prices[[#This Row],[Date]],2),"00")</f>
        <v>2005-19</v>
      </c>
    </row>
    <row r="102" spans="1:15" x14ac:dyDescent="0.35">
      <c r="A102" s="2">
        <v>38481</v>
      </c>
      <c r="B102" s="3">
        <v>85.359560000000002</v>
      </c>
      <c r="C102" s="4">
        <f t="shared" si="4"/>
        <v>-8.0026000000017916E-2</v>
      </c>
      <c r="D102" s="4">
        <f t="shared" si="2"/>
        <v>5.0637880000000024</v>
      </c>
      <c r="E102" s="3">
        <v>47.1</v>
      </c>
      <c r="F102" s="3">
        <v>17.5</v>
      </c>
      <c r="G102" s="3">
        <v>89.456670999999986</v>
      </c>
      <c r="H102" s="4">
        <f t="shared" si="5"/>
        <v>0.15667099999998868</v>
      </c>
      <c r="I102" s="4">
        <f t="shared" si="3"/>
        <v>7.781368999999998</v>
      </c>
      <c r="J102" s="3">
        <v>47.1</v>
      </c>
      <c r="K102" s="3">
        <v>17.5</v>
      </c>
      <c r="L102" s="13">
        <f>YEAR(Weekly_Prices[[#This Row],[Date]])</f>
        <v>2005</v>
      </c>
      <c r="M102" s="13">
        <f>MONTH(Weekly_Prices[[#This Row],[Date]])</f>
        <v>5</v>
      </c>
      <c r="N102" s="3" t="str">
        <f>TEXT(Weekly_Prices[[#This Row],[Date]],"MMMM")</f>
        <v>May</v>
      </c>
      <c r="O102" s="3" t="str">
        <f>YEAR(Weekly_Prices[[#This Row],[Date]])&amp;"-"&amp;TEXT(WEEKNUM(Weekly_Prices[[#This Row],[Date]],2),"00")</f>
        <v>2005-20</v>
      </c>
    </row>
    <row r="103" spans="1:15" x14ac:dyDescent="0.35">
      <c r="A103" s="2">
        <v>38488</v>
      </c>
      <c r="B103" s="3">
        <v>85.267619999999994</v>
      </c>
      <c r="C103" s="4">
        <f t="shared" si="4"/>
        <v>-9.1940000000008126E-2</v>
      </c>
      <c r="D103" s="4">
        <f t="shared" si="2"/>
        <v>3.7742009999999908</v>
      </c>
      <c r="E103" s="3">
        <v>47.1</v>
      </c>
      <c r="F103" s="3">
        <v>17.5</v>
      </c>
      <c r="G103" s="3">
        <v>89.400206999999995</v>
      </c>
      <c r="H103" s="4">
        <f t="shared" si="5"/>
        <v>-5.6463999999991188E-2</v>
      </c>
      <c r="I103" s="4">
        <f t="shared" si="3"/>
        <v>6.5693549999999732</v>
      </c>
      <c r="J103" s="3">
        <v>47.1</v>
      </c>
      <c r="K103" s="3">
        <v>17.5</v>
      </c>
      <c r="L103" s="13">
        <f>YEAR(Weekly_Prices[[#This Row],[Date]])</f>
        <v>2005</v>
      </c>
      <c r="M103" s="13">
        <f>MONTH(Weekly_Prices[[#This Row],[Date]])</f>
        <v>5</v>
      </c>
      <c r="N103" s="3" t="str">
        <f>TEXT(Weekly_Prices[[#This Row],[Date]],"MMMM")</f>
        <v>May</v>
      </c>
      <c r="O103" s="3" t="str">
        <f>YEAR(Weekly_Prices[[#This Row],[Date]])&amp;"-"&amp;TEXT(WEEKNUM(Weekly_Prices[[#This Row],[Date]],2),"00")</f>
        <v>2005-21</v>
      </c>
    </row>
    <row r="104" spans="1:15" x14ac:dyDescent="0.35">
      <c r="A104" s="2">
        <v>38495</v>
      </c>
      <c r="B104" s="3">
        <v>84.768938000000006</v>
      </c>
      <c r="C104" s="4">
        <f t="shared" si="4"/>
        <v>-0.49868199999998808</v>
      </c>
      <c r="D104" s="4">
        <f t="shared" si="2"/>
        <v>2.643572000000006</v>
      </c>
      <c r="E104" s="3">
        <v>47.1</v>
      </c>
      <c r="F104" s="3">
        <v>17.5</v>
      </c>
      <c r="G104" s="3">
        <v>89.004167999999993</v>
      </c>
      <c r="H104" s="4">
        <f t="shared" si="5"/>
        <v>-0.39603900000000181</v>
      </c>
      <c r="I104" s="4">
        <f t="shared" si="3"/>
        <v>5.5248609999999871</v>
      </c>
      <c r="J104" s="3">
        <v>47.1</v>
      </c>
      <c r="K104" s="3">
        <v>17.5</v>
      </c>
      <c r="L104" s="13">
        <f>YEAR(Weekly_Prices[[#This Row],[Date]])</f>
        <v>2005</v>
      </c>
      <c r="M104" s="13">
        <f>MONTH(Weekly_Prices[[#This Row],[Date]])</f>
        <v>5</v>
      </c>
      <c r="N104" s="3" t="str">
        <f>TEXT(Weekly_Prices[[#This Row],[Date]],"MMMM")</f>
        <v>May</v>
      </c>
      <c r="O104" s="3" t="str">
        <f>YEAR(Weekly_Prices[[#This Row],[Date]])&amp;"-"&amp;TEXT(WEEKNUM(Weekly_Prices[[#This Row],[Date]],2),"00")</f>
        <v>2005-22</v>
      </c>
    </row>
    <row r="105" spans="1:15" x14ac:dyDescent="0.35">
      <c r="A105" s="2">
        <v>38502</v>
      </c>
      <c r="B105" s="3">
        <v>84.177807000000001</v>
      </c>
      <c r="C105" s="4">
        <f t="shared" si="4"/>
        <v>-0.59113100000000429</v>
      </c>
      <c r="D105" s="4">
        <f t="shared" si="2"/>
        <v>1.8231240000000071</v>
      </c>
      <c r="E105" s="3">
        <v>47.1</v>
      </c>
      <c r="F105" s="3">
        <v>17.5</v>
      </c>
      <c r="G105" s="3">
        <v>88.386880000000005</v>
      </c>
      <c r="H105" s="4">
        <f t="shared" si="5"/>
        <v>-0.61728799999998785</v>
      </c>
      <c r="I105" s="4">
        <f t="shared" si="3"/>
        <v>4.7747640000000189</v>
      </c>
      <c r="J105" s="3">
        <v>47.1</v>
      </c>
      <c r="K105" s="3">
        <v>17.5</v>
      </c>
      <c r="L105" s="13">
        <f>YEAR(Weekly_Prices[[#This Row],[Date]])</f>
        <v>2005</v>
      </c>
      <c r="M105" s="13">
        <f>MONTH(Weekly_Prices[[#This Row],[Date]])</f>
        <v>5</v>
      </c>
      <c r="N105" s="3" t="str">
        <f>TEXT(Weekly_Prices[[#This Row],[Date]],"MMMM")</f>
        <v>May</v>
      </c>
      <c r="O105" s="3" t="str">
        <f>YEAR(Weekly_Prices[[#This Row],[Date]])&amp;"-"&amp;TEXT(WEEKNUM(Weekly_Prices[[#This Row],[Date]],2),"00")</f>
        <v>2005-23</v>
      </c>
    </row>
    <row r="106" spans="1:15" x14ac:dyDescent="0.35">
      <c r="A106" s="2">
        <v>38509</v>
      </c>
      <c r="B106" s="3">
        <v>84.012956000000003</v>
      </c>
      <c r="C106" s="4">
        <f t="shared" si="4"/>
        <v>-0.16485099999999875</v>
      </c>
      <c r="D106" s="4">
        <f t="shared" si="2"/>
        <v>1.5719059999999985</v>
      </c>
      <c r="E106" s="3">
        <v>47.1</v>
      </c>
      <c r="F106" s="3">
        <v>17.5</v>
      </c>
      <c r="G106" s="3">
        <v>88.233068000000003</v>
      </c>
      <c r="H106" s="4">
        <f t="shared" si="5"/>
        <v>-0.15381200000000206</v>
      </c>
      <c r="I106" s="4">
        <f t="shared" si="3"/>
        <v>4.5813610000000011</v>
      </c>
      <c r="J106" s="3">
        <v>47.1</v>
      </c>
      <c r="K106" s="3">
        <v>17.5</v>
      </c>
      <c r="L106" s="13">
        <f>YEAR(Weekly_Prices[[#This Row],[Date]])</f>
        <v>2005</v>
      </c>
      <c r="M106" s="13">
        <f>MONTH(Weekly_Prices[[#This Row],[Date]])</f>
        <v>6</v>
      </c>
      <c r="N106" s="3" t="str">
        <f>TEXT(Weekly_Prices[[#This Row],[Date]],"MMMM")</f>
        <v>June</v>
      </c>
      <c r="O106" s="3" t="str">
        <f>YEAR(Weekly_Prices[[#This Row],[Date]])&amp;"-"&amp;TEXT(WEEKNUM(Weekly_Prices[[#This Row],[Date]],2),"00")</f>
        <v>2005-24</v>
      </c>
    </row>
    <row r="107" spans="1:15" x14ac:dyDescent="0.35">
      <c r="A107" s="2">
        <v>38516</v>
      </c>
      <c r="B107" s="3">
        <v>84.989146000000005</v>
      </c>
      <c r="C107" s="4">
        <f t="shared" si="4"/>
        <v>0.97619000000000256</v>
      </c>
      <c r="D107" s="4">
        <f t="shared" si="2"/>
        <v>3.447016000000005</v>
      </c>
      <c r="E107" s="3">
        <v>47.1</v>
      </c>
      <c r="F107" s="3">
        <v>17.5</v>
      </c>
      <c r="G107" s="3">
        <v>88.964725000000016</v>
      </c>
      <c r="H107" s="4">
        <f t="shared" si="5"/>
        <v>0.73165700000001266</v>
      </c>
      <c r="I107" s="4">
        <f t="shared" si="3"/>
        <v>6.3597680000000025</v>
      </c>
      <c r="J107" s="3">
        <v>47.1</v>
      </c>
      <c r="K107" s="3">
        <v>17.5</v>
      </c>
      <c r="L107" s="13">
        <f>YEAR(Weekly_Prices[[#This Row],[Date]])</f>
        <v>2005</v>
      </c>
      <c r="M107" s="13">
        <f>MONTH(Weekly_Prices[[#This Row],[Date]])</f>
        <v>6</v>
      </c>
      <c r="N107" s="3" t="str">
        <f>TEXT(Weekly_Prices[[#This Row],[Date]],"MMMM")</f>
        <v>June</v>
      </c>
      <c r="O107" s="3" t="str">
        <f>YEAR(Weekly_Prices[[#This Row],[Date]])&amp;"-"&amp;TEXT(WEEKNUM(Weekly_Prices[[#This Row],[Date]],2),"00")</f>
        <v>2005-25</v>
      </c>
    </row>
    <row r="108" spans="1:15" x14ac:dyDescent="0.35">
      <c r="A108" s="2">
        <v>38523</v>
      </c>
      <c r="B108" s="3">
        <v>85.524471000000005</v>
      </c>
      <c r="C108" s="4">
        <f t="shared" si="4"/>
        <v>0.53532500000000027</v>
      </c>
      <c r="D108" s="4">
        <f t="shared" si="2"/>
        <v>4.4819570000000084</v>
      </c>
      <c r="E108" s="3">
        <v>47.1</v>
      </c>
      <c r="F108" s="3">
        <v>17.5</v>
      </c>
      <c r="G108" s="3">
        <v>89.541020000000017</v>
      </c>
      <c r="H108" s="4">
        <f t="shared" si="5"/>
        <v>0.57629500000000178</v>
      </c>
      <c r="I108" s="4">
        <f t="shared" si="3"/>
        <v>7.4467570000000052</v>
      </c>
      <c r="J108" s="3">
        <v>47.1</v>
      </c>
      <c r="K108" s="3">
        <v>17.5</v>
      </c>
      <c r="L108" s="13">
        <f>YEAR(Weekly_Prices[[#This Row],[Date]])</f>
        <v>2005</v>
      </c>
      <c r="M108" s="13">
        <f>MONTH(Weekly_Prices[[#This Row],[Date]])</f>
        <v>6</v>
      </c>
      <c r="N108" s="3" t="str">
        <f>TEXT(Weekly_Prices[[#This Row],[Date]],"MMMM")</f>
        <v>June</v>
      </c>
      <c r="O108" s="3" t="str">
        <f>YEAR(Weekly_Prices[[#This Row],[Date]])&amp;"-"&amp;TEXT(WEEKNUM(Weekly_Prices[[#This Row],[Date]],2),"00")</f>
        <v>2005-26</v>
      </c>
    </row>
    <row r="109" spans="1:15" x14ac:dyDescent="0.35">
      <c r="A109" s="2">
        <v>38530</v>
      </c>
      <c r="B109" s="3">
        <v>86.730518999999987</v>
      </c>
      <c r="C109" s="4">
        <f t="shared" si="4"/>
        <v>1.2060479999999814</v>
      </c>
      <c r="D109" s="4">
        <f t="shared" si="2"/>
        <v>6.322023999999999</v>
      </c>
      <c r="E109" s="3">
        <v>47.1</v>
      </c>
      <c r="F109" s="3">
        <v>17.5</v>
      </c>
      <c r="G109" s="3">
        <v>90.273144000000002</v>
      </c>
      <c r="H109" s="4">
        <f t="shared" si="5"/>
        <v>0.73212399999998468</v>
      </c>
      <c r="I109" s="4">
        <f t="shared" si="3"/>
        <v>9.2283269999999931</v>
      </c>
      <c r="J109" s="3">
        <v>47.1</v>
      </c>
      <c r="K109" s="3">
        <v>17.5</v>
      </c>
      <c r="L109" s="13">
        <f>YEAR(Weekly_Prices[[#This Row],[Date]])</f>
        <v>2005</v>
      </c>
      <c r="M109" s="13">
        <f>MONTH(Weekly_Prices[[#This Row],[Date]])</f>
        <v>6</v>
      </c>
      <c r="N109" s="3" t="str">
        <f>TEXT(Weekly_Prices[[#This Row],[Date]],"MMMM")</f>
        <v>June</v>
      </c>
      <c r="O109" s="3" t="str">
        <f>YEAR(Weekly_Prices[[#This Row],[Date]])&amp;"-"&amp;TEXT(WEEKNUM(Weekly_Prices[[#This Row],[Date]],2),"00")</f>
        <v>2005-27</v>
      </c>
    </row>
    <row r="110" spans="1:15" x14ac:dyDescent="0.35">
      <c r="A110" s="2">
        <v>38537</v>
      </c>
      <c r="B110" s="3">
        <v>87.485988000000006</v>
      </c>
      <c r="C110" s="4">
        <f t="shared" si="4"/>
        <v>0.75546900000001926</v>
      </c>
      <c r="D110" s="4">
        <f t="shared" si="2"/>
        <v>7.6122790000000151</v>
      </c>
      <c r="E110" s="3">
        <v>47.1</v>
      </c>
      <c r="F110" s="3">
        <v>17.5</v>
      </c>
      <c r="G110" s="3">
        <v>90.999684999999999</v>
      </c>
      <c r="H110" s="4">
        <f t="shared" si="5"/>
        <v>0.72654099999999744</v>
      </c>
      <c r="I110" s="4">
        <f t="shared" si="3"/>
        <v>10.488217000000006</v>
      </c>
      <c r="J110" s="3">
        <v>47.1</v>
      </c>
      <c r="K110" s="3">
        <v>17.5</v>
      </c>
      <c r="L110" s="13">
        <f>YEAR(Weekly_Prices[[#This Row],[Date]])</f>
        <v>2005</v>
      </c>
      <c r="M110" s="13">
        <f>MONTH(Weekly_Prices[[#This Row],[Date]])</f>
        <v>7</v>
      </c>
      <c r="N110" s="3" t="str">
        <f>TEXT(Weekly_Prices[[#This Row],[Date]],"MMMM")</f>
        <v>July</v>
      </c>
      <c r="O110" s="3" t="str">
        <f>YEAR(Weekly_Prices[[#This Row],[Date]])&amp;"-"&amp;TEXT(WEEKNUM(Weekly_Prices[[#This Row],[Date]],2),"00")</f>
        <v>2005-28</v>
      </c>
    </row>
    <row r="111" spans="1:15" x14ac:dyDescent="0.35">
      <c r="A111" s="2">
        <v>38544</v>
      </c>
      <c r="B111" s="3">
        <v>87.732742999999999</v>
      </c>
      <c r="C111" s="4">
        <f t="shared" si="4"/>
        <v>0.24675499999999317</v>
      </c>
      <c r="D111" s="4">
        <f t="shared" si="2"/>
        <v>7.3964440000000025</v>
      </c>
      <c r="E111" s="3">
        <v>47.1</v>
      </c>
      <c r="F111" s="3">
        <v>17.5</v>
      </c>
      <c r="G111" s="3">
        <v>91.888536999999999</v>
      </c>
      <c r="H111" s="4">
        <f t="shared" si="5"/>
        <v>0.88885199999999998</v>
      </c>
      <c r="I111" s="4">
        <f t="shared" si="3"/>
        <v>10.833684999999988</v>
      </c>
      <c r="J111" s="3">
        <v>47.1</v>
      </c>
      <c r="K111" s="3">
        <v>17.5</v>
      </c>
      <c r="L111" s="13">
        <f>YEAR(Weekly_Prices[[#This Row],[Date]])</f>
        <v>2005</v>
      </c>
      <c r="M111" s="13">
        <f>MONTH(Weekly_Prices[[#This Row],[Date]])</f>
        <v>7</v>
      </c>
      <c r="N111" s="3" t="str">
        <f>TEXT(Weekly_Prices[[#This Row],[Date]],"MMMM")</f>
        <v>July</v>
      </c>
      <c r="O111" s="3" t="str">
        <f>YEAR(Weekly_Prices[[#This Row],[Date]])&amp;"-"&amp;TEXT(WEEKNUM(Weekly_Prices[[#This Row],[Date]],2),"00")</f>
        <v>2005-29</v>
      </c>
    </row>
    <row r="112" spans="1:15" x14ac:dyDescent="0.35">
      <c r="A112" s="2">
        <v>38551</v>
      </c>
      <c r="B112" s="3">
        <v>88.549941999999987</v>
      </c>
      <c r="C112" s="4">
        <f t="shared" si="4"/>
        <v>0.81719899999998802</v>
      </c>
      <c r="D112" s="4">
        <f t="shared" si="2"/>
        <v>7.7133989999999955</v>
      </c>
      <c r="E112" s="3">
        <v>47.1</v>
      </c>
      <c r="F112" s="3">
        <v>17.5</v>
      </c>
      <c r="G112" s="3">
        <v>92.670518000000001</v>
      </c>
      <c r="H112" s="4">
        <f t="shared" si="5"/>
        <v>0.78198100000000181</v>
      </c>
      <c r="I112" s="4">
        <f t="shared" si="3"/>
        <v>10.993268999999984</v>
      </c>
      <c r="J112" s="3">
        <v>47.1</v>
      </c>
      <c r="K112" s="3">
        <v>17.5</v>
      </c>
      <c r="L112" s="13">
        <f>YEAR(Weekly_Prices[[#This Row],[Date]])</f>
        <v>2005</v>
      </c>
      <c r="M112" s="13">
        <f>MONTH(Weekly_Prices[[#This Row],[Date]])</f>
        <v>7</v>
      </c>
      <c r="N112" s="3" t="str">
        <f>TEXT(Weekly_Prices[[#This Row],[Date]],"MMMM")</f>
        <v>July</v>
      </c>
      <c r="O112" s="3" t="str">
        <f>YEAR(Weekly_Prices[[#This Row],[Date]])&amp;"-"&amp;TEXT(WEEKNUM(Weekly_Prices[[#This Row],[Date]],2),"00")</f>
        <v>2005-30</v>
      </c>
    </row>
    <row r="113" spans="1:15" x14ac:dyDescent="0.35">
      <c r="A113" s="2">
        <v>38558</v>
      </c>
      <c r="B113" s="3">
        <v>88.999424999999988</v>
      </c>
      <c r="C113" s="4">
        <f t="shared" si="4"/>
        <v>0.44948300000000074</v>
      </c>
      <c r="D113" s="4">
        <f t="shared" si="2"/>
        <v>8.1313949999999835</v>
      </c>
      <c r="E113" s="3">
        <v>47.1</v>
      </c>
      <c r="F113" s="3">
        <v>17.5</v>
      </c>
      <c r="G113" s="3">
        <v>93.032986999999991</v>
      </c>
      <c r="H113" s="4">
        <f t="shared" si="5"/>
        <v>0.36246899999999016</v>
      </c>
      <c r="I113" s="4">
        <f t="shared" si="3"/>
        <v>11.335127999999983</v>
      </c>
      <c r="J113" s="3">
        <v>47.1</v>
      </c>
      <c r="K113" s="3">
        <v>17.5</v>
      </c>
      <c r="L113" s="13">
        <f>YEAR(Weekly_Prices[[#This Row],[Date]])</f>
        <v>2005</v>
      </c>
      <c r="M113" s="13">
        <f>MONTH(Weekly_Prices[[#This Row],[Date]])</f>
        <v>7</v>
      </c>
      <c r="N113" s="3" t="str">
        <f>TEXT(Weekly_Prices[[#This Row],[Date]],"MMMM")</f>
        <v>July</v>
      </c>
      <c r="O113" s="3" t="str">
        <f>YEAR(Weekly_Prices[[#This Row],[Date]])&amp;"-"&amp;TEXT(WEEKNUM(Weekly_Prices[[#This Row],[Date]],2),"00")</f>
        <v>2005-31</v>
      </c>
    </row>
    <row r="114" spans="1:15" x14ac:dyDescent="0.35">
      <c r="A114" s="2">
        <v>38565</v>
      </c>
      <c r="B114" s="3">
        <v>89.245449999999991</v>
      </c>
      <c r="C114" s="4">
        <f t="shared" si="4"/>
        <v>0.24602500000000305</v>
      </c>
      <c r="D114" s="4">
        <f t="shared" si="2"/>
        <v>8.389741999999984</v>
      </c>
      <c r="E114" s="3">
        <v>47.1</v>
      </c>
      <c r="F114" s="3">
        <v>17.5</v>
      </c>
      <c r="G114" s="3">
        <v>93.262693000000013</v>
      </c>
      <c r="H114" s="4">
        <f t="shared" si="5"/>
        <v>0.2297060000000215</v>
      </c>
      <c r="I114" s="4">
        <f t="shared" si="3"/>
        <v>11.469426999999996</v>
      </c>
      <c r="J114" s="3">
        <v>47.1</v>
      </c>
      <c r="K114" s="3">
        <v>17.5</v>
      </c>
      <c r="L114" s="13">
        <f>YEAR(Weekly_Prices[[#This Row],[Date]])</f>
        <v>2005</v>
      </c>
      <c r="M114" s="13">
        <f>MONTH(Weekly_Prices[[#This Row],[Date]])</f>
        <v>8</v>
      </c>
      <c r="N114" s="3" t="str">
        <f>TEXT(Weekly_Prices[[#This Row],[Date]],"MMMM")</f>
        <v>August</v>
      </c>
      <c r="O114" s="3" t="str">
        <f>YEAR(Weekly_Prices[[#This Row],[Date]])&amp;"-"&amp;TEXT(WEEKNUM(Weekly_Prices[[#This Row],[Date]],2),"00")</f>
        <v>2005-32</v>
      </c>
    </row>
    <row r="115" spans="1:15" x14ac:dyDescent="0.35">
      <c r="A115" s="2">
        <v>38572</v>
      </c>
      <c r="B115" s="3">
        <v>89.667239000000009</v>
      </c>
      <c r="C115" s="4">
        <f t="shared" si="4"/>
        <v>0.42178900000001818</v>
      </c>
      <c r="D115" s="4">
        <f t="shared" si="2"/>
        <v>8.4841970000000089</v>
      </c>
      <c r="E115" s="3">
        <v>47.1</v>
      </c>
      <c r="F115" s="3">
        <v>17.5</v>
      </c>
      <c r="G115" s="3">
        <v>93.627549000000016</v>
      </c>
      <c r="H115" s="4">
        <f t="shared" si="5"/>
        <v>0.36485600000000318</v>
      </c>
      <c r="I115" s="4">
        <f t="shared" si="3"/>
        <v>11.48321399999999</v>
      </c>
      <c r="J115" s="3">
        <v>47.1</v>
      </c>
      <c r="K115" s="3">
        <v>17.5</v>
      </c>
      <c r="L115" s="13">
        <f>YEAR(Weekly_Prices[[#This Row],[Date]])</f>
        <v>2005</v>
      </c>
      <c r="M115" s="13">
        <f>MONTH(Weekly_Prices[[#This Row],[Date]])</f>
        <v>8</v>
      </c>
      <c r="N115" s="3" t="str">
        <f>TEXT(Weekly_Prices[[#This Row],[Date]],"MMMM")</f>
        <v>August</v>
      </c>
      <c r="O115" s="3" t="str">
        <f>YEAR(Weekly_Prices[[#This Row],[Date]])&amp;"-"&amp;TEXT(WEEKNUM(Weekly_Prices[[#This Row],[Date]],2),"00")</f>
        <v>2005-33</v>
      </c>
    </row>
    <row r="116" spans="1:15" x14ac:dyDescent="0.35">
      <c r="A116" s="2">
        <v>38579</v>
      </c>
      <c r="B116" s="3">
        <v>90.557814000000008</v>
      </c>
      <c r="C116" s="4">
        <f t="shared" si="4"/>
        <v>0.89057499999999834</v>
      </c>
      <c r="D116" s="4">
        <f t="shared" si="2"/>
        <v>9.3064640000000054</v>
      </c>
      <c r="E116" s="3">
        <v>47.1</v>
      </c>
      <c r="F116" s="3">
        <v>17.5</v>
      </c>
      <c r="G116" s="3">
        <v>94.497185000000002</v>
      </c>
      <c r="H116" s="4">
        <f t="shared" si="5"/>
        <v>0.86963599999998564</v>
      </c>
      <c r="I116" s="4">
        <f t="shared" si="3"/>
        <v>12.169910999999999</v>
      </c>
      <c r="J116" s="3">
        <v>47.1</v>
      </c>
      <c r="K116" s="3">
        <v>17.5</v>
      </c>
      <c r="L116" s="13">
        <f>YEAR(Weekly_Prices[[#This Row],[Date]])</f>
        <v>2005</v>
      </c>
      <c r="M116" s="13">
        <f>MONTH(Weekly_Prices[[#This Row],[Date]])</f>
        <v>8</v>
      </c>
      <c r="N116" s="3" t="str">
        <f>TEXT(Weekly_Prices[[#This Row],[Date]],"MMMM")</f>
        <v>August</v>
      </c>
      <c r="O116" s="3" t="str">
        <f>YEAR(Weekly_Prices[[#This Row],[Date]])&amp;"-"&amp;TEXT(WEEKNUM(Weekly_Prices[[#This Row],[Date]],2),"00")</f>
        <v>2005-34</v>
      </c>
    </row>
    <row r="117" spans="1:15" x14ac:dyDescent="0.35">
      <c r="A117" s="2">
        <v>38586</v>
      </c>
      <c r="B117" s="3">
        <v>90.773095999999995</v>
      </c>
      <c r="C117" s="4">
        <f t="shared" si="4"/>
        <v>0.21528199999998776</v>
      </c>
      <c r="D117" s="4">
        <f t="shared" si="2"/>
        <v>9.2652299999999883</v>
      </c>
      <c r="E117" s="3">
        <v>47.1</v>
      </c>
      <c r="F117" s="3">
        <v>17.5</v>
      </c>
      <c r="G117" s="3">
        <v>94.676641999999987</v>
      </c>
      <c r="H117" s="4">
        <f t="shared" si="5"/>
        <v>0.1794569999999851</v>
      </c>
      <c r="I117" s="4">
        <f t="shared" si="3"/>
        <v>11.857204999999979</v>
      </c>
      <c r="J117" s="3">
        <v>47.1</v>
      </c>
      <c r="K117" s="3">
        <v>17.5</v>
      </c>
      <c r="L117" s="13">
        <f>YEAR(Weekly_Prices[[#This Row],[Date]])</f>
        <v>2005</v>
      </c>
      <c r="M117" s="13">
        <f>MONTH(Weekly_Prices[[#This Row],[Date]])</f>
        <v>8</v>
      </c>
      <c r="N117" s="3" t="str">
        <f>TEXT(Weekly_Prices[[#This Row],[Date]],"MMMM")</f>
        <v>August</v>
      </c>
      <c r="O117" s="3" t="str">
        <f>YEAR(Weekly_Prices[[#This Row],[Date]])&amp;"-"&amp;TEXT(WEEKNUM(Weekly_Prices[[#This Row],[Date]],2),"00")</f>
        <v>2005-35</v>
      </c>
    </row>
    <row r="118" spans="1:15" x14ac:dyDescent="0.35">
      <c r="A118" s="2">
        <v>38593</v>
      </c>
      <c r="B118" s="3">
        <v>91.415612999999993</v>
      </c>
      <c r="C118" s="4">
        <f t="shared" si="4"/>
        <v>0.64251699999999801</v>
      </c>
      <c r="D118" s="4">
        <f t="shared" si="2"/>
        <v>9.8875929999999954</v>
      </c>
      <c r="E118" s="3">
        <v>47.1</v>
      </c>
      <c r="F118" s="3">
        <v>17.5</v>
      </c>
      <c r="G118" s="3">
        <v>95.326917000000009</v>
      </c>
      <c r="H118" s="4">
        <f t="shared" si="5"/>
        <v>0.65027500000002192</v>
      </c>
      <c r="I118" s="4">
        <f t="shared" si="3"/>
        <v>12.439236000000008</v>
      </c>
      <c r="J118" s="3">
        <v>47.1</v>
      </c>
      <c r="K118" s="3">
        <v>17.5</v>
      </c>
      <c r="L118" s="13">
        <f>YEAR(Weekly_Prices[[#This Row],[Date]])</f>
        <v>2005</v>
      </c>
      <c r="M118" s="13">
        <f>MONTH(Weekly_Prices[[#This Row],[Date]])</f>
        <v>8</v>
      </c>
      <c r="N118" s="3" t="str">
        <f>TEXT(Weekly_Prices[[#This Row],[Date]],"MMMM")</f>
        <v>August</v>
      </c>
      <c r="O118" s="3" t="str">
        <f>YEAR(Weekly_Prices[[#This Row],[Date]])&amp;"-"&amp;TEXT(WEEKNUM(Weekly_Prices[[#This Row],[Date]],2),"00")</f>
        <v>2005-36</v>
      </c>
    </row>
    <row r="119" spans="1:15" x14ac:dyDescent="0.35">
      <c r="A119" s="2">
        <v>38600</v>
      </c>
      <c r="B119" s="3">
        <v>94.374197000000009</v>
      </c>
      <c r="C119" s="4">
        <f t="shared" si="4"/>
        <v>2.9585840000000161</v>
      </c>
      <c r="D119" s="4">
        <f t="shared" ref="D119:D182" si="6">B119-B67</f>
        <v>13.004782000000006</v>
      </c>
      <c r="E119" s="3">
        <v>47.1</v>
      </c>
      <c r="F119" s="3">
        <v>17.5</v>
      </c>
      <c r="G119" s="3">
        <v>97.187450000000013</v>
      </c>
      <c r="H119" s="4">
        <f t="shared" si="5"/>
        <v>1.8605330000000038</v>
      </c>
      <c r="I119" s="4">
        <f t="shared" ref="I119:I182" si="7">G119-G67</f>
        <v>14.266650000000013</v>
      </c>
      <c r="J119" s="3">
        <v>47.1</v>
      </c>
      <c r="K119" s="3">
        <v>17.5</v>
      </c>
      <c r="L119" s="13">
        <f>YEAR(Weekly_Prices[[#This Row],[Date]])</f>
        <v>2005</v>
      </c>
      <c r="M119" s="13">
        <f>MONTH(Weekly_Prices[[#This Row],[Date]])</f>
        <v>9</v>
      </c>
      <c r="N119" s="3" t="str">
        <f>TEXT(Weekly_Prices[[#This Row],[Date]],"MMMM")</f>
        <v>September</v>
      </c>
      <c r="O119" s="3" t="str">
        <f>YEAR(Weekly_Prices[[#This Row],[Date]])&amp;"-"&amp;TEXT(WEEKNUM(Weekly_Prices[[#This Row],[Date]],2),"00")</f>
        <v>2005-37</v>
      </c>
    </row>
    <row r="120" spans="1:15" x14ac:dyDescent="0.35">
      <c r="A120" s="2">
        <v>38607</v>
      </c>
      <c r="B120" s="3">
        <v>95.073554999999999</v>
      </c>
      <c r="C120" s="4">
        <f t="shared" si="4"/>
        <v>0.69935799999998949</v>
      </c>
      <c r="D120" s="4">
        <f t="shared" si="6"/>
        <v>13.762371999999999</v>
      </c>
      <c r="E120" s="3">
        <v>47.1</v>
      </c>
      <c r="F120" s="3">
        <v>17.5</v>
      </c>
      <c r="G120" s="3">
        <v>97.886866000000012</v>
      </c>
      <c r="H120" s="4">
        <f t="shared" si="5"/>
        <v>0.69941599999999937</v>
      </c>
      <c r="I120" s="4">
        <f t="shared" si="7"/>
        <v>14.980079000000018</v>
      </c>
      <c r="J120" s="3">
        <v>47.1</v>
      </c>
      <c r="K120" s="3">
        <v>17.5</v>
      </c>
      <c r="L120" s="13">
        <f>YEAR(Weekly_Prices[[#This Row],[Date]])</f>
        <v>2005</v>
      </c>
      <c r="M120" s="13">
        <f>MONTH(Weekly_Prices[[#This Row],[Date]])</f>
        <v>9</v>
      </c>
      <c r="N120" s="3" t="str">
        <f>TEXT(Weekly_Prices[[#This Row],[Date]],"MMMM")</f>
        <v>September</v>
      </c>
      <c r="O120" s="3" t="str">
        <f>YEAR(Weekly_Prices[[#This Row],[Date]])&amp;"-"&amp;TEXT(WEEKNUM(Weekly_Prices[[#This Row],[Date]],2),"00")</f>
        <v>2005-38</v>
      </c>
    </row>
    <row r="121" spans="1:15" x14ac:dyDescent="0.35">
      <c r="A121" s="2">
        <v>38614</v>
      </c>
      <c r="B121" s="3">
        <v>94.414203000000001</v>
      </c>
      <c r="C121" s="4">
        <f t="shared" si="4"/>
        <v>-0.65935199999999838</v>
      </c>
      <c r="D121" s="4">
        <f t="shared" si="6"/>
        <v>13.135487999999995</v>
      </c>
      <c r="E121" s="3">
        <v>47.1</v>
      </c>
      <c r="F121" s="3">
        <v>17.5</v>
      </c>
      <c r="G121" s="3">
        <v>97.318894999999998</v>
      </c>
      <c r="H121" s="4">
        <f t="shared" si="5"/>
        <v>-0.56797100000001421</v>
      </c>
      <c r="I121" s="4">
        <f t="shared" si="7"/>
        <v>14.287199999999984</v>
      </c>
      <c r="J121" s="3">
        <v>47.1</v>
      </c>
      <c r="K121" s="3">
        <v>17.5</v>
      </c>
      <c r="L121" s="13">
        <f>YEAR(Weekly_Prices[[#This Row],[Date]])</f>
        <v>2005</v>
      </c>
      <c r="M121" s="13">
        <f>MONTH(Weekly_Prices[[#This Row],[Date]])</f>
        <v>9</v>
      </c>
      <c r="N121" s="3" t="str">
        <f>TEXT(Weekly_Prices[[#This Row],[Date]],"MMMM")</f>
        <v>September</v>
      </c>
      <c r="O121" s="3" t="str">
        <f>YEAR(Weekly_Prices[[#This Row],[Date]])&amp;"-"&amp;TEXT(WEEKNUM(Weekly_Prices[[#This Row],[Date]],2),"00")</f>
        <v>2005-39</v>
      </c>
    </row>
    <row r="122" spans="1:15" x14ac:dyDescent="0.35">
      <c r="A122" s="2">
        <v>38621</v>
      </c>
      <c r="B122" s="3">
        <v>93.332003999999984</v>
      </c>
      <c r="C122" s="4">
        <f t="shared" si="4"/>
        <v>-1.082199000000017</v>
      </c>
      <c r="D122" s="4">
        <f t="shared" si="6"/>
        <v>11.706610999999981</v>
      </c>
      <c r="E122" s="3">
        <v>47.1</v>
      </c>
      <c r="F122" s="3">
        <v>17.5</v>
      </c>
      <c r="G122" s="3">
        <v>96.269036</v>
      </c>
      <c r="H122" s="4">
        <f t="shared" si="5"/>
        <v>-1.0498589999999979</v>
      </c>
      <c r="I122" s="4">
        <f t="shared" si="7"/>
        <v>12.807507999999999</v>
      </c>
      <c r="J122" s="3">
        <v>47.1</v>
      </c>
      <c r="K122" s="3">
        <v>17.5</v>
      </c>
      <c r="L122" s="13">
        <f>YEAR(Weekly_Prices[[#This Row],[Date]])</f>
        <v>2005</v>
      </c>
      <c r="M122" s="13">
        <f>MONTH(Weekly_Prices[[#This Row],[Date]])</f>
        <v>9</v>
      </c>
      <c r="N122" s="3" t="str">
        <f>TEXT(Weekly_Prices[[#This Row],[Date]],"MMMM")</f>
        <v>September</v>
      </c>
      <c r="O122" s="3" t="str">
        <f>YEAR(Weekly_Prices[[#This Row],[Date]])&amp;"-"&amp;TEXT(WEEKNUM(Weekly_Prices[[#This Row],[Date]],2),"00")</f>
        <v>2005-40</v>
      </c>
    </row>
    <row r="123" spans="1:15" x14ac:dyDescent="0.35">
      <c r="A123" s="2">
        <v>38628</v>
      </c>
      <c r="B123" s="3">
        <v>93.512814000000006</v>
      </c>
      <c r="C123" s="4">
        <f t="shared" si="4"/>
        <v>0.18081000000002234</v>
      </c>
      <c r="D123" s="4">
        <f t="shared" si="6"/>
        <v>11.463728000000003</v>
      </c>
      <c r="E123" s="3">
        <v>47.1</v>
      </c>
      <c r="F123" s="3">
        <v>17.5</v>
      </c>
      <c r="G123" s="3">
        <v>96.613071000000005</v>
      </c>
      <c r="H123" s="4">
        <f t="shared" si="5"/>
        <v>0.3440350000000052</v>
      </c>
      <c r="I123" s="4">
        <f t="shared" si="7"/>
        <v>12.772307999999995</v>
      </c>
      <c r="J123" s="3">
        <v>47.1</v>
      </c>
      <c r="K123" s="3">
        <v>17.5</v>
      </c>
      <c r="L123" s="13">
        <f>YEAR(Weekly_Prices[[#This Row],[Date]])</f>
        <v>2005</v>
      </c>
      <c r="M123" s="13">
        <f>MONTH(Weekly_Prices[[#This Row],[Date]])</f>
        <v>10</v>
      </c>
      <c r="N123" s="3" t="str">
        <f>TEXT(Weekly_Prices[[#This Row],[Date]],"MMMM")</f>
        <v>October</v>
      </c>
      <c r="O123" s="3" t="str">
        <f>YEAR(Weekly_Prices[[#This Row],[Date]])&amp;"-"&amp;TEXT(WEEKNUM(Weekly_Prices[[#This Row],[Date]],2),"00")</f>
        <v>2005-41</v>
      </c>
    </row>
    <row r="124" spans="1:15" x14ac:dyDescent="0.35">
      <c r="A124" s="2">
        <v>38635</v>
      </c>
      <c r="B124" s="3">
        <v>94.247914999999992</v>
      </c>
      <c r="C124" s="4">
        <f t="shared" si="4"/>
        <v>0.73510099999998602</v>
      </c>
      <c r="D124" s="4">
        <f t="shared" si="6"/>
        <v>11.137205999999978</v>
      </c>
      <c r="E124" s="3">
        <v>47.1</v>
      </c>
      <c r="F124" s="3">
        <v>17.5</v>
      </c>
      <c r="G124" s="3">
        <v>97.048919999999995</v>
      </c>
      <c r="H124" s="4">
        <f t="shared" si="5"/>
        <v>0.43584899999999038</v>
      </c>
      <c r="I124" s="4">
        <f t="shared" si="7"/>
        <v>12.035989999999998</v>
      </c>
      <c r="J124" s="3">
        <v>47.1</v>
      </c>
      <c r="K124" s="3">
        <v>17.5</v>
      </c>
      <c r="L124" s="13">
        <f>YEAR(Weekly_Prices[[#This Row],[Date]])</f>
        <v>2005</v>
      </c>
      <c r="M124" s="13">
        <f>MONTH(Weekly_Prices[[#This Row],[Date]])</f>
        <v>10</v>
      </c>
      <c r="N124" s="3" t="str">
        <f>TEXT(Weekly_Prices[[#This Row],[Date]],"MMMM")</f>
        <v>October</v>
      </c>
      <c r="O124" s="3" t="str">
        <f>YEAR(Weekly_Prices[[#This Row],[Date]])&amp;"-"&amp;TEXT(WEEKNUM(Weekly_Prices[[#This Row],[Date]],2),"00")</f>
        <v>2005-42</v>
      </c>
    </row>
    <row r="125" spans="1:15" x14ac:dyDescent="0.35">
      <c r="A125" s="2">
        <v>38642</v>
      </c>
      <c r="B125" s="3">
        <v>94.142240000000015</v>
      </c>
      <c r="C125" s="4">
        <f t="shared" si="4"/>
        <v>-0.10567499999997665</v>
      </c>
      <c r="D125" s="4">
        <f t="shared" si="6"/>
        <v>10.792285000000021</v>
      </c>
      <c r="E125" s="3">
        <v>47.1</v>
      </c>
      <c r="F125" s="3">
        <v>17.5</v>
      </c>
      <c r="G125" s="3">
        <v>96.999956000000012</v>
      </c>
      <c r="H125" s="4">
        <f t="shared" si="5"/>
        <v>-4.8963999999983798E-2</v>
      </c>
      <c r="I125" s="4">
        <f t="shared" si="7"/>
        <v>11.662540000000021</v>
      </c>
      <c r="J125" s="3">
        <v>47.1</v>
      </c>
      <c r="K125" s="3">
        <v>17.5</v>
      </c>
      <c r="L125" s="13">
        <f>YEAR(Weekly_Prices[[#This Row],[Date]])</f>
        <v>2005</v>
      </c>
      <c r="M125" s="13">
        <f>MONTH(Weekly_Prices[[#This Row],[Date]])</f>
        <v>10</v>
      </c>
      <c r="N125" s="3" t="str">
        <f>TEXT(Weekly_Prices[[#This Row],[Date]],"MMMM")</f>
        <v>October</v>
      </c>
      <c r="O125" s="3" t="str">
        <f>YEAR(Weekly_Prices[[#This Row],[Date]])&amp;"-"&amp;TEXT(WEEKNUM(Weekly_Prices[[#This Row],[Date]],2),"00")</f>
        <v>2005-43</v>
      </c>
    </row>
    <row r="126" spans="1:15" x14ac:dyDescent="0.35">
      <c r="A126" s="2">
        <v>38649</v>
      </c>
      <c r="B126" s="3">
        <v>93.471981999999997</v>
      </c>
      <c r="C126" s="4">
        <f t="shared" si="4"/>
        <v>-0.67025800000001823</v>
      </c>
      <c r="D126" s="4">
        <f t="shared" si="6"/>
        <v>9.5360739999999993</v>
      </c>
      <c r="E126" s="3">
        <v>47.1</v>
      </c>
      <c r="F126" s="3">
        <v>17.5</v>
      </c>
      <c r="G126" s="3">
        <v>96.796566000000013</v>
      </c>
      <c r="H126" s="4">
        <f t="shared" si="5"/>
        <v>-0.20338999999999885</v>
      </c>
      <c r="I126" s="4">
        <f t="shared" si="7"/>
        <v>10.76217800000002</v>
      </c>
      <c r="J126" s="3">
        <v>47.1</v>
      </c>
      <c r="K126" s="3">
        <v>17.5</v>
      </c>
      <c r="L126" s="13">
        <f>YEAR(Weekly_Prices[[#This Row],[Date]])</f>
        <v>2005</v>
      </c>
      <c r="M126" s="13">
        <f>MONTH(Weekly_Prices[[#This Row],[Date]])</f>
        <v>10</v>
      </c>
      <c r="N126" s="3" t="str">
        <f>TEXT(Weekly_Prices[[#This Row],[Date]],"MMMM")</f>
        <v>October</v>
      </c>
      <c r="O126" s="3" t="str">
        <f>YEAR(Weekly_Prices[[#This Row],[Date]])&amp;"-"&amp;TEXT(WEEKNUM(Weekly_Prices[[#This Row],[Date]],2),"00")</f>
        <v>2005-44</v>
      </c>
    </row>
    <row r="127" spans="1:15" x14ac:dyDescent="0.35">
      <c r="A127" s="2">
        <v>38656</v>
      </c>
      <c r="B127" s="3">
        <v>92.788460999999998</v>
      </c>
      <c r="C127" s="4">
        <f t="shared" si="4"/>
        <v>-0.68352099999999893</v>
      </c>
      <c r="D127" s="4">
        <f t="shared" si="6"/>
        <v>8.5188409999999948</v>
      </c>
      <c r="E127" s="3">
        <v>47.1</v>
      </c>
      <c r="F127" s="3">
        <v>17.5</v>
      </c>
      <c r="G127" s="3">
        <v>96.573724999999996</v>
      </c>
      <c r="H127" s="4">
        <f t="shared" si="5"/>
        <v>-0.22284100000001672</v>
      </c>
      <c r="I127" s="4">
        <f t="shared" si="7"/>
        <v>10.152197999999984</v>
      </c>
      <c r="J127" s="3">
        <v>47.1</v>
      </c>
      <c r="K127" s="3">
        <v>17.5</v>
      </c>
      <c r="L127" s="13">
        <f>YEAR(Weekly_Prices[[#This Row],[Date]])</f>
        <v>2005</v>
      </c>
      <c r="M127" s="13">
        <f>MONTH(Weekly_Prices[[#This Row],[Date]])</f>
        <v>10</v>
      </c>
      <c r="N127" s="3" t="str">
        <f>TEXT(Weekly_Prices[[#This Row],[Date]],"MMMM")</f>
        <v>October</v>
      </c>
      <c r="O127" s="3" t="str">
        <f>YEAR(Weekly_Prices[[#This Row],[Date]])&amp;"-"&amp;TEXT(WEEKNUM(Weekly_Prices[[#This Row],[Date]],2),"00")</f>
        <v>2005-45</v>
      </c>
    </row>
    <row r="128" spans="1:15" x14ac:dyDescent="0.35">
      <c r="A128" s="2">
        <v>38663</v>
      </c>
      <c r="B128" s="3">
        <v>92.465075999999982</v>
      </c>
      <c r="C128" s="4">
        <f t="shared" si="4"/>
        <v>-0.32338500000001602</v>
      </c>
      <c r="D128" s="4">
        <f t="shared" si="6"/>
        <v>8.1215759999999761</v>
      </c>
      <c r="E128" s="3">
        <v>47.1</v>
      </c>
      <c r="F128" s="3">
        <v>17.5</v>
      </c>
      <c r="G128" s="3">
        <v>96.592336000000003</v>
      </c>
      <c r="H128" s="4">
        <f t="shared" si="5"/>
        <v>1.8611000000007039E-2</v>
      </c>
      <c r="I128" s="4">
        <f t="shared" si="7"/>
        <v>10.047904999999986</v>
      </c>
      <c r="J128" s="3">
        <v>47.1</v>
      </c>
      <c r="K128" s="3">
        <v>17.5</v>
      </c>
      <c r="L128" s="13">
        <f>YEAR(Weekly_Prices[[#This Row],[Date]])</f>
        <v>2005</v>
      </c>
      <c r="M128" s="13">
        <f>MONTH(Weekly_Prices[[#This Row],[Date]])</f>
        <v>11</v>
      </c>
      <c r="N128" s="3" t="str">
        <f>TEXT(Weekly_Prices[[#This Row],[Date]],"MMMM")</f>
        <v>November</v>
      </c>
      <c r="O128" s="3" t="str">
        <f>YEAR(Weekly_Prices[[#This Row],[Date]])&amp;"-"&amp;TEXT(WEEKNUM(Weekly_Prices[[#This Row],[Date]],2),"00")</f>
        <v>2005-46</v>
      </c>
    </row>
    <row r="129" spans="1:15" x14ac:dyDescent="0.35">
      <c r="A129" s="2">
        <v>38670</v>
      </c>
      <c r="B129" s="3">
        <v>90.532036000000005</v>
      </c>
      <c r="C129" s="4">
        <f t="shared" si="4"/>
        <v>-1.933039999999977</v>
      </c>
      <c r="D129" s="4">
        <f t="shared" si="6"/>
        <v>6.2678429999999992</v>
      </c>
      <c r="E129" s="3">
        <v>47.1</v>
      </c>
      <c r="F129" s="3">
        <v>17.5</v>
      </c>
      <c r="G129" s="3">
        <v>94.918820999999994</v>
      </c>
      <c r="H129" s="4">
        <f t="shared" si="5"/>
        <v>-1.673515000000009</v>
      </c>
      <c r="I129" s="4">
        <f t="shared" si="7"/>
        <v>8.4979719999999901</v>
      </c>
      <c r="J129" s="3">
        <v>47.1</v>
      </c>
      <c r="K129" s="3">
        <v>17.5</v>
      </c>
      <c r="L129" s="13">
        <f>YEAR(Weekly_Prices[[#This Row],[Date]])</f>
        <v>2005</v>
      </c>
      <c r="M129" s="13">
        <f>MONTH(Weekly_Prices[[#This Row],[Date]])</f>
        <v>11</v>
      </c>
      <c r="N129" s="3" t="str">
        <f>TEXT(Weekly_Prices[[#This Row],[Date]],"MMMM")</f>
        <v>November</v>
      </c>
      <c r="O129" s="3" t="str">
        <f>YEAR(Weekly_Prices[[#This Row],[Date]])&amp;"-"&amp;TEXT(WEEKNUM(Weekly_Prices[[#This Row],[Date]],2),"00")</f>
        <v>2005-47</v>
      </c>
    </row>
    <row r="130" spans="1:15" x14ac:dyDescent="0.35">
      <c r="A130" s="2">
        <v>38677</v>
      </c>
      <c r="B130" s="3">
        <v>88.608238</v>
      </c>
      <c r="C130" s="4">
        <f t="shared" si="4"/>
        <v>-1.923798000000005</v>
      </c>
      <c r="D130" s="4">
        <f t="shared" si="6"/>
        <v>7.1435930000000099</v>
      </c>
      <c r="E130" s="3">
        <v>47.1</v>
      </c>
      <c r="F130" s="3">
        <v>17.5</v>
      </c>
      <c r="G130" s="3">
        <v>93.224740999999995</v>
      </c>
      <c r="H130" s="4">
        <f t="shared" si="5"/>
        <v>-1.6940799999999996</v>
      </c>
      <c r="I130" s="4">
        <f t="shared" si="7"/>
        <v>8.0581349999999929</v>
      </c>
      <c r="J130" s="3">
        <v>47.1</v>
      </c>
      <c r="K130" s="3">
        <v>17.5</v>
      </c>
      <c r="L130" s="13">
        <f>YEAR(Weekly_Prices[[#This Row],[Date]])</f>
        <v>2005</v>
      </c>
      <c r="M130" s="13">
        <f>MONTH(Weekly_Prices[[#This Row],[Date]])</f>
        <v>11</v>
      </c>
      <c r="N130" s="3" t="str">
        <f>TEXT(Weekly_Prices[[#This Row],[Date]],"MMMM")</f>
        <v>November</v>
      </c>
      <c r="O130" s="3" t="str">
        <f>YEAR(Weekly_Prices[[#This Row],[Date]])&amp;"-"&amp;TEXT(WEEKNUM(Weekly_Prices[[#This Row],[Date]],2),"00")</f>
        <v>2005-48</v>
      </c>
    </row>
    <row r="131" spans="1:15" x14ac:dyDescent="0.35">
      <c r="A131" s="2">
        <v>38684</v>
      </c>
      <c r="B131" s="3">
        <v>87.347022999999993</v>
      </c>
      <c r="C131" s="4">
        <f t="shared" ref="C131:C194" si="8">B131-B130</f>
        <v>-1.2612150000000071</v>
      </c>
      <c r="D131" s="4">
        <f t="shared" si="6"/>
        <v>3.1817639999999869</v>
      </c>
      <c r="E131" s="3">
        <v>47.1</v>
      </c>
      <c r="F131" s="3">
        <v>17.5</v>
      </c>
      <c r="G131" s="3">
        <v>91.804357999999993</v>
      </c>
      <c r="H131" s="4">
        <f t="shared" ref="H131:H194" si="9">G131-G130</f>
        <v>-1.4203830000000011</v>
      </c>
      <c r="I131" s="4">
        <f t="shared" si="7"/>
        <v>5.4433299999999889</v>
      </c>
      <c r="J131" s="3">
        <v>47.1</v>
      </c>
      <c r="K131" s="3">
        <v>17.5</v>
      </c>
      <c r="L131" s="13">
        <f>YEAR(Weekly_Prices[[#This Row],[Date]])</f>
        <v>2005</v>
      </c>
      <c r="M131" s="13">
        <f>MONTH(Weekly_Prices[[#This Row],[Date]])</f>
        <v>11</v>
      </c>
      <c r="N131" s="3" t="str">
        <f>TEXT(Weekly_Prices[[#This Row],[Date]],"MMMM")</f>
        <v>November</v>
      </c>
      <c r="O131" s="3" t="str">
        <f>YEAR(Weekly_Prices[[#This Row],[Date]])&amp;"-"&amp;TEXT(WEEKNUM(Weekly_Prices[[#This Row],[Date]],2),"00")</f>
        <v>2005-49</v>
      </c>
    </row>
    <row r="132" spans="1:15" x14ac:dyDescent="0.35">
      <c r="A132" s="2">
        <v>38691</v>
      </c>
      <c r="B132" s="3">
        <v>87.347022999999993</v>
      </c>
      <c r="C132" s="4">
        <f t="shared" si="8"/>
        <v>0</v>
      </c>
      <c r="D132" s="4">
        <f t="shared" si="6"/>
        <v>3.284743999999975</v>
      </c>
      <c r="E132" s="3">
        <v>47.1</v>
      </c>
      <c r="F132" s="3">
        <v>17.5</v>
      </c>
      <c r="G132" s="3">
        <v>91.804357999999993</v>
      </c>
      <c r="H132" s="4">
        <f t="shared" si="9"/>
        <v>0</v>
      </c>
      <c r="I132" s="4">
        <f t="shared" si="7"/>
        <v>5.4066769999999877</v>
      </c>
      <c r="J132" s="3">
        <v>47.1</v>
      </c>
      <c r="K132" s="3">
        <v>17.5</v>
      </c>
      <c r="L132" s="13">
        <f>YEAR(Weekly_Prices[[#This Row],[Date]])</f>
        <v>2005</v>
      </c>
      <c r="M132" s="13">
        <f>MONTH(Weekly_Prices[[#This Row],[Date]])</f>
        <v>12</v>
      </c>
      <c r="N132" s="3" t="str">
        <f>TEXT(Weekly_Prices[[#This Row],[Date]],"MMMM")</f>
        <v>December</v>
      </c>
      <c r="O132" s="3" t="str">
        <f>YEAR(Weekly_Prices[[#This Row],[Date]])&amp;"-"&amp;TEXT(WEEKNUM(Weekly_Prices[[#This Row],[Date]],2),"00")</f>
        <v>2005-50</v>
      </c>
    </row>
    <row r="133" spans="1:15" x14ac:dyDescent="0.35">
      <c r="A133" s="2">
        <v>38698</v>
      </c>
      <c r="B133" s="3">
        <v>87.202474999999993</v>
      </c>
      <c r="C133" s="4">
        <f t="shared" si="8"/>
        <v>-0.14454800000000034</v>
      </c>
      <c r="D133" s="4">
        <f t="shared" si="6"/>
        <v>4.469672999999986</v>
      </c>
      <c r="E133" s="3">
        <v>47.1</v>
      </c>
      <c r="F133" s="3">
        <v>17.5</v>
      </c>
      <c r="G133" s="3">
        <v>91.475917999999993</v>
      </c>
      <c r="H133" s="4">
        <f t="shared" si="9"/>
        <v>-0.32844000000000051</v>
      </c>
      <c r="I133" s="4">
        <f t="shared" si="7"/>
        <v>5.4972989999999839</v>
      </c>
      <c r="J133" s="3">
        <v>47.1</v>
      </c>
      <c r="K133" s="3">
        <v>17.5</v>
      </c>
      <c r="L133" s="13">
        <f>YEAR(Weekly_Prices[[#This Row],[Date]])</f>
        <v>2005</v>
      </c>
      <c r="M133" s="13">
        <f>MONTH(Weekly_Prices[[#This Row],[Date]])</f>
        <v>12</v>
      </c>
      <c r="N133" s="3" t="str">
        <f>TEXT(Weekly_Prices[[#This Row],[Date]],"MMMM")</f>
        <v>December</v>
      </c>
      <c r="O133" s="3" t="str">
        <f>YEAR(Weekly_Prices[[#This Row],[Date]])&amp;"-"&amp;TEXT(WEEKNUM(Weekly_Prices[[#This Row],[Date]],2),"00")</f>
        <v>2005-51</v>
      </c>
    </row>
    <row r="134" spans="1:15" x14ac:dyDescent="0.35">
      <c r="A134" s="2">
        <v>38705</v>
      </c>
      <c r="B134" s="3">
        <v>87.557270000000017</v>
      </c>
      <c r="C134" s="4">
        <f t="shared" si="8"/>
        <v>0.35479500000002417</v>
      </c>
      <c r="D134" s="4">
        <f t="shared" si="6"/>
        <v>6.0926250000000266</v>
      </c>
      <c r="E134" s="3">
        <v>47.1</v>
      </c>
      <c r="F134" s="3">
        <v>17.5</v>
      </c>
      <c r="G134" s="3">
        <v>91.828893999999991</v>
      </c>
      <c r="H134" s="4">
        <f t="shared" si="9"/>
        <v>0.35297599999999818</v>
      </c>
      <c r="I134" s="4">
        <f t="shared" si="7"/>
        <v>6.6622879999999896</v>
      </c>
      <c r="J134" s="3">
        <v>47.1</v>
      </c>
      <c r="K134" s="3">
        <v>17.5</v>
      </c>
      <c r="L134" s="13">
        <f>YEAR(Weekly_Prices[[#This Row],[Date]])</f>
        <v>2005</v>
      </c>
      <c r="M134" s="13">
        <f>MONTH(Weekly_Prices[[#This Row],[Date]])</f>
        <v>12</v>
      </c>
      <c r="N134" s="3" t="str">
        <f>TEXT(Weekly_Prices[[#This Row],[Date]],"MMMM")</f>
        <v>December</v>
      </c>
      <c r="O134" s="3" t="str">
        <f>YEAR(Weekly_Prices[[#This Row],[Date]])&amp;"-"&amp;TEXT(WEEKNUM(Weekly_Prices[[#This Row],[Date]],2),"00")</f>
        <v>2005-52</v>
      </c>
    </row>
    <row r="135" spans="1:15" x14ac:dyDescent="0.35">
      <c r="A135" s="2">
        <v>38712</v>
      </c>
      <c r="B135" s="3">
        <v>87.884986000000012</v>
      </c>
      <c r="C135" s="4">
        <f t="shared" si="8"/>
        <v>0.32771599999999523</v>
      </c>
      <c r="D135" s="4">
        <f t="shared" si="6"/>
        <v>6.684275999999997</v>
      </c>
      <c r="E135" s="3">
        <v>47.1</v>
      </c>
      <c r="F135" s="3">
        <v>17.5</v>
      </c>
      <c r="G135" s="3">
        <v>92.120989999999992</v>
      </c>
      <c r="H135" s="4">
        <f t="shared" si="9"/>
        <v>0.2920960000000008</v>
      </c>
      <c r="I135" s="4">
        <f t="shared" si="7"/>
        <v>6.9808979999999821</v>
      </c>
      <c r="J135" s="3">
        <v>47.1</v>
      </c>
      <c r="K135" s="3">
        <v>17.5</v>
      </c>
      <c r="L135" s="13">
        <f>YEAR(Weekly_Prices[[#This Row],[Date]])</f>
        <v>2005</v>
      </c>
      <c r="M135" s="13">
        <f>MONTH(Weekly_Prices[[#This Row],[Date]])</f>
        <v>12</v>
      </c>
      <c r="N135" s="3" t="str">
        <f>TEXT(Weekly_Prices[[#This Row],[Date]],"MMMM")</f>
        <v>December</v>
      </c>
      <c r="O135" s="3" t="str">
        <f>YEAR(Weekly_Prices[[#This Row],[Date]])&amp;"-"&amp;TEXT(WEEKNUM(Weekly_Prices[[#This Row],[Date]],2),"00")</f>
        <v>2005-53</v>
      </c>
    </row>
    <row r="136" spans="1:15" x14ac:dyDescent="0.35">
      <c r="A136" s="2">
        <v>38719</v>
      </c>
      <c r="B136" s="3">
        <v>88.033395999999982</v>
      </c>
      <c r="C136" s="4">
        <f t="shared" si="8"/>
        <v>0.14840999999996995</v>
      </c>
      <c r="D136" s="4">
        <f t="shared" si="6"/>
        <v>6.8680419999999742</v>
      </c>
      <c r="E136" s="3">
        <v>47.1</v>
      </c>
      <c r="F136" s="3">
        <v>17.5</v>
      </c>
      <c r="G136" s="3">
        <v>92.268669000000003</v>
      </c>
      <c r="H136" s="4">
        <f t="shared" si="9"/>
        <v>0.14767900000001077</v>
      </c>
      <c r="I136" s="4">
        <f t="shared" si="7"/>
        <v>7.145348999999996</v>
      </c>
      <c r="J136" s="3">
        <v>47.1</v>
      </c>
      <c r="K136" s="3">
        <v>17.5</v>
      </c>
      <c r="L136" s="13">
        <f>YEAR(Weekly_Prices[[#This Row],[Date]])</f>
        <v>2006</v>
      </c>
      <c r="M136" s="13">
        <f>MONTH(Weekly_Prices[[#This Row],[Date]])</f>
        <v>1</v>
      </c>
      <c r="N136" s="3" t="str">
        <f>TEXT(Weekly_Prices[[#This Row],[Date]],"MMMM")</f>
        <v>January</v>
      </c>
      <c r="O136" s="3" t="str">
        <f>YEAR(Weekly_Prices[[#This Row],[Date]])&amp;"-"&amp;TEXT(WEEKNUM(Weekly_Prices[[#This Row],[Date]],2),"00")</f>
        <v>2006-02</v>
      </c>
    </row>
    <row r="137" spans="1:15" x14ac:dyDescent="0.35">
      <c r="A137" s="2">
        <v>38726</v>
      </c>
      <c r="B137" s="3">
        <v>88.560045000000002</v>
      </c>
      <c r="C137" s="4">
        <f t="shared" si="8"/>
        <v>0.52664900000002035</v>
      </c>
      <c r="D137" s="4">
        <f t="shared" si="6"/>
        <v>8.7240489999999937</v>
      </c>
      <c r="E137" s="3">
        <v>47.1</v>
      </c>
      <c r="F137" s="3">
        <v>17.5</v>
      </c>
      <c r="G137" s="3">
        <v>92.940070999999989</v>
      </c>
      <c r="H137" s="4">
        <f t="shared" si="9"/>
        <v>0.67140199999998629</v>
      </c>
      <c r="I137" s="4">
        <f t="shared" si="7"/>
        <v>8.0749469999999945</v>
      </c>
      <c r="J137" s="3">
        <v>47.1</v>
      </c>
      <c r="K137" s="3">
        <v>17.5</v>
      </c>
      <c r="L137" s="13">
        <f>YEAR(Weekly_Prices[[#This Row],[Date]])</f>
        <v>2006</v>
      </c>
      <c r="M137" s="13">
        <f>MONTH(Weekly_Prices[[#This Row],[Date]])</f>
        <v>1</v>
      </c>
      <c r="N137" s="3" t="str">
        <f>TEXT(Weekly_Prices[[#This Row],[Date]],"MMMM")</f>
        <v>January</v>
      </c>
      <c r="O137" s="3" t="str">
        <f>YEAR(Weekly_Prices[[#This Row],[Date]])&amp;"-"&amp;TEXT(WEEKNUM(Weekly_Prices[[#This Row],[Date]],2),"00")</f>
        <v>2006-03</v>
      </c>
    </row>
    <row r="138" spans="1:15" x14ac:dyDescent="0.35">
      <c r="A138" s="2">
        <v>38733</v>
      </c>
      <c r="B138" s="3">
        <v>89.007180000000005</v>
      </c>
      <c r="C138" s="4">
        <f t="shared" si="8"/>
        <v>0.44713500000000295</v>
      </c>
      <c r="D138" s="4">
        <f t="shared" si="6"/>
        <v>10.072940000000017</v>
      </c>
      <c r="E138" s="3">
        <v>47.1</v>
      </c>
      <c r="F138" s="3">
        <v>17.5</v>
      </c>
      <c r="G138" s="3">
        <v>93.186062000000007</v>
      </c>
      <c r="H138" s="4">
        <f t="shared" si="9"/>
        <v>0.24599100000001783</v>
      </c>
      <c r="I138" s="4">
        <f t="shared" si="7"/>
        <v>9.2466309999999936</v>
      </c>
      <c r="J138" s="3">
        <v>47.1</v>
      </c>
      <c r="K138" s="3">
        <v>17.5</v>
      </c>
      <c r="L138" s="13">
        <f>YEAR(Weekly_Prices[[#This Row],[Date]])</f>
        <v>2006</v>
      </c>
      <c r="M138" s="13">
        <f>MONTH(Weekly_Prices[[#This Row],[Date]])</f>
        <v>1</v>
      </c>
      <c r="N138" s="3" t="str">
        <f>TEXT(Weekly_Prices[[#This Row],[Date]],"MMMM")</f>
        <v>January</v>
      </c>
      <c r="O138" s="3" t="str">
        <f>YEAR(Weekly_Prices[[#This Row],[Date]])&amp;"-"&amp;TEXT(WEEKNUM(Weekly_Prices[[#This Row],[Date]],2),"00")</f>
        <v>2006-04</v>
      </c>
    </row>
    <row r="139" spans="1:15" x14ac:dyDescent="0.35">
      <c r="A139" s="2">
        <v>38740</v>
      </c>
      <c r="B139" s="3">
        <v>89.549011999999991</v>
      </c>
      <c r="C139" s="4">
        <f t="shared" si="8"/>
        <v>0.54183199999998521</v>
      </c>
      <c r="D139" s="4">
        <f t="shared" si="6"/>
        <v>10.619238999999979</v>
      </c>
      <c r="E139" s="3">
        <v>47.1</v>
      </c>
      <c r="F139" s="3">
        <v>17.5</v>
      </c>
      <c r="G139" s="3">
        <v>93.622726</v>
      </c>
      <c r="H139" s="4">
        <f t="shared" si="9"/>
        <v>0.43666399999999328</v>
      </c>
      <c r="I139" s="4">
        <f t="shared" si="7"/>
        <v>9.7576489999999865</v>
      </c>
      <c r="J139" s="3">
        <v>47.1</v>
      </c>
      <c r="K139" s="3">
        <v>17.5</v>
      </c>
      <c r="L139" s="13">
        <f>YEAR(Weekly_Prices[[#This Row],[Date]])</f>
        <v>2006</v>
      </c>
      <c r="M139" s="13">
        <f>MONTH(Weekly_Prices[[#This Row],[Date]])</f>
        <v>1</v>
      </c>
      <c r="N139" s="3" t="str">
        <f>TEXT(Weekly_Prices[[#This Row],[Date]],"MMMM")</f>
        <v>January</v>
      </c>
      <c r="O139" s="3" t="str">
        <f>YEAR(Weekly_Prices[[#This Row],[Date]])&amp;"-"&amp;TEXT(WEEKNUM(Weekly_Prices[[#This Row],[Date]],2),"00")</f>
        <v>2006-05</v>
      </c>
    </row>
    <row r="140" spans="1:15" x14ac:dyDescent="0.35">
      <c r="A140" s="2">
        <v>38747</v>
      </c>
      <c r="B140" s="3">
        <v>89.880272000000005</v>
      </c>
      <c r="C140" s="4">
        <f t="shared" si="8"/>
        <v>0.33126000000001454</v>
      </c>
      <c r="D140" s="4">
        <f t="shared" si="6"/>
        <v>10.340073000000004</v>
      </c>
      <c r="E140" s="3">
        <v>47.1</v>
      </c>
      <c r="F140" s="3">
        <v>17.5</v>
      </c>
      <c r="G140" s="3">
        <v>93.934284999999988</v>
      </c>
      <c r="H140" s="4">
        <f t="shared" si="9"/>
        <v>0.31155899999998837</v>
      </c>
      <c r="I140" s="4">
        <f t="shared" si="7"/>
        <v>9.7091369999999699</v>
      </c>
      <c r="J140" s="3">
        <v>47.1</v>
      </c>
      <c r="K140" s="3">
        <v>17.5</v>
      </c>
      <c r="L140" s="13">
        <f>YEAR(Weekly_Prices[[#This Row],[Date]])</f>
        <v>2006</v>
      </c>
      <c r="M140" s="13">
        <f>MONTH(Weekly_Prices[[#This Row],[Date]])</f>
        <v>1</v>
      </c>
      <c r="N140" s="3" t="str">
        <f>TEXT(Weekly_Prices[[#This Row],[Date]],"MMMM")</f>
        <v>January</v>
      </c>
      <c r="O140" s="3" t="str">
        <f>YEAR(Weekly_Prices[[#This Row],[Date]])&amp;"-"&amp;TEXT(WEEKNUM(Weekly_Prices[[#This Row],[Date]],2),"00")</f>
        <v>2006-06</v>
      </c>
    </row>
    <row r="141" spans="1:15" x14ac:dyDescent="0.35">
      <c r="A141" s="2">
        <v>38754</v>
      </c>
      <c r="B141" s="3">
        <v>89.734482999999997</v>
      </c>
      <c r="C141" s="4">
        <f t="shared" si="8"/>
        <v>-0.14578900000000772</v>
      </c>
      <c r="D141" s="4">
        <f t="shared" si="6"/>
        <v>9.8911749999999898</v>
      </c>
      <c r="E141" s="3">
        <v>47.1</v>
      </c>
      <c r="F141" s="3">
        <v>17.5</v>
      </c>
      <c r="G141" s="3">
        <v>93.852165000000014</v>
      </c>
      <c r="H141" s="4">
        <f t="shared" si="9"/>
        <v>-8.211999999997488E-2</v>
      </c>
      <c r="I141" s="4">
        <f t="shared" si="7"/>
        <v>9.5773160000000104</v>
      </c>
      <c r="J141" s="3">
        <v>47.1</v>
      </c>
      <c r="K141" s="3">
        <v>17.5</v>
      </c>
      <c r="L141" s="13">
        <f>YEAR(Weekly_Prices[[#This Row],[Date]])</f>
        <v>2006</v>
      </c>
      <c r="M141" s="13">
        <f>MONTH(Weekly_Prices[[#This Row],[Date]])</f>
        <v>2</v>
      </c>
      <c r="N141" s="3" t="str">
        <f>TEXT(Weekly_Prices[[#This Row],[Date]],"MMMM")</f>
        <v>February</v>
      </c>
      <c r="O141" s="3" t="str">
        <f>YEAR(Weekly_Prices[[#This Row],[Date]])&amp;"-"&amp;TEXT(WEEKNUM(Weekly_Prices[[#This Row],[Date]],2),"00")</f>
        <v>2006-07</v>
      </c>
    </row>
    <row r="142" spans="1:15" x14ac:dyDescent="0.35">
      <c r="A142" s="2">
        <v>38761</v>
      </c>
      <c r="B142" s="3">
        <v>89.649450000000002</v>
      </c>
      <c r="C142" s="4">
        <f t="shared" si="8"/>
        <v>-8.5032999999995695E-2</v>
      </c>
      <c r="D142" s="4">
        <f t="shared" si="6"/>
        <v>9.6160170000000136</v>
      </c>
      <c r="E142" s="3">
        <v>47.1</v>
      </c>
      <c r="F142" s="3">
        <v>17.5</v>
      </c>
      <c r="G142" s="3">
        <v>93.774115999999992</v>
      </c>
      <c r="H142" s="4">
        <f t="shared" si="9"/>
        <v>-7.8049000000021351E-2</v>
      </c>
      <c r="I142" s="4">
        <f t="shared" si="7"/>
        <v>9.4574359999999729</v>
      </c>
      <c r="J142" s="3">
        <v>47.1</v>
      </c>
      <c r="K142" s="3">
        <v>17.5</v>
      </c>
      <c r="L142" s="13">
        <f>YEAR(Weekly_Prices[[#This Row],[Date]])</f>
        <v>2006</v>
      </c>
      <c r="M142" s="13">
        <f>MONTH(Weekly_Prices[[#This Row],[Date]])</f>
        <v>2</v>
      </c>
      <c r="N142" s="3" t="str">
        <f>TEXT(Weekly_Prices[[#This Row],[Date]],"MMMM")</f>
        <v>February</v>
      </c>
      <c r="O142" s="3" t="str">
        <f>YEAR(Weekly_Prices[[#This Row],[Date]])&amp;"-"&amp;TEXT(WEEKNUM(Weekly_Prices[[#This Row],[Date]],2),"00")</f>
        <v>2006-08</v>
      </c>
    </row>
    <row r="143" spans="1:15" x14ac:dyDescent="0.35">
      <c r="A143" s="2">
        <v>38768</v>
      </c>
      <c r="B143" s="3">
        <v>89.596348999999989</v>
      </c>
      <c r="C143" s="4">
        <f t="shared" si="8"/>
        <v>-5.3101000000012277E-2</v>
      </c>
      <c r="D143" s="4">
        <f t="shared" si="6"/>
        <v>9.4458359999999857</v>
      </c>
      <c r="E143" s="3">
        <v>47.1</v>
      </c>
      <c r="F143" s="3">
        <v>17.5</v>
      </c>
      <c r="G143" s="3">
        <v>93.753344000000013</v>
      </c>
      <c r="H143" s="4">
        <f t="shared" si="9"/>
        <v>-2.0771999999979585E-2</v>
      </c>
      <c r="I143" s="4">
        <f t="shared" si="7"/>
        <v>9.394730000000024</v>
      </c>
      <c r="J143" s="3">
        <v>47.1</v>
      </c>
      <c r="K143" s="3">
        <v>17.5</v>
      </c>
      <c r="L143" s="13">
        <f>YEAR(Weekly_Prices[[#This Row],[Date]])</f>
        <v>2006</v>
      </c>
      <c r="M143" s="13">
        <f>MONTH(Weekly_Prices[[#This Row],[Date]])</f>
        <v>2</v>
      </c>
      <c r="N143" s="3" t="str">
        <f>TEXT(Weekly_Prices[[#This Row],[Date]],"MMMM")</f>
        <v>February</v>
      </c>
      <c r="O143" s="3" t="str">
        <f>YEAR(Weekly_Prices[[#This Row],[Date]])&amp;"-"&amp;TEXT(WEEKNUM(Weekly_Prices[[#This Row],[Date]],2),"00")</f>
        <v>2006-09</v>
      </c>
    </row>
    <row r="144" spans="1:15" x14ac:dyDescent="0.35">
      <c r="A144" s="2">
        <v>38775</v>
      </c>
      <c r="B144" s="3">
        <v>89.507039000000006</v>
      </c>
      <c r="C144" s="4">
        <f t="shared" si="8"/>
        <v>-8.9309999999983347E-2</v>
      </c>
      <c r="D144" s="4">
        <f t="shared" si="6"/>
        <v>9.0614710000000116</v>
      </c>
      <c r="E144" s="3">
        <v>47.1</v>
      </c>
      <c r="F144" s="3">
        <v>17.5</v>
      </c>
      <c r="G144" s="3">
        <v>93.685020000000009</v>
      </c>
      <c r="H144" s="4">
        <f t="shared" si="9"/>
        <v>-6.8324000000004048E-2</v>
      </c>
      <c r="I144" s="4">
        <f t="shared" si="7"/>
        <v>9.0338200000000199</v>
      </c>
      <c r="J144" s="3">
        <v>47.1</v>
      </c>
      <c r="K144" s="3">
        <v>17.5</v>
      </c>
      <c r="L144" s="13">
        <f>YEAR(Weekly_Prices[[#This Row],[Date]])</f>
        <v>2006</v>
      </c>
      <c r="M144" s="13">
        <f>MONTH(Weekly_Prices[[#This Row],[Date]])</f>
        <v>2</v>
      </c>
      <c r="N144" s="3" t="str">
        <f>TEXT(Weekly_Prices[[#This Row],[Date]],"MMMM")</f>
        <v>February</v>
      </c>
      <c r="O144" s="3" t="str">
        <f>YEAR(Weekly_Prices[[#This Row],[Date]])&amp;"-"&amp;TEXT(WEEKNUM(Weekly_Prices[[#This Row],[Date]],2),"00")</f>
        <v>2006-10</v>
      </c>
    </row>
    <row r="145" spans="1:15" x14ac:dyDescent="0.35">
      <c r="A145" s="2">
        <v>38782</v>
      </c>
      <c r="B145" s="3">
        <v>89.369137999999992</v>
      </c>
      <c r="C145" s="4">
        <f t="shared" si="8"/>
        <v>-0.1379010000000136</v>
      </c>
      <c r="D145" s="4">
        <f t="shared" si="6"/>
        <v>8.2044519999999892</v>
      </c>
      <c r="E145" s="3">
        <v>47.1</v>
      </c>
      <c r="F145" s="3">
        <v>17.5</v>
      </c>
      <c r="G145" s="3">
        <v>93.627079000000009</v>
      </c>
      <c r="H145" s="4">
        <f t="shared" si="9"/>
        <v>-5.7940999999999576E-2</v>
      </c>
      <c r="I145" s="4">
        <f t="shared" si="7"/>
        <v>7.9906129999999962</v>
      </c>
      <c r="J145" s="3">
        <v>47.1</v>
      </c>
      <c r="K145" s="3">
        <v>17.5</v>
      </c>
      <c r="L145" s="13">
        <f>YEAR(Weekly_Prices[[#This Row],[Date]])</f>
        <v>2006</v>
      </c>
      <c r="M145" s="13">
        <f>MONTH(Weekly_Prices[[#This Row],[Date]])</f>
        <v>3</v>
      </c>
      <c r="N145" s="3" t="str">
        <f>TEXT(Weekly_Prices[[#This Row],[Date]],"MMMM")</f>
        <v>March</v>
      </c>
      <c r="O145" s="3" t="str">
        <f>YEAR(Weekly_Prices[[#This Row],[Date]])&amp;"-"&amp;TEXT(WEEKNUM(Weekly_Prices[[#This Row],[Date]],2),"00")</f>
        <v>2006-11</v>
      </c>
    </row>
    <row r="146" spans="1:15" x14ac:dyDescent="0.35">
      <c r="A146" s="2">
        <v>38789</v>
      </c>
      <c r="B146" s="3">
        <v>89.554547999999983</v>
      </c>
      <c r="C146" s="4">
        <f t="shared" si="8"/>
        <v>0.1854099999999903</v>
      </c>
      <c r="D146" s="4">
        <f t="shared" si="6"/>
        <v>7.9192409999999853</v>
      </c>
      <c r="E146" s="3">
        <v>47.1</v>
      </c>
      <c r="F146" s="3">
        <v>17.5</v>
      </c>
      <c r="G146" s="3">
        <v>93.852661000000012</v>
      </c>
      <c r="H146" s="4">
        <f t="shared" si="9"/>
        <v>0.22558200000000284</v>
      </c>
      <c r="I146" s="4">
        <f t="shared" si="7"/>
        <v>7.7428620000000024</v>
      </c>
      <c r="J146" s="3">
        <v>47.1</v>
      </c>
      <c r="K146" s="3">
        <v>17.5</v>
      </c>
      <c r="L146" s="13">
        <f>YEAR(Weekly_Prices[[#This Row],[Date]])</f>
        <v>2006</v>
      </c>
      <c r="M146" s="13">
        <f>MONTH(Weekly_Prices[[#This Row],[Date]])</f>
        <v>3</v>
      </c>
      <c r="N146" s="3" t="str">
        <f>TEXT(Weekly_Prices[[#This Row],[Date]],"MMMM")</f>
        <v>March</v>
      </c>
      <c r="O146" s="3" t="str">
        <f>YEAR(Weekly_Prices[[#This Row],[Date]])&amp;"-"&amp;TEXT(WEEKNUM(Weekly_Prices[[#This Row],[Date]],2),"00")</f>
        <v>2006-12</v>
      </c>
    </row>
    <row r="147" spans="1:15" x14ac:dyDescent="0.35">
      <c r="A147" s="2">
        <v>38796</v>
      </c>
      <c r="B147" s="3">
        <v>90.191850000000002</v>
      </c>
      <c r="C147" s="4">
        <f t="shared" si="8"/>
        <v>0.63730200000001958</v>
      </c>
      <c r="D147" s="4">
        <f t="shared" si="6"/>
        <v>7.4949239999999975</v>
      </c>
      <c r="E147" s="3">
        <v>47.1</v>
      </c>
      <c r="F147" s="3">
        <v>17.5</v>
      </c>
      <c r="G147" s="3">
        <v>94.421533000000011</v>
      </c>
      <c r="H147" s="4">
        <f t="shared" si="9"/>
        <v>0.56887199999999893</v>
      </c>
      <c r="I147" s="4">
        <f t="shared" si="7"/>
        <v>7.3661519999999996</v>
      </c>
      <c r="J147" s="3">
        <v>47.1</v>
      </c>
      <c r="K147" s="3">
        <v>17.5</v>
      </c>
      <c r="L147" s="13">
        <f>YEAR(Weekly_Prices[[#This Row],[Date]])</f>
        <v>2006</v>
      </c>
      <c r="M147" s="13">
        <f>MONTH(Weekly_Prices[[#This Row],[Date]])</f>
        <v>3</v>
      </c>
      <c r="N147" s="3" t="str">
        <f>TEXT(Weekly_Prices[[#This Row],[Date]],"MMMM")</f>
        <v>March</v>
      </c>
      <c r="O147" s="3" t="str">
        <f>YEAR(Weekly_Prices[[#This Row],[Date]])&amp;"-"&amp;TEXT(WEEKNUM(Weekly_Prices[[#This Row],[Date]],2),"00")</f>
        <v>2006-13</v>
      </c>
    </row>
    <row r="148" spans="1:15" x14ac:dyDescent="0.35">
      <c r="A148" s="2">
        <v>38803</v>
      </c>
      <c r="B148" s="3">
        <v>91.161428571428573</v>
      </c>
      <c r="C148" s="4">
        <f t="shared" si="8"/>
        <v>0.96957857142857051</v>
      </c>
      <c r="D148" s="4">
        <f t="shared" si="6"/>
        <v>7.7565095714285803</v>
      </c>
      <c r="E148" s="3">
        <v>47.1</v>
      </c>
      <c r="F148" s="3">
        <v>17.5</v>
      </c>
      <c r="G148" s="3">
        <v>94.950470000000024</v>
      </c>
      <c r="H148" s="4">
        <f t="shared" si="9"/>
        <v>0.52893700000001331</v>
      </c>
      <c r="I148" s="4">
        <f t="shared" si="7"/>
        <v>7.2661880000000281</v>
      </c>
      <c r="J148" s="3">
        <v>47.1</v>
      </c>
      <c r="K148" s="3">
        <v>17.5</v>
      </c>
      <c r="L148" s="13">
        <f>YEAR(Weekly_Prices[[#This Row],[Date]])</f>
        <v>2006</v>
      </c>
      <c r="M148" s="13">
        <f>MONTH(Weekly_Prices[[#This Row],[Date]])</f>
        <v>3</v>
      </c>
      <c r="N148" s="3" t="str">
        <f>TEXT(Weekly_Prices[[#This Row],[Date]],"MMMM")</f>
        <v>March</v>
      </c>
      <c r="O148" s="3" t="str">
        <f>YEAR(Weekly_Prices[[#This Row],[Date]])&amp;"-"&amp;TEXT(WEEKNUM(Weekly_Prices[[#This Row],[Date]],2),"00")</f>
        <v>2006-14</v>
      </c>
    </row>
    <row r="149" spans="1:15" x14ac:dyDescent="0.35">
      <c r="A149" s="2">
        <v>38810</v>
      </c>
      <c r="B149" s="3">
        <v>91.78407</v>
      </c>
      <c r="C149" s="4">
        <f t="shared" si="8"/>
        <v>0.62264142857142701</v>
      </c>
      <c r="D149" s="4">
        <f t="shared" si="6"/>
        <v>7.8695669999999893</v>
      </c>
      <c r="E149" s="3">
        <v>47.1</v>
      </c>
      <c r="F149" s="3">
        <v>17.5</v>
      </c>
      <c r="G149" s="3">
        <v>95.640287999999984</v>
      </c>
      <c r="H149" s="4">
        <f t="shared" si="9"/>
        <v>0.68981799999995985</v>
      </c>
      <c r="I149" s="4">
        <f t="shared" si="7"/>
        <v>7.33738799999999</v>
      </c>
      <c r="J149" s="3">
        <v>47.1</v>
      </c>
      <c r="K149" s="3">
        <v>17.5</v>
      </c>
      <c r="L149" s="13">
        <f>YEAR(Weekly_Prices[[#This Row],[Date]])</f>
        <v>2006</v>
      </c>
      <c r="M149" s="13">
        <f>MONTH(Weekly_Prices[[#This Row],[Date]])</f>
        <v>4</v>
      </c>
      <c r="N149" s="3" t="str">
        <f>TEXT(Weekly_Prices[[#This Row],[Date]],"MMMM")</f>
        <v>April</v>
      </c>
      <c r="O149" s="3" t="str">
        <f>YEAR(Weekly_Prices[[#This Row],[Date]])&amp;"-"&amp;TEXT(WEEKNUM(Weekly_Prices[[#This Row],[Date]],2),"00")</f>
        <v>2006-15</v>
      </c>
    </row>
    <row r="150" spans="1:15" x14ac:dyDescent="0.35">
      <c r="A150" s="2">
        <v>38817</v>
      </c>
      <c r="B150" s="3">
        <v>92.770263</v>
      </c>
      <c r="C150" s="4">
        <f t="shared" si="8"/>
        <v>0.9861930000000001</v>
      </c>
      <c r="D150" s="4">
        <f t="shared" si="6"/>
        <v>7.161412999999996</v>
      </c>
      <c r="E150" s="3">
        <v>47.1</v>
      </c>
      <c r="F150" s="3">
        <v>17.5</v>
      </c>
      <c r="G150" s="3">
        <v>96.400079000000005</v>
      </c>
      <c r="H150" s="4">
        <f t="shared" si="9"/>
        <v>0.7597910000000212</v>
      </c>
      <c r="I150" s="4">
        <f t="shared" si="7"/>
        <v>6.5836260000000095</v>
      </c>
      <c r="J150" s="3">
        <v>47.1</v>
      </c>
      <c r="K150" s="3">
        <v>17.5</v>
      </c>
      <c r="L150" s="13">
        <f>YEAR(Weekly_Prices[[#This Row],[Date]])</f>
        <v>2006</v>
      </c>
      <c r="M150" s="13">
        <f>MONTH(Weekly_Prices[[#This Row],[Date]])</f>
        <v>4</v>
      </c>
      <c r="N150" s="3" t="str">
        <f>TEXT(Weekly_Prices[[#This Row],[Date]],"MMMM")</f>
        <v>April</v>
      </c>
      <c r="O150" s="3" t="str">
        <f>YEAR(Weekly_Prices[[#This Row],[Date]])&amp;"-"&amp;TEXT(WEEKNUM(Weekly_Prices[[#This Row],[Date]],2),"00")</f>
        <v>2006-16</v>
      </c>
    </row>
    <row r="151" spans="1:15" x14ac:dyDescent="0.35">
      <c r="A151" s="2">
        <v>38825</v>
      </c>
      <c r="B151" s="3">
        <v>94.229962</v>
      </c>
      <c r="C151" s="4">
        <f t="shared" si="8"/>
        <v>1.4596990000000005</v>
      </c>
      <c r="D151" s="4">
        <f t="shared" si="6"/>
        <v>8.6016640000000137</v>
      </c>
      <c r="E151" s="3">
        <v>47.1</v>
      </c>
      <c r="F151" s="3">
        <v>17.5</v>
      </c>
      <c r="G151" s="3">
        <v>97.642411999999993</v>
      </c>
      <c r="H151" s="4">
        <f t="shared" si="9"/>
        <v>1.2423329999999879</v>
      </c>
      <c r="I151" s="4">
        <f t="shared" si="7"/>
        <v>7.8430029999999817</v>
      </c>
      <c r="J151" s="3">
        <v>47.1</v>
      </c>
      <c r="K151" s="3">
        <v>17.5</v>
      </c>
      <c r="L151" s="13">
        <f>YEAR(Weekly_Prices[[#This Row],[Date]])</f>
        <v>2006</v>
      </c>
      <c r="M151" s="13">
        <f>MONTH(Weekly_Prices[[#This Row],[Date]])</f>
        <v>4</v>
      </c>
      <c r="N151" s="3" t="str">
        <f>TEXT(Weekly_Prices[[#This Row],[Date]],"MMMM")</f>
        <v>April</v>
      </c>
      <c r="O151" s="3" t="str">
        <f>YEAR(Weekly_Prices[[#This Row],[Date]])&amp;"-"&amp;TEXT(WEEKNUM(Weekly_Prices[[#This Row],[Date]],2),"00")</f>
        <v>2006-17</v>
      </c>
    </row>
    <row r="152" spans="1:15" x14ac:dyDescent="0.35">
      <c r="A152" s="2">
        <v>38831</v>
      </c>
      <c r="B152" s="3">
        <v>95.351672000000008</v>
      </c>
      <c r="C152" s="4">
        <f t="shared" si="8"/>
        <v>1.1217100000000073</v>
      </c>
      <c r="D152" s="4">
        <f t="shared" si="6"/>
        <v>9.8462200000000166</v>
      </c>
      <c r="E152" s="3">
        <v>47.1</v>
      </c>
      <c r="F152" s="3">
        <v>17.5</v>
      </c>
      <c r="G152" s="3">
        <v>98.500204999999994</v>
      </c>
      <c r="H152" s="4">
        <f t="shared" si="9"/>
        <v>0.85779300000000092</v>
      </c>
      <c r="I152" s="4">
        <f t="shared" si="7"/>
        <v>8.8780149999999907</v>
      </c>
      <c r="J152" s="3">
        <v>47.1</v>
      </c>
      <c r="K152" s="3">
        <v>17.5</v>
      </c>
      <c r="L152" s="13">
        <f>YEAR(Weekly_Prices[[#This Row],[Date]])</f>
        <v>2006</v>
      </c>
      <c r="M152" s="13">
        <f>MONTH(Weekly_Prices[[#This Row],[Date]])</f>
        <v>4</v>
      </c>
      <c r="N152" s="3" t="str">
        <f>TEXT(Weekly_Prices[[#This Row],[Date]],"MMMM")</f>
        <v>April</v>
      </c>
      <c r="O152" s="3" t="str">
        <f>YEAR(Weekly_Prices[[#This Row],[Date]])&amp;"-"&amp;TEXT(WEEKNUM(Weekly_Prices[[#This Row],[Date]],2),"00")</f>
        <v>2006-18</v>
      </c>
    </row>
    <row r="153" spans="1:15" x14ac:dyDescent="0.35">
      <c r="A153" s="2">
        <v>38838</v>
      </c>
      <c r="B153" s="3">
        <v>96.131447999999992</v>
      </c>
      <c r="C153" s="4">
        <f t="shared" si="8"/>
        <v>0.77977599999998404</v>
      </c>
      <c r="D153" s="4">
        <f t="shared" si="6"/>
        <v>10.691861999999972</v>
      </c>
      <c r="E153" s="3">
        <v>47.1</v>
      </c>
      <c r="F153" s="3">
        <v>17.5</v>
      </c>
      <c r="G153" s="3">
        <v>98.900272000000001</v>
      </c>
      <c r="H153" s="4">
        <f t="shared" si="9"/>
        <v>0.40006700000000706</v>
      </c>
      <c r="I153" s="4">
        <f t="shared" si="7"/>
        <v>9.6002720000000039</v>
      </c>
      <c r="J153" s="3">
        <v>47.1</v>
      </c>
      <c r="K153" s="3">
        <v>17.5</v>
      </c>
      <c r="L153" s="13">
        <f>YEAR(Weekly_Prices[[#This Row],[Date]])</f>
        <v>2006</v>
      </c>
      <c r="M153" s="13">
        <f>MONTH(Weekly_Prices[[#This Row],[Date]])</f>
        <v>5</v>
      </c>
      <c r="N153" s="3" t="str">
        <f>TEXT(Weekly_Prices[[#This Row],[Date]],"MMMM")</f>
        <v>May</v>
      </c>
      <c r="O153" s="3" t="str">
        <f>YEAR(Weekly_Prices[[#This Row],[Date]])&amp;"-"&amp;TEXT(WEEKNUM(Weekly_Prices[[#This Row],[Date]],2),"00")</f>
        <v>2006-19</v>
      </c>
    </row>
    <row r="154" spans="1:15" x14ac:dyDescent="0.35">
      <c r="A154" s="2">
        <v>38845</v>
      </c>
      <c r="B154" s="3">
        <v>96.460941000000005</v>
      </c>
      <c r="C154" s="4">
        <f t="shared" si="8"/>
        <v>0.32949300000001358</v>
      </c>
      <c r="D154" s="4">
        <f t="shared" si="6"/>
        <v>11.101381000000003</v>
      </c>
      <c r="E154" s="3">
        <v>47.1</v>
      </c>
      <c r="F154" s="3">
        <v>17.5</v>
      </c>
      <c r="G154" s="3">
        <v>98.902568000000002</v>
      </c>
      <c r="H154" s="4">
        <f t="shared" si="9"/>
        <v>2.296000000001186E-3</v>
      </c>
      <c r="I154" s="4">
        <f t="shared" si="7"/>
        <v>9.4458970000000164</v>
      </c>
      <c r="J154" s="3">
        <v>47.1</v>
      </c>
      <c r="K154" s="3">
        <v>17.5</v>
      </c>
      <c r="L154" s="13">
        <f>YEAR(Weekly_Prices[[#This Row],[Date]])</f>
        <v>2006</v>
      </c>
      <c r="M154" s="13">
        <f>MONTH(Weekly_Prices[[#This Row],[Date]])</f>
        <v>5</v>
      </c>
      <c r="N154" s="3" t="str">
        <f>TEXT(Weekly_Prices[[#This Row],[Date]],"MMMM")</f>
        <v>May</v>
      </c>
      <c r="O154" s="3" t="str">
        <f>YEAR(Weekly_Prices[[#This Row],[Date]])&amp;"-"&amp;TEXT(WEEKNUM(Weekly_Prices[[#This Row],[Date]],2),"00")</f>
        <v>2006-20</v>
      </c>
    </row>
    <row r="155" spans="1:15" x14ac:dyDescent="0.35">
      <c r="A155" s="2">
        <v>38852</v>
      </c>
      <c r="B155" s="3">
        <v>96.391477000000009</v>
      </c>
      <c r="C155" s="4">
        <f t="shared" si="8"/>
        <v>-6.9463999999996418E-2</v>
      </c>
      <c r="D155" s="4">
        <f t="shared" si="6"/>
        <v>11.123857000000015</v>
      </c>
      <c r="E155" s="3">
        <v>47.1</v>
      </c>
      <c r="F155" s="3">
        <v>17.5</v>
      </c>
      <c r="G155" s="3">
        <v>98.744455000000002</v>
      </c>
      <c r="H155" s="4">
        <f t="shared" si="9"/>
        <v>-0.15811300000000017</v>
      </c>
      <c r="I155" s="4">
        <f t="shared" si="7"/>
        <v>9.3442480000000074</v>
      </c>
      <c r="J155" s="3">
        <v>47.1</v>
      </c>
      <c r="K155" s="3">
        <v>17.5</v>
      </c>
      <c r="L155" s="13">
        <f>YEAR(Weekly_Prices[[#This Row],[Date]])</f>
        <v>2006</v>
      </c>
      <c r="M155" s="13">
        <f>MONTH(Weekly_Prices[[#This Row],[Date]])</f>
        <v>5</v>
      </c>
      <c r="N155" s="3" t="str">
        <f>TEXT(Weekly_Prices[[#This Row],[Date]],"MMMM")</f>
        <v>May</v>
      </c>
      <c r="O155" s="3" t="str">
        <f>YEAR(Weekly_Prices[[#This Row],[Date]])&amp;"-"&amp;TEXT(WEEKNUM(Weekly_Prices[[#This Row],[Date]],2),"00")</f>
        <v>2006-21</v>
      </c>
    </row>
    <row r="156" spans="1:15" x14ac:dyDescent="0.35">
      <c r="A156" s="2">
        <v>38859</v>
      </c>
      <c r="B156" s="3">
        <v>96.099114999999998</v>
      </c>
      <c r="C156" s="4">
        <f t="shared" si="8"/>
        <v>-0.29236200000001134</v>
      </c>
      <c r="D156" s="4">
        <f t="shared" si="6"/>
        <v>11.330176999999992</v>
      </c>
      <c r="E156" s="3">
        <v>47.1</v>
      </c>
      <c r="F156" s="3">
        <v>17.5</v>
      </c>
      <c r="G156" s="3">
        <v>98.497185999999999</v>
      </c>
      <c r="H156" s="4">
        <f t="shared" si="9"/>
        <v>-0.24726900000000285</v>
      </c>
      <c r="I156" s="4">
        <f t="shared" si="7"/>
        <v>9.4930180000000064</v>
      </c>
      <c r="J156" s="3">
        <v>47.1</v>
      </c>
      <c r="K156" s="3">
        <v>17.5</v>
      </c>
      <c r="L156" s="13">
        <f>YEAR(Weekly_Prices[[#This Row],[Date]])</f>
        <v>2006</v>
      </c>
      <c r="M156" s="13">
        <f>MONTH(Weekly_Prices[[#This Row],[Date]])</f>
        <v>5</v>
      </c>
      <c r="N156" s="3" t="str">
        <f>TEXT(Weekly_Prices[[#This Row],[Date]],"MMMM")</f>
        <v>May</v>
      </c>
      <c r="O156" s="3" t="str">
        <f>YEAR(Weekly_Prices[[#This Row],[Date]])&amp;"-"&amp;TEXT(WEEKNUM(Weekly_Prices[[#This Row],[Date]],2),"00")</f>
        <v>2006-22</v>
      </c>
    </row>
    <row r="157" spans="1:15" x14ac:dyDescent="0.35">
      <c r="A157" s="2">
        <v>38866</v>
      </c>
      <c r="B157" s="3">
        <v>95.364540999999988</v>
      </c>
      <c r="C157" s="4">
        <f t="shared" si="8"/>
        <v>-0.73457400000000916</v>
      </c>
      <c r="D157" s="4">
        <f t="shared" si="6"/>
        <v>11.186733999999987</v>
      </c>
      <c r="E157" s="3">
        <v>47.1</v>
      </c>
      <c r="F157" s="3">
        <v>17.5</v>
      </c>
      <c r="G157" s="3">
        <v>97.692968000000008</v>
      </c>
      <c r="H157" s="4">
        <f t="shared" si="9"/>
        <v>-0.80421799999999166</v>
      </c>
      <c r="I157" s="4">
        <f t="shared" si="7"/>
        <v>9.3060880000000026</v>
      </c>
      <c r="J157" s="3">
        <v>47.1</v>
      </c>
      <c r="K157" s="3">
        <v>17.5</v>
      </c>
      <c r="L157" s="13">
        <f>YEAR(Weekly_Prices[[#This Row],[Date]])</f>
        <v>2006</v>
      </c>
      <c r="M157" s="13">
        <f>MONTH(Weekly_Prices[[#This Row],[Date]])</f>
        <v>5</v>
      </c>
      <c r="N157" s="3" t="str">
        <f>TEXT(Weekly_Prices[[#This Row],[Date]],"MMMM")</f>
        <v>May</v>
      </c>
      <c r="O157" s="3" t="str">
        <f>YEAR(Weekly_Prices[[#This Row],[Date]])&amp;"-"&amp;TEXT(WEEKNUM(Weekly_Prices[[#This Row],[Date]],2),"00")</f>
        <v>2006-23</v>
      </c>
    </row>
    <row r="158" spans="1:15" x14ac:dyDescent="0.35">
      <c r="A158" s="2">
        <v>38873</v>
      </c>
      <c r="B158" s="3">
        <v>95.237023999999991</v>
      </c>
      <c r="C158" s="4">
        <f t="shared" si="8"/>
        <v>-0.12751699999999744</v>
      </c>
      <c r="D158" s="4">
        <f t="shared" si="6"/>
        <v>11.224067999999988</v>
      </c>
      <c r="E158" s="3">
        <v>47.1</v>
      </c>
      <c r="F158" s="3">
        <v>17.5</v>
      </c>
      <c r="G158" s="3">
        <v>97.554976999999994</v>
      </c>
      <c r="H158" s="4">
        <f t="shared" si="9"/>
        <v>-0.13799100000001374</v>
      </c>
      <c r="I158" s="4">
        <f t="shared" si="7"/>
        <v>9.3219089999999909</v>
      </c>
      <c r="J158" s="3">
        <v>47.1</v>
      </c>
      <c r="K158" s="3">
        <v>17.5</v>
      </c>
      <c r="L158" s="13">
        <f>YEAR(Weekly_Prices[[#This Row],[Date]])</f>
        <v>2006</v>
      </c>
      <c r="M158" s="13">
        <f>MONTH(Weekly_Prices[[#This Row],[Date]])</f>
        <v>6</v>
      </c>
      <c r="N158" s="3" t="str">
        <f>TEXT(Weekly_Prices[[#This Row],[Date]],"MMMM")</f>
        <v>June</v>
      </c>
      <c r="O158" s="3" t="str">
        <f>YEAR(Weekly_Prices[[#This Row],[Date]])&amp;"-"&amp;TEXT(WEEKNUM(Weekly_Prices[[#This Row],[Date]],2),"00")</f>
        <v>2006-24</v>
      </c>
    </row>
    <row r="159" spans="1:15" x14ac:dyDescent="0.35">
      <c r="A159" s="2">
        <v>38880</v>
      </c>
      <c r="B159" s="3">
        <v>95.494850999999997</v>
      </c>
      <c r="C159" s="4">
        <f t="shared" si="8"/>
        <v>0.25782700000000602</v>
      </c>
      <c r="D159" s="4">
        <f t="shared" si="6"/>
        <v>10.505704999999992</v>
      </c>
      <c r="E159" s="3">
        <v>47.1</v>
      </c>
      <c r="F159" s="3">
        <v>17.5</v>
      </c>
      <c r="G159" s="3">
        <v>97.752037000000001</v>
      </c>
      <c r="H159" s="4">
        <f t="shared" si="9"/>
        <v>0.19706000000000756</v>
      </c>
      <c r="I159" s="4">
        <f t="shared" si="7"/>
        <v>8.7873119999999858</v>
      </c>
      <c r="J159" s="3">
        <v>47.1</v>
      </c>
      <c r="K159" s="3">
        <v>17.5</v>
      </c>
      <c r="L159" s="13">
        <f>YEAR(Weekly_Prices[[#This Row],[Date]])</f>
        <v>2006</v>
      </c>
      <c r="M159" s="13">
        <f>MONTH(Weekly_Prices[[#This Row],[Date]])</f>
        <v>6</v>
      </c>
      <c r="N159" s="3" t="str">
        <f>TEXT(Weekly_Prices[[#This Row],[Date]],"MMMM")</f>
        <v>June</v>
      </c>
      <c r="O159" s="3" t="str">
        <f>YEAR(Weekly_Prices[[#This Row],[Date]])&amp;"-"&amp;TEXT(WEEKNUM(Weekly_Prices[[#This Row],[Date]],2),"00")</f>
        <v>2006-25</v>
      </c>
    </row>
    <row r="160" spans="1:15" x14ac:dyDescent="0.35">
      <c r="A160" s="2">
        <v>38887</v>
      </c>
      <c r="B160" s="3">
        <v>95.442477000000011</v>
      </c>
      <c r="C160" s="4">
        <f t="shared" si="8"/>
        <v>-5.2373999999986154E-2</v>
      </c>
      <c r="D160" s="4">
        <f t="shared" si="6"/>
        <v>9.9180060000000054</v>
      </c>
      <c r="E160" s="3">
        <v>47.1</v>
      </c>
      <c r="F160" s="3">
        <v>17.5</v>
      </c>
      <c r="G160" s="3">
        <v>97.765829999999994</v>
      </c>
      <c r="H160" s="4">
        <f t="shared" si="9"/>
        <v>1.3792999999992617E-2</v>
      </c>
      <c r="I160" s="4">
        <f t="shared" si="7"/>
        <v>8.2248099999999766</v>
      </c>
      <c r="J160" s="3">
        <v>47.1</v>
      </c>
      <c r="K160" s="3">
        <v>17.5</v>
      </c>
      <c r="L160" s="13">
        <f>YEAR(Weekly_Prices[[#This Row],[Date]])</f>
        <v>2006</v>
      </c>
      <c r="M160" s="13">
        <f>MONTH(Weekly_Prices[[#This Row],[Date]])</f>
        <v>6</v>
      </c>
      <c r="N160" s="3" t="str">
        <f>TEXT(Weekly_Prices[[#This Row],[Date]],"MMMM")</f>
        <v>June</v>
      </c>
      <c r="O160" s="3" t="str">
        <f>YEAR(Weekly_Prices[[#This Row],[Date]])&amp;"-"&amp;TEXT(WEEKNUM(Weekly_Prices[[#This Row],[Date]],2),"00")</f>
        <v>2006-26</v>
      </c>
    </row>
    <row r="161" spans="1:15" x14ac:dyDescent="0.35">
      <c r="A161" s="2">
        <v>38894</v>
      </c>
      <c r="B161" s="3">
        <v>94.971827999999988</v>
      </c>
      <c r="C161" s="4">
        <f t="shared" si="8"/>
        <v>-0.47064900000002297</v>
      </c>
      <c r="D161" s="4">
        <f t="shared" si="6"/>
        <v>8.2413090000000011</v>
      </c>
      <c r="E161" s="3">
        <v>47.1</v>
      </c>
      <c r="F161" s="3">
        <v>17.5</v>
      </c>
      <c r="G161" s="3">
        <v>97.363848000000004</v>
      </c>
      <c r="H161" s="4">
        <f t="shared" si="9"/>
        <v>-0.40198199999998963</v>
      </c>
      <c r="I161" s="4">
        <f t="shared" si="7"/>
        <v>7.0907040000000023</v>
      </c>
      <c r="J161" s="3">
        <v>47.1</v>
      </c>
      <c r="K161" s="3">
        <v>17.5</v>
      </c>
      <c r="L161" s="13">
        <f>YEAR(Weekly_Prices[[#This Row],[Date]])</f>
        <v>2006</v>
      </c>
      <c r="M161" s="13">
        <f>MONTH(Weekly_Prices[[#This Row],[Date]])</f>
        <v>6</v>
      </c>
      <c r="N161" s="3" t="str">
        <f>TEXT(Weekly_Prices[[#This Row],[Date]],"MMMM")</f>
        <v>June</v>
      </c>
      <c r="O161" s="3" t="str">
        <f>YEAR(Weekly_Prices[[#This Row],[Date]])&amp;"-"&amp;TEXT(WEEKNUM(Weekly_Prices[[#This Row],[Date]],2),"00")</f>
        <v>2006-27</v>
      </c>
    </row>
    <row r="162" spans="1:15" x14ac:dyDescent="0.35">
      <c r="A162" s="2">
        <v>38901</v>
      </c>
      <c r="B162" s="3">
        <v>95.267583999999999</v>
      </c>
      <c r="C162" s="4">
        <f t="shared" si="8"/>
        <v>0.29575600000001145</v>
      </c>
      <c r="D162" s="4">
        <f t="shared" si="6"/>
        <v>7.7815959999999933</v>
      </c>
      <c r="E162" s="3">
        <v>47.1</v>
      </c>
      <c r="F162" s="3">
        <v>17.5</v>
      </c>
      <c r="G162" s="3">
        <v>97.600107000000008</v>
      </c>
      <c r="H162" s="4">
        <f t="shared" si="9"/>
        <v>0.23625900000000399</v>
      </c>
      <c r="I162" s="4">
        <f t="shared" si="7"/>
        <v>6.6004220000000089</v>
      </c>
      <c r="J162" s="3">
        <v>47.1</v>
      </c>
      <c r="K162" s="3">
        <v>17.5</v>
      </c>
      <c r="L162" s="13">
        <f>YEAR(Weekly_Prices[[#This Row],[Date]])</f>
        <v>2006</v>
      </c>
      <c r="M162" s="13">
        <f>MONTH(Weekly_Prices[[#This Row],[Date]])</f>
        <v>7</v>
      </c>
      <c r="N162" s="3" t="str">
        <f>TEXT(Weekly_Prices[[#This Row],[Date]],"MMMM")</f>
        <v>July</v>
      </c>
      <c r="O162" s="3" t="str">
        <f>YEAR(Weekly_Prices[[#This Row],[Date]])&amp;"-"&amp;TEXT(WEEKNUM(Weekly_Prices[[#This Row],[Date]],2),"00")</f>
        <v>2006-28</v>
      </c>
    </row>
    <row r="163" spans="1:15" x14ac:dyDescent="0.35">
      <c r="A163" s="2">
        <v>38908</v>
      </c>
      <c r="B163" s="3">
        <v>95.694568000000004</v>
      </c>
      <c r="C163" s="4">
        <f t="shared" si="8"/>
        <v>0.42698400000000447</v>
      </c>
      <c r="D163" s="4">
        <f t="shared" si="6"/>
        <v>7.9618250000000046</v>
      </c>
      <c r="E163" s="3">
        <v>47.1</v>
      </c>
      <c r="F163" s="3">
        <v>17.5</v>
      </c>
      <c r="G163" s="3">
        <v>97.994595000000004</v>
      </c>
      <c r="H163" s="4">
        <f t="shared" si="9"/>
        <v>0.39448799999999551</v>
      </c>
      <c r="I163" s="4">
        <f t="shared" si="7"/>
        <v>6.1060580000000044</v>
      </c>
      <c r="J163" s="3">
        <v>47.1</v>
      </c>
      <c r="K163" s="3">
        <v>17.5</v>
      </c>
      <c r="L163" s="13">
        <f>YEAR(Weekly_Prices[[#This Row],[Date]])</f>
        <v>2006</v>
      </c>
      <c r="M163" s="13">
        <f>MONTH(Weekly_Prices[[#This Row],[Date]])</f>
        <v>7</v>
      </c>
      <c r="N163" s="3" t="str">
        <f>TEXT(Weekly_Prices[[#This Row],[Date]],"MMMM")</f>
        <v>July</v>
      </c>
      <c r="O163" s="3" t="str">
        <f>YEAR(Weekly_Prices[[#This Row],[Date]])&amp;"-"&amp;TEXT(WEEKNUM(Weekly_Prices[[#This Row],[Date]],2),"00")</f>
        <v>2006-29</v>
      </c>
    </row>
    <row r="164" spans="1:15" x14ac:dyDescent="0.35">
      <c r="A164" s="2">
        <v>38915</v>
      </c>
      <c r="B164" s="3">
        <v>96.881884000000014</v>
      </c>
      <c r="C164" s="4">
        <f t="shared" si="8"/>
        <v>1.1873160000000098</v>
      </c>
      <c r="D164" s="4">
        <f t="shared" si="6"/>
        <v>8.3319420000000264</v>
      </c>
      <c r="E164" s="3">
        <v>47.1</v>
      </c>
      <c r="F164" s="3">
        <v>17.5</v>
      </c>
      <c r="G164" s="3">
        <v>98.743158999999991</v>
      </c>
      <c r="H164" s="4">
        <f t="shared" si="9"/>
        <v>0.74856399999998757</v>
      </c>
      <c r="I164" s="4">
        <f t="shared" si="7"/>
        <v>6.0726409999999902</v>
      </c>
      <c r="J164" s="3">
        <v>47.1</v>
      </c>
      <c r="K164" s="3">
        <v>17.5</v>
      </c>
      <c r="L164" s="13">
        <f>YEAR(Weekly_Prices[[#This Row],[Date]])</f>
        <v>2006</v>
      </c>
      <c r="M164" s="13">
        <f>MONTH(Weekly_Prices[[#This Row],[Date]])</f>
        <v>7</v>
      </c>
      <c r="N164" s="3" t="str">
        <f>TEXT(Weekly_Prices[[#This Row],[Date]],"MMMM")</f>
        <v>July</v>
      </c>
      <c r="O164" s="3" t="str">
        <f>YEAR(Weekly_Prices[[#This Row],[Date]])&amp;"-"&amp;TEXT(WEEKNUM(Weekly_Prices[[#This Row],[Date]],2),"00")</f>
        <v>2006-30</v>
      </c>
    </row>
    <row r="165" spans="1:15" x14ac:dyDescent="0.35">
      <c r="A165" s="2">
        <v>38922</v>
      </c>
      <c r="B165" s="3">
        <v>97.784588999999997</v>
      </c>
      <c r="C165" s="4">
        <f t="shared" si="8"/>
        <v>0.90270499999998322</v>
      </c>
      <c r="D165" s="4">
        <f t="shared" si="6"/>
        <v>8.7851640000000089</v>
      </c>
      <c r="E165" s="3">
        <v>47.1</v>
      </c>
      <c r="F165" s="3">
        <v>17.5</v>
      </c>
      <c r="G165" s="3">
        <v>99.405504000000008</v>
      </c>
      <c r="H165" s="4">
        <f t="shared" si="9"/>
        <v>0.66234500000001617</v>
      </c>
      <c r="I165" s="4">
        <f t="shared" si="7"/>
        <v>6.3725170000000162</v>
      </c>
      <c r="J165" s="3">
        <v>47.1</v>
      </c>
      <c r="K165" s="3">
        <v>17.5</v>
      </c>
      <c r="L165" s="13">
        <f>YEAR(Weekly_Prices[[#This Row],[Date]])</f>
        <v>2006</v>
      </c>
      <c r="M165" s="13">
        <f>MONTH(Weekly_Prices[[#This Row],[Date]])</f>
        <v>7</v>
      </c>
      <c r="N165" s="3" t="str">
        <f>TEXT(Weekly_Prices[[#This Row],[Date]],"MMMM")</f>
        <v>July</v>
      </c>
      <c r="O165" s="3" t="str">
        <f>YEAR(Weekly_Prices[[#This Row],[Date]])&amp;"-"&amp;TEXT(WEEKNUM(Weekly_Prices[[#This Row],[Date]],2),"00")</f>
        <v>2006-31</v>
      </c>
    </row>
    <row r="166" spans="1:15" x14ac:dyDescent="0.35">
      <c r="A166" s="2">
        <v>38929</v>
      </c>
      <c r="B166" s="3">
        <v>97.829799999999992</v>
      </c>
      <c r="C166" s="4">
        <f t="shared" si="8"/>
        <v>4.5210999999994783E-2</v>
      </c>
      <c r="D166" s="4">
        <f t="shared" si="6"/>
        <v>8.5843500000000006</v>
      </c>
      <c r="E166" s="3">
        <v>47.1</v>
      </c>
      <c r="F166" s="3">
        <v>17.5</v>
      </c>
      <c r="G166" s="3">
        <v>99.414105000000006</v>
      </c>
      <c r="H166" s="4">
        <f t="shared" si="9"/>
        <v>8.6009999999987485E-3</v>
      </c>
      <c r="I166" s="4">
        <f t="shared" si="7"/>
        <v>6.1514119999999934</v>
      </c>
      <c r="J166" s="3">
        <v>47.1</v>
      </c>
      <c r="K166" s="3">
        <v>17.5</v>
      </c>
      <c r="L166" s="13">
        <f>YEAR(Weekly_Prices[[#This Row],[Date]])</f>
        <v>2006</v>
      </c>
      <c r="M166" s="13">
        <f>MONTH(Weekly_Prices[[#This Row],[Date]])</f>
        <v>7</v>
      </c>
      <c r="N166" s="3" t="str">
        <f>TEXT(Weekly_Prices[[#This Row],[Date]],"MMMM")</f>
        <v>July</v>
      </c>
      <c r="O166" s="3" t="str">
        <f>YEAR(Weekly_Prices[[#This Row],[Date]])&amp;"-"&amp;TEXT(WEEKNUM(Weekly_Prices[[#This Row],[Date]],2),"00")</f>
        <v>2006-32</v>
      </c>
    </row>
    <row r="167" spans="1:15" x14ac:dyDescent="0.35">
      <c r="A167" s="2">
        <v>38936</v>
      </c>
      <c r="B167" s="3">
        <v>98.051664999999986</v>
      </c>
      <c r="C167" s="4">
        <f t="shared" si="8"/>
        <v>0.22186499999999398</v>
      </c>
      <c r="D167" s="4">
        <f t="shared" si="6"/>
        <v>8.3844259999999764</v>
      </c>
      <c r="E167" s="3">
        <v>47.1</v>
      </c>
      <c r="F167" s="3">
        <v>17.5</v>
      </c>
      <c r="G167" s="3">
        <v>99.572749999999999</v>
      </c>
      <c r="H167" s="4">
        <f t="shared" si="9"/>
        <v>0.15864499999999282</v>
      </c>
      <c r="I167" s="4">
        <f t="shared" si="7"/>
        <v>5.9452009999999831</v>
      </c>
      <c r="J167" s="3">
        <v>47.1</v>
      </c>
      <c r="K167" s="3">
        <v>17.5</v>
      </c>
      <c r="L167" s="13">
        <f>YEAR(Weekly_Prices[[#This Row],[Date]])</f>
        <v>2006</v>
      </c>
      <c r="M167" s="13">
        <f>MONTH(Weekly_Prices[[#This Row],[Date]])</f>
        <v>8</v>
      </c>
      <c r="N167" s="3" t="str">
        <f>TEXT(Weekly_Prices[[#This Row],[Date]],"MMMM")</f>
        <v>August</v>
      </c>
      <c r="O167" s="3" t="str">
        <f>YEAR(Weekly_Prices[[#This Row],[Date]])&amp;"-"&amp;TEXT(WEEKNUM(Weekly_Prices[[#This Row],[Date]],2),"00")</f>
        <v>2006-33</v>
      </c>
    </row>
    <row r="168" spans="1:15" x14ac:dyDescent="0.35">
      <c r="A168" s="2">
        <v>38943</v>
      </c>
      <c r="B168" s="3">
        <v>97.816900000000004</v>
      </c>
      <c r="C168" s="4">
        <f t="shared" si="8"/>
        <v>-0.23476499999998168</v>
      </c>
      <c r="D168" s="4">
        <f t="shared" si="6"/>
        <v>7.2590859999999964</v>
      </c>
      <c r="E168" s="3">
        <v>47.1</v>
      </c>
      <c r="F168" s="3">
        <v>17.5</v>
      </c>
      <c r="G168" s="3">
        <v>99.446228000000005</v>
      </c>
      <c r="H168" s="4">
        <f t="shared" si="9"/>
        <v>-0.12652199999999425</v>
      </c>
      <c r="I168" s="4">
        <f t="shared" si="7"/>
        <v>4.9490430000000032</v>
      </c>
      <c r="J168" s="3">
        <v>47.1</v>
      </c>
      <c r="K168" s="3">
        <v>17.5</v>
      </c>
      <c r="L168" s="13">
        <f>YEAR(Weekly_Prices[[#This Row],[Date]])</f>
        <v>2006</v>
      </c>
      <c r="M168" s="13">
        <f>MONTH(Weekly_Prices[[#This Row],[Date]])</f>
        <v>8</v>
      </c>
      <c r="N168" s="3" t="str">
        <f>TEXT(Weekly_Prices[[#This Row],[Date]],"MMMM")</f>
        <v>August</v>
      </c>
      <c r="O168" s="3" t="str">
        <f>YEAR(Weekly_Prices[[#This Row],[Date]])&amp;"-"&amp;TEXT(WEEKNUM(Weekly_Prices[[#This Row],[Date]],2),"00")</f>
        <v>2006-34</v>
      </c>
    </row>
    <row r="169" spans="1:15" x14ac:dyDescent="0.35">
      <c r="A169" s="2">
        <v>38950</v>
      </c>
      <c r="B169" s="3">
        <v>95.743277000000006</v>
      </c>
      <c r="C169" s="4">
        <f t="shared" si="8"/>
        <v>-2.0736229999999978</v>
      </c>
      <c r="D169" s="4">
        <f t="shared" si="6"/>
        <v>4.9701810000000108</v>
      </c>
      <c r="E169" s="3">
        <v>47.1</v>
      </c>
      <c r="F169" s="3">
        <v>17.5</v>
      </c>
      <c r="G169" s="3">
        <v>97.927852000000001</v>
      </c>
      <c r="H169" s="4">
        <f t="shared" si="9"/>
        <v>-1.5183760000000035</v>
      </c>
      <c r="I169" s="4">
        <f t="shared" si="7"/>
        <v>3.2512100000000146</v>
      </c>
      <c r="J169" s="3">
        <v>47.1</v>
      </c>
      <c r="K169" s="3">
        <v>17.5</v>
      </c>
      <c r="L169" s="13">
        <f>YEAR(Weekly_Prices[[#This Row],[Date]])</f>
        <v>2006</v>
      </c>
      <c r="M169" s="13">
        <f>MONTH(Weekly_Prices[[#This Row],[Date]])</f>
        <v>8</v>
      </c>
      <c r="N169" s="3" t="str">
        <f>TEXT(Weekly_Prices[[#This Row],[Date]],"MMMM")</f>
        <v>August</v>
      </c>
      <c r="O169" s="3" t="str">
        <f>YEAR(Weekly_Prices[[#This Row],[Date]])&amp;"-"&amp;TEXT(WEEKNUM(Weekly_Prices[[#This Row],[Date]],2),"00")</f>
        <v>2006-35</v>
      </c>
    </row>
    <row r="170" spans="1:15" x14ac:dyDescent="0.35">
      <c r="A170" s="2">
        <v>38957</v>
      </c>
      <c r="B170" s="3">
        <v>94.401263</v>
      </c>
      <c r="C170" s="4">
        <f t="shared" si="8"/>
        <v>-1.342014000000006</v>
      </c>
      <c r="D170" s="4">
        <f t="shared" si="6"/>
        <v>2.9856500000000068</v>
      </c>
      <c r="E170" s="3">
        <v>47.1</v>
      </c>
      <c r="F170" s="3">
        <v>17.5</v>
      </c>
      <c r="G170" s="3">
        <v>96.671294999999986</v>
      </c>
      <c r="H170" s="4">
        <f t="shared" si="9"/>
        <v>-1.256557000000015</v>
      </c>
      <c r="I170" s="4">
        <f t="shared" si="7"/>
        <v>1.3443779999999776</v>
      </c>
      <c r="J170" s="3">
        <v>47.1</v>
      </c>
      <c r="K170" s="3">
        <v>17.5</v>
      </c>
      <c r="L170" s="13">
        <f>YEAR(Weekly_Prices[[#This Row],[Date]])</f>
        <v>2006</v>
      </c>
      <c r="M170" s="13">
        <f>MONTH(Weekly_Prices[[#This Row],[Date]])</f>
        <v>8</v>
      </c>
      <c r="N170" s="3" t="str">
        <f>TEXT(Weekly_Prices[[#This Row],[Date]],"MMMM")</f>
        <v>August</v>
      </c>
      <c r="O170" s="3" t="str">
        <f>YEAR(Weekly_Prices[[#This Row],[Date]])&amp;"-"&amp;TEXT(WEEKNUM(Weekly_Prices[[#This Row],[Date]],2),"00")</f>
        <v>2006-36</v>
      </c>
    </row>
    <row r="171" spans="1:15" x14ac:dyDescent="0.35">
      <c r="A171" s="2">
        <v>38964</v>
      </c>
      <c r="B171" s="3">
        <v>92.880980000000008</v>
      </c>
      <c r="C171" s="4">
        <f t="shared" si="8"/>
        <v>-1.5202829999999921</v>
      </c>
      <c r="D171" s="4">
        <f t="shared" si="6"/>
        <v>-1.4932170000000013</v>
      </c>
      <c r="E171" s="3">
        <v>47.1</v>
      </c>
      <c r="F171" s="3">
        <v>17.5</v>
      </c>
      <c r="G171" s="3">
        <v>95.923818000000011</v>
      </c>
      <c r="H171" s="4">
        <f t="shared" si="9"/>
        <v>-0.74747699999997508</v>
      </c>
      <c r="I171" s="4">
        <f t="shared" si="7"/>
        <v>-1.2636320000000012</v>
      </c>
      <c r="J171" s="3">
        <v>47.1</v>
      </c>
      <c r="K171" s="3">
        <v>17.5</v>
      </c>
      <c r="L171" s="13">
        <f>YEAR(Weekly_Prices[[#This Row],[Date]])</f>
        <v>2006</v>
      </c>
      <c r="M171" s="13">
        <f>MONTH(Weekly_Prices[[#This Row],[Date]])</f>
        <v>9</v>
      </c>
      <c r="N171" s="3" t="str">
        <f>TEXT(Weekly_Prices[[#This Row],[Date]],"MMMM")</f>
        <v>September</v>
      </c>
      <c r="O171" s="3" t="str">
        <f>YEAR(Weekly_Prices[[#This Row],[Date]])&amp;"-"&amp;TEXT(WEEKNUM(Weekly_Prices[[#This Row],[Date]],2),"00")</f>
        <v>2006-37</v>
      </c>
    </row>
    <row r="172" spans="1:15" x14ac:dyDescent="0.35">
      <c r="A172" s="2">
        <v>38971</v>
      </c>
      <c r="B172" s="3">
        <v>91.48115</v>
      </c>
      <c r="C172" s="4">
        <f t="shared" si="8"/>
        <v>-1.3998300000000086</v>
      </c>
      <c r="D172" s="4">
        <f t="shared" si="6"/>
        <v>-3.5924049999999994</v>
      </c>
      <c r="E172" s="3">
        <v>47.1</v>
      </c>
      <c r="F172" s="3">
        <v>17.5</v>
      </c>
      <c r="G172" s="3">
        <v>95.338222000000002</v>
      </c>
      <c r="H172" s="4">
        <f t="shared" si="9"/>
        <v>-0.58559600000000955</v>
      </c>
      <c r="I172" s="4">
        <f t="shared" si="7"/>
        <v>-2.5486440000000101</v>
      </c>
      <c r="J172" s="3">
        <v>47.1</v>
      </c>
      <c r="K172" s="3">
        <v>17.5</v>
      </c>
      <c r="L172" s="13">
        <f>YEAR(Weekly_Prices[[#This Row],[Date]])</f>
        <v>2006</v>
      </c>
      <c r="M172" s="13">
        <f>MONTH(Weekly_Prices[[#This Row],[Date]])</f>
        <v>9</v>
      </c>
      <c r="N172" s="3" t="str">
        <f>TEXT(Weekly_Prices[[#This Row],[Date]],"MMMM")</f>
        <v>September</v>
      </c>
      <c r="O172" s="3" t="str">
        <f>YEAR(Weekly_Prices[[#This Row],[Date]])&amp;"-"&amp;TEXT(WEEKNUM(Weekly_Prices[[#This Row],[Date]],2),"00")</f>
        <v>2006-38</v>
      </c>
    </row>
    <row r="173" spans="1:15" x14ac:dyDescent="0.35">
      <c r="A173" s="2">
        <v>38978</v>
      </c>
      <c r="B173" s="3">
        <v>89.776635999999996</v>
      </c>
      <c r="C173" s="4">
        <f t="shared" si="8"/>
        <v>-1.7045140000000032</v>
      </c>
      <c r="D173" s="4">
        <f t="shared" si="6"/>
        <v>-4.6375670000000042</v>
      </c>
      <c r="E173" s="3">
        <v>47.1</v>
      </c>
      <c r="F173" s="3">
        <v>17.5</v>
      </c>
      <c r="G173" s="3">
        <v>94.948910999999995</v>
      </c>
      <c r="H173" s="4">
        <f t="shared" si="9"/>
        <v>-0.3893110000000064</v>
      </c>
      <c r="I173" s="4">
        <f t="shared" si="7"/>
        <v>-2.3699840000000023</v>
      </c>
      <c r="J173" s="3">
        <v>47.1</v>
      </c>
      <c r="K173" s="3">
        <v>17.5</v>
      </c>
      <c r="L173" s="13">
        <f>YEAR(Weekly_Prices[[#This Row],[Date]])</f>
        <v>2006</v>
      </c>
      <c r="M173" s="13">
        <f>MONTH(Weekly_Prices[[#This Row],[Date]])</f>
        <v>9</v>
      </c>
      <c r="N173" s="3" t="str">
        <f>TEXT(Weekly_Prices[[#This Row],[Date]],"MMMM")</f>
        <v>September</v>
      </c>
      <c r="O173" s="3" t="str">
        <f>YEAR(Weekly_Prices[[#This Row],[Date]])&amp;"-"&amp;TEXT(WEEKNUM(Weekly_Prices[[#This Row],[Date]],2),"00")</f>
        <v>2006-39</v>
      </c>
    </row>
    <row r="174" spans="1:15" x14ac:dyDescent="0.35">
      <c r="A174" s="2">
        <v>38985</v>
      </c>
      <c r="B174" s="3">
        <v>88.201453999999998</v>
      </c>
      <c r="C174" s="4">
        <f t="shared" si="8"/>
        <v>-1.5751819999999981</v>
      </c>
      <c r="D174" s="4">
        <f t="shared" si="6"/>
        <v>-5.1305499999999853</v>
      </c>
      <c r="E174" s="3">
        <v>47.1</v>
      </c>
      <c r="F174" s="3">
        <v>17.5</v>
      </c>
      <c r="G174" s="3">
        <v>93.513475999999997</v>
      </c>
      <c r="H174" s="4">
        <f t="shared" si="9"/>
        <v>-1.4354349999999982</v>
      </c>
      <c r="I174" s="4">
        <f t="shared" si="7"/>
        <v>-2.7555600000000027</v>
      </c>
      <c r="J174" s="3">
        <v>47.1</v>
      </c>
      <c r="K174" s="3">
        <v>17.5</v>
      </c>
      <c r="L174" s="13">
        <f>YEAR(Weekly_Prices[[#This Row],[Date]])</f>
        <v>2006</v>
      </c>
      <c r="M174" s="13">
        <f>MONTH(Weekly_Prices[[#This Row],[Date]])</f>
        <v>9</v>
      </c>
      <c r="N174" s="3" t="str">
        <f>TEXT(Weekly_Prices[[#This Row],[Date]],"MMMM")</f>
        <v>September</v>
      </c>
      <c r="O174" s="3" t="str">
        <f>YEAR(Weekly_Prices[[#This Row],[Date]])&amp;"-"&amp;TEXT(WEEKNUM(Weekly_Prices[[#This Row],[Date]],2),"00")</f>
        <v>2006-40</v>
      </c>
    </row>
    <row r="175" spans="1:15" x14ac:dyDescent="0.35">
      <c r="A175" s="2">
        <v>38992</v>
      </c>
      <c r="B175" s="3">
        <v>86.946717000000021</v>
      </c>
      <c r="C175" s="4">
        <f t="shared" si="8"/>
        <v>-1.2547369999999773</v>
      </c>
      <c r="D175" s="4">
        <f t="shared" si="6"/>
        <v>-6.566096999999985</v>
      </c>
      <c r="E175" s="3">
        <v>47.1</v>
      </c>
      <c r="F175" s="3">
        <v>17.5</v>
      </c>
      <c r="G175" s="3">
        <v>92.130327000000008</v>
      </c>
      <c r="H175" s="4">
        <f t="shared" si="9"/>
        <v>-1.3831489999999889</v>
      </c>
      <c r="I175" s="4">
        <f t="shared" si="7"/>
        <v>-4.4827439999999967</v>
      </c>
      <c r="J175" s="3">
        <v>47.1</v>
      </c>
      <c r="K175" s="3">
        <v>17.5</v>
      </c>
      <c r="L175" s="13">
        <f>YEAR(Weekly_Prices[[#This Row],[Date]])</f>
        <v>2006</v>
      </c>
      <c r="M175" s="13">
        <f>MONTH(Weekly_Prices[[#This Row],[Date]])</f>
        <v>10</v>
      </c>
      <c r="N175" s="3" t="str">
        <f>TEXT(Weekly_Prices[[#This Row],[Date]],"MMMM")</f>
        <v>October</v>
      </c>
      <c r="O175" s="3" t="str">
        <f>YEAR(Weekly_Prices[[#This Row],[Date]])&amp;"-"&amp;TEXT(WEEKNUM(Weekly_Prices[[#This Row],[Date]],2),"00")</f>
        <v>2006-41</v>
      </c>
    </row>
    <row r="176" spans="1:15" x14ac:dyDescent="0.35">
      <c r="A176" s="2">
        <v>38999</v>
      </c>
      <c r="B176" s="3">
        <v>86.597413000000017</v>
      </c>
      <c r="C176" s="4">
        <f t="shared" si="8"/>
        <v>-0.34930400000000361</v>
      </c>
      <c r="D176" s="4">
        <f t="shared" si="6"/>
        <v>-7.6505019999999746</v>
      </c>
      <c r="E176" s="3">
        <v>47.1</v>
      </c>
      <c r="F176" s="3">
        <v>17.5</v>
      </c>
      <c r="G176" s="3">
        <v>91.74212</v>
      </c>
      <c r="H176" s="4">
        <f t="shared" si="9"/>
        <v>-0.38820700000000841</v>
      </c>
      <c r="I176" s="4">
        <f t="shared" si="7"/>
        <v>-5.3067999999999955</v>
      </c>
      <c r="J176" s="3">
        <v>47.1</v>
      </c>
      <c r="K176" s="3">
        <v>17.5</v>
      </c>
      <c r="L176" s="13">
        <f>YEAR(Weekly_Prices[[#This Row],[Date]])</f>
        <v>2006</v>
      </c>
      <c r="M176" s="13">
        <f>MONTH(Weekly_Prices[[#This Row],[Date]])</f>
        <v>10</v>
      </c>
      <c r="N176" s="3" t="str">
        <f>TEXT(Weekly_Prices[[#This Row],[Date]],"MMMM")</f>
        <v>October</v>
      </c>
      <c r="O176" s="3" t="str">
        <f>YEAR(Weekly_Prices[[#This Row],[Date]])&amp;"-"&amp;TEXT(WEEKNUM(Weekly_Prices[[#This Row],[Date]],2),"00")</f>
        <v>2006-42</v>
      </c>
    </row>
    <row r="177" spans="1:15" x14ac:dyDescent="0.35">
      <c r="A177" s="2">
        <v>39006</v>
      </c>
      <c r="B177" s="3">
        <v>85.909579000000008</v>
      </c>
      <c r="C177" s="4">
        <f t="shared" si="8"/>
        <v>-0.68783400000000938</v>
      </c>
      <c r="D177" s="4">
        <f t="shared" si="6"/>
        <v>-8.2326610000000073</v>
      </c>
      <c r="E177" s="3">
        <v>47.1</v>
      </c>
      <c r="F177" s="3">
        <v>17.5</v>
      </c>
      <c r="G177" s="3">
        <v>91.591814999999997</v>
      </c>
      <c r="H177" s="4">
        <f t="shared" si="9"/>
        <v>-0.15030500000000302</v>
      </c>
      <c r="I177" s="4">
        <f t="shared" si="7"/>
        <v>-5.4081410000000147</v>
      </c>
      <c r="J177" s="3">
        <v>47.1</v>
      </c>
      <c r="K177" s="3">
        <v>17.5</v>
      </c>
      <c r="L177" s="13">
        <f>YEAR(Weekly_Prices[[#This Row],[Date]])</f>
        <v>2006</v>
      </c>
      <c r="M177" s="13">
        <f>MONTH(Weekly_Prices[[#This Row],[Date]])</f>
        <v>10</v>
      </c>
      <c r="N177" s="3" t="str">
        <f>TEXT(Weekly_Prices[[#This Row],[Date]],"MMMM")</f>
        <v>October</v>
      </c>
      <c r="O177" s="3" t="str">
        <f>YEAR(Weekly_Prices[[#This Row],[Date]])&amp;"-"&amp;TEXT(WEEKNUM(Weekly_Prices[[#This Row],[Date]],2),"00")</f>
        <v>2006-43</v>
      </c>
    </row>
    <row r="178" spans="1:15" x14ac:dyDescent="0.35">
      <c r="A178" s="2">
        <v>39013</v>
      </c>
      <c r="B178" s="3">
        <v>85.735876000000005</v>
      </c>
      <c r="C178" s="4">
        <f t="shared" si="8"/>
        <v>-0.17370300000000327</v>
      </c>
      <c r="D178" s="4">
        <f t="shared" si="6"/>
        <v>-7.7361059999999924</v>
      </c>
      <c r="E178" s="3">
        <v>47.1</v>
      </c>
      <c r="F178" s="3">
        <v>17.5</v>
      </c>
      <c r="G178" s="3">
        <v>91.215802000000011</v>
      </c>
      <c r="H178" s="4">
        <f t="shared" si="9"/>
        <v>-0.37601299999998616</v>
      </c>
      <c r="I178" s="4">
        <f t="shared" si="7"/>
        <v>-5.5807640000000021</v>
      </c>
      <c r="J178" s="3">
        <v>47.1</v>
      </c>
      <c r="K178" s="3">
        <v>17.5</v>
      </c>
      <c r="L178" s="13">
        <f>YEAR(Weekly_Prices[[#This Row],[Date]])</f>
        <v>2006</v>
      </c>
      <c r="M178" s="13">
        <f>MONTH(Weekly_Prices[[#This Row],[Date]])</f>
        <v>10</v>
      </c>
      <c r="N178" s="3" t="str">
        <f>TEXT(Weekly_Prices[[#This Row],[Date]],"MMMM")</f>
        <v>October</v>
      </c>
      <c r="O178" s="3" t="str">
        <f>YEAR(Weekly_Prices[[#This Row],[Date]])&amp;"-"&amp;TEXT(WEEKNUM(Weekly_Prices[[#This Row],[Date]],2),"00")</f>
        <v>2006-44</v>
      </c>
    </row>
    <row r="179" spans="1:15" x14ac:dyDescent="0.35">
      <c r="A179" s="2">
        <v>39020</v>
      </c>
      <c r="B179" s="3">
        <v>85.601776999999998</v>
      </c>
      <c r="C179" s="4">
        <f t="shared" si="8"/>
        <v>-0.13409900000000619</v>
      </c>
      <c r="D179" s="4">
        <f t="shared" si="6"/>
        <v>-7.1866839999999996</v>
      </c>
      <c r="E179" s="3">
        <v>47.1</v>
      </c>
      <c r="F179" s="3">
        <v>17.5</v>
      </c>
      <c r="G179" s="3">
        <v>91.165464999999998</v>
      </c>
      <c r="H179" s="4">
        <f t="shared" si="9"/>
        <v>-5.0337000000013177E-2</v>
      </c>
      <c r="I179" s="4">
        <f t="shared" si="7"/>
        <v>-5.4082599999999985</v>
      </c>
      <c r="J179" s="3">
        <v>47.1</v>
      </c>
      <c r="K179" s="3">
        <v>17.5</v>
      </c>
      <c r="L179" s="13">
        <f>YEAR(Weekly_Prices[[#This Row],[Date]])</f>
        <v>2006</v>
      </c>
      <c r="M179" s="13">
        <f>MONTH(Weekly_Prices[[#This Row],[Date]])</f>
        <v>10</v>
      </c>
      <c r="N179" s="3" t="str">
        <f>TEXT(Weekly_Prices[[#This Row],[Date]],"MMMM")</f>
        <v>October</v>
      </c>
      <c r="O179" s="3" t="str">
        <f>YEAR(Weekly_Prices[[#This Row],[Date]])&amp;"-"&amp;TEXT(WEEKNUM(Weekly_Prices[[#This Row],[Date]],2),"00")</f>
        <v>2006-45</v>
      </c>
    </row>
    <row r="180" spans="1:15" x14ac:dyDescent="0.35">
      <c r="A180" s="2">
        <v>39027</v>
      </c>
      <c r="B180" s="3">
        <v>85.538726999999994</v>
      </c>
      <c r="C180" s="4">
        <f t="shared" si="8"/>
        <v>-6.3050000000004047E-2</v>
      </c>
      <c r="D180" s="4">
        <f t="shared" si="6"/>
        <v>-6.9263489999999877</v>
      </c>
      <c r="E180" s="3">
        <v>47.1</v>
      </c>
      <c r="F180" s="3">
        <v>17.5</v>
      </c>
      <c r="G180" s="3">
        <v>91.121901999999992</v>
      </c>
      <c r="H180" s="4">
        <f t="shared" si="9"/>
        <v>-4.3563000000006014E-2</v>
      </c>
      <c r="I180" s="4">
        <f t="shared" si="7"/>
        <v>-5.4704340000000116</v>
      </c>
      <c r="J180" s="3">
        <v>47.1</v>
      </c>
      <c r="K180" s="3">
        <v>17.5</v>
      </c>
      <c r="L180" s="13">
        <f>YEAR(Weekly_Prices[[#This Row],[Date]])</f>
        <v>2006</v>
      </c>
      <c r="M180" s="13">
        <f>MONTH(Weekly_Prices[[#This Row],[Date]])</f>
        <v>11</v>
      </c>
      <c r="N180" s="3" t="str">
        <f>TEXT(Weekly_Prices[[#This Row],[Date]],"MMMM")</f>
        <v>November</v>
      </c>
      <c r="O180" s="3" t="str">
        <f>YEAR(Weekly_Prices[[#This Row],[Date]])&amp;"-"&amp;TEXT(WEEKNUM(Weekly_Prices[[#This Row],[Date]],2),"00")</f>
        <v>2006-46</v>
      </c>
    </row>
    <row r="181" spans="1:15" x14ac:dyDescent="0.35">
      <c r="A181" s="2">
        <v>39034</v>
      </c>
      <c r="B181" s="3">
        <v>85.487883999999994</v>
      </c>
      <c r="C181" s="4">
        <f t="shared" si="8"/>
        <v>-5.0843000000000416E-2</v>
      </c>
      <c r="D181" s="4">
        <f t="shared" si="6"/>
        <v>-5.0441520000000111</v>
      </c>
      <c r="E181" s="3">
        <v>47.1</v>
      </c>
      <c r="F181" s="3">
        <v>17.5</v>
      </c>
      <c r="G181" s="3">
        <v>91.147110999999995</v>
      </c>
      <c r="H181" s="4">
        <f t="shared" si="9"/>
        <v>2.5209000000003812E-2</v>
      </c>
      <c r="I181" s="4">
        <f t="shared" si="7"/>
        <v>-3.7717099999999988</v>
      </c>
      <c r="J181" s="3">
        <v>47.1</v>
      </c>
      <c r="K181" s="3">
        <v>17.5</v>
      </c>
      <c r="L181" s="13">
        <f>YEAR(Weekly_Prices[[#This Row],[Date]])</f>
        <v>2006</v>
      </c>
      <c r="M181" s="13">
        <f>MONTH(Weekly_Prices[[#This Row],[Date]])</f>
        <v>11</v>
      </c>
      <c r="N181" s="3" t="str">
        <f>TEXT(Weekly_Prices[[#This Row],[Date]],"MMMM")</f>
        <v>November</v>
      </c>
      <c r="O181" s="3" t="str">
        <f>YEAR(Weekly_Prices[[#This Row],[Date]])&amp;"-"&amp;TEXT(WEEKNUM(Weekly_Prices[[#This Row],[Date]],2),"00")</f>
        <v>2006-47</v>
      </c>
    </row>
    <row r="182" spans="1:15" x14ac:dyDescent="0.35">
      <c r="A182" s="2">
        <v>39041</v>
      </c>
      <c r="B182" s="3">
        <v>85.454279</v>
      </c>
      <c r="C182" s="4">
        <f t="shared" si="8"/>
        <v>-3.3604999999994334E-2</v>
      </c>
      <c r="D182" s="4">
        <f t="shared" si="6"/>
        <v>-3.1539590000000004</v>
      </c>
      <c r="E182" s="3">
        <v>47.1</v>
      </c>
      <c r="F182" s="3">
        <v>17.5</v>
      </c>
      <c r="G182" s="3">
        <v>91.169994000000017</v>
      </c>
      <c r="H182" s="4">
        <f t="shared" si="9"/>
        <v>2.2883000000021525E-2</v>
      </c>
      <c r="I182" s="4">
        <f t="shared" si="7"/>
        <v>-2.0547469999999777</v>
      </c>
      <c r="J182" s="3">
        <v>47.1</v>
      </c>
      <c r="K182" s="3">
        <v>17.5</v>
      </c>
      <c r="L182" s="13">
        <f>YEAR(Weekly_Prices[[#This Row],[Date]])</f>
        <v>2006</v>
      </c>
      <c r="M182" s="13">
        <f>MONTH(Weekly_Prices[[#This Row],[Date]])</f>
        <v>11</v>
      </c>
      <c r="N182" s="3" t="str">
        <f>TEXT(Weekly_Prices[[#This Row],[Date]],"MMMM")</f>
        <v>November</v>
      </c>
      <c r="O182" s="3" t="str">
        <f>YEAR(Weekly_Prices[[#This Row],[Date]])&amp;"-"&amp;TEXT(WEEKNUM(Weekly_Prices[[#This Row],[Date]],2),"00")</f>
        <v>2006-48</v>
      </c>
    </row>
    <row r="183" spans="1:15" x14ac:dyDescent="0.35">
      <c r="A183" s="2">
        <v>39048</v>
      </c>
      <c r="B183" s="3">
        <v>85.469446000000005</v>
      </c>
      <c r="C183" s="4">
        <f t="shared" si="8"/>
        <v>1.516700000000526E-2</v>
      </c>
      <c r="D183" s="4">
        <f t="shared" ref="D183:D246" si="10">B183-B131</f>
        <v>-1.8775769999999881</v>
      </c>
      <c r="E183" s="3">
        <v>47.1</v>
      </c>
      <c r="F183" s="3">
        <v>17.5</v>
      </c>
      <c r="G183" s="3">
        <v>91.169990000000013</v>
      </c>
      <c r="H183" s="4">
        <f t="shared" si="9"/>
        <v>-4.0000000041118255E-6</v>
      </c>
      <c r="I183" s="4">
        <f t="shared" ref="I183:I246" si="11">G183-G131</f>
        <v>-0.63436799999998073</v>
      </c>
      <c r="J183" s="3">
        <v>47.1</v>
      </c>
      <c r="K183" s="3">
        <v>17.5</v>
      </c>
      <c r="L183" s="13">
        <f>YEAR(Weekly_Prices[[#This Row],[Date]])</f>
        <v>2006</v>
      </c>
      <c r="M183" s="13">
        <f>MONTH(Weekly_Prices[[#This Row],[Date]])</f>
        <v>11</v>
      </c>
      <c r="N183" s="3" t="str">
        <f>TEXT(Weekly_Prices[[#This Row],[Date]],"MMMM")</f>
        <v>November</v>
      </c>
      <c r="O183" s="3" t="str">
        <f>YEAR(Weekly_Prices[[#This Row],[Date]])&amp;"-"&amp;TEXT(WEEKNUM(Weekly_Prices[[#This Row],[Date]],2),"00")</f>
        <v>2006-49</v>
      </c>
    </row>
    <row r="184" spans="1:15" x14ac:dyDescent="0.35">
      <c r="A184" s="2">
        <v>39055</v>
      </c>
      <c r="B184" s="3">
        <v>85.464285714285694</v>
      </c>
      <c r="C184" s="4">
        <f t="shared" si="8"/>
        <v>-5.1602857143109304E-3</v>
      </c>
      <c r="D184" s="4">
        <f t="shared" si="10"/>
        <v>-1.882737285714299</v>
      </c>
      <c r="E184" s="3">
        <v>47.1</v>
      </c>
      <c r="F184" s="3">
        <v>17.5</v>
      </c>
      <c r="G184" s="3">
        <v>91.502345000000005</v>
      </c>
      <c r="H184" s="4">
        <f t="shared" si="9"/>
        <v>0.33235499999999263</v>
      </c>
      <c r="I184" s="4">
        <f t="shared" si="11"/>
        <v>-0.3020129999999881</v>
      </c>
      <c r="J184" s="3">
        <v>47.1</v>
      </c>
      <c r="K184" s="3">
        <v>17.5</v>
      </c>
      <c r="L184" s="13">
        <f>YEAR(Weekly_Prices[[#This Row],[Date]])</f>
        <v>2006</v>
      </c>
      <c r="M184" s="13">
        <f>MONTH(Weekly_Prices[[#This Row],[Date]])</f>
        <v>12</v>
      </c>
      <c r="N184" s="3" t="str">
        <f>TEXT(Weekly_Prices[[#This Row],[Date]],"MMMM")</f>
        <v>December</v>
      </c>
      <c r="O184" s="3" t="str">
        <f>YEAR(Weekly_Prices[[#This Row],[Date]])&amp;"-"&amp;TEXT(WEEKNUM(Weekly_Prices[[#This Row],[Date]],2),"00")</f>
        <v>2006-50</v>
      </c>
    </row>
    <row r="185" spans="1:15" x14ac:dyDescent="0.35">
      <c r="A185" s="2">
        <v>39062</v>
      </c>
      <c r="B185" s="3">
        <v>87.443624999999997</v>
      </c>
      <c r="C185" s="4">
        <f t="shared" si="8"/>
        <v>1.9793392857143033</v>
      </c>
      <c r="D185" s="4">
        <f t="shared" si="10"/>
        <v>0.24115000000000464</v>
      </c>
      <c r="E185" s="3">
        <v>48.35</v>
      </c>
      <c r="F185" s="3">
        <v>17.5</v>
      </c>
      <c r="G185" s="3">
        <v>92.959130999999999</v>
      </c>
      <c r="H185" s="4">
        <f t="shared" si="9"/>
        <v>1.4567859999999939</v>
      </c>
      <c r="I185" s="4">
        <f t="shared" si="11"/>
        <v>1.4832130000000063</v>
      </c>
      <c r="J185" s="3">
        <v>48.35</v>
      </c>
      <c r="K185" s="3">
        <v>17.5</v>
      </c>
      <c r="L185" s="13">
        <f>YEAR(Weekly_Prices[[#This Row],[Date]])</f>
        <v>2006</v>
      </c>
      <c r="M185" s="13">
        <f>MONTH(Weekly_Prices[[#This Row],[Date]])</f>
        <v>12</v>
      </c>
      <c r="N185" s="3" t="str">
        <f>TEXT(Weekly_Prices[[#This Row],[Date]],"MMMM")</f>
        <v>December</v>
      </c>
      <c r="O185" s="3" t="str">
        <f>YEAR(Weekly_Prices[[#This Row],[Date]])&amp;"-"&amp;TEXT(WEEKNUM(Weekly_Prices[[#This Row],[Date]],2),"00")</f>
        <v>2006-51</v>
      </c>
    </row>
    <row r="186" spans="1:15" x14ac:dyDescent="0.35">
      <c r="A186" s="2">
        <v>39069</v>
      </c>
      <c r="B186" s="3">
        <v>87.695621000000003</v>
      </c>
      <c r="C186" s="4">
        <f t="shared" si="8"/>
        <v>0.25199600000000544</v>
      </c>
      <c r="D186" s="4">
        <f t="shared" si="10"/>
        <v>0.1383509999999859</v>
      </c>
      <c r="E186" s="3">
        <v>48.35</v>
      </c>
      <c r="F186" s="3">
        <v>17.5</v>
      </c>
      <c r="G186" s="3">
        <v>93.256807000000009</v>
      </c>
      <c r="H186" s="4">
        <f t="shared" si="9"/>
        <v>0.29767600000000982</v>
      </c>
      <c r="I186" s="4">
        <f t="shared" si="11"/>
        <v>1.427913000000018</v>
      </c>
      <c r="J186" s="3">
        <v>48.35</v>
      </c>
      <c r="K186" s="3">
        <v>17.5</v>
      </c>
      <c r="L186" s="13">
        <f>YEAR(Weekly_Prices[[#This Row],[Date]])</f>
        <v>2006</v>
      </c>
      <c r="M186" s="13">
        <f>MONTH(Weekly_Prices[[#This Row],[Date]])</f>
        <v>12</v>
      </c>
      <c r="N186" s="3" t="str">
        <f>TEXT(Weekly_Prices[[#This Row],[Date]],"MMMM")</f>
        <v>December</v>
      </c>
      <c r="O186" s="3" t="str">
        <f>YEAR(Weekly_Prices[[#This Row],[Date]])&amp;"-"&amp;TEXT(WEEKNUM(Weekly_Prices[[#This Row],[Date]],2),"00")</f>
        <v>2006-52</v>
      </c>
    </row>
    <row r="187" spans="1:15" x14ac:dyDescent="0.35">
      <c r="A187" s="2">
        <v>39076</v>
      </c>
      <c r="B187" s="3">
        <v>87.904437000000001</v>
      </c>
      <c r="C187" s="4">
        <f t="shared" si="8"/>
        <v>0.20881599999999878</v>
      </c>
      <c r="D187" s="4">
        <f t="shared" si="10"/>
        <v>1.9450999999989449E-2</v>
      </c>
      <c r="E187" s="3">
        <v>48.35</v>
      </c>
      <c r="F187" s="3">
        <v>17.5</v>
      </c>
      <c r="G187" s="3">
        <v>93.414743000000001</v>
      </c>
      <c r="H187" s="4">
        <f t="shared" si="9"/>
        <v>0.1579359999999923</v>
      </c>
      <c r="I187" s="4">
        <f t="shared" si="11"/>
        <v>1.2937530000000095</v>
      </c>
      <c r="J187" s="3">
        <v>48.35</v>
      </c>
      <c r="K187" s="3">
        <v>17.5</v>
      </c>
      <c r="L187" s="13">
        <f>YEAR(Weekly_Prices[[#This Row],[Date]])</f>
        <v>2006</v>
      </c>
      <c r="M187" s="13">
        <f>MONTH(Weekly_Prices[[#This Row],[Date]])</f>
        <v>12</v>
      </c>
      <c r="N187" s="3" t="str">
        <f>TEXT(Weekly_Prices[[#This Row],[Date]],"MMMM")</f>
        <v>December</v>
      </c>
      <c r="O187" s="3" t="str">
        <f>YEAR(Weekly_Prices[[#This Row],[Date]])&amp;"-"&amp;TEXT(WEEKNUM(Weekly_Prices[[#This Row],[Date]],2),"00")</f>
        <v>2006-53</v>
      </c>
    </row>
    <row r="188" spans="1:15" x14ac:dyDescent="0.35">
      <c r="A188" s="2">
        <v>39083</v>
      </c>
      <c r="B188" s="3">
        <v>87.85318199999999</v>
      </c>
      <c r="C188" s="4">
        <f t="shared" si="8"/>
        <v>-5.1255000000011819E-2</v>
      </c>
      <c r="D188" s="4">
        <f t="shared" si="10"/>
        <v>-0.18021399999999232</v>
      </c>
      <c r="E188" s="3">
        <v>48.35</v>
      </c>
      <c r="F188" s="3">
        <v>17.5</v>
      </c>
      <c r="G188" s="3">
        <v>93.402175</v>
      </c>
      <c r="H188" s="4">
        <f t="shared" si="9"/>
        <v>-1.2568000000001689E-2</v>
      </c>
      <c r="I188" s="4">
        <f t="shared" si="11"/>
        <v>1.133505999999997</v>
      </c>
      <c r="J188" s="3">
        <v>48.35</v>
      </c>
      <c r="K188" s="3">
        <v>17.5</v>
      </c>
      <c r="L188" s="13">
        <f>YEAR(Weekly_Prices[[#This Row],[Date]])</f>
        <v>2007</v>
      </c>
      <c r="M188" s="13">
        <f>MONTH(Weekly_Prices[[#This Row],[Date]])</f>
        <v>1</v>
      </c>
      <c r="N188" s="3" t="str">
        <f>TEXT(Weekly_Prices[[#This Row],[Date]],"MMMM")</f>
        <v>January</v>
      </c>
      <c r="O188" s="3" t="str">
        <f>YEAR(Weekly_Prices[[#This Row],[Date]])&amp;"-"&amp;TEXT(WEEKNUM(Weekly_Prices[[#This Row],[Date]],2),"00")</f>
        <v>2007-01</v>
      </c>
    </row>
    <row r="189" spans="1:15" x14ac:dyDescent="0.35">
      <c r="A189" s="2">
        <v>39090</v>
      </c>
      <c r="B189" s="3">
        <v>87.660540999999995</v>
      </c>
      <c r="C189" s="4">
        <f t="shared" si="8"/>
        <v>-0.19264099999999473</v>
      </c>
      <c r="D189" s="4">
        <f t="shared" si="10"/>
        <v>-0.89950400000000741</v>
      </c>
      <c r="E189" s="3">
        <v>48.35</v>
      </c>
      <c r="F189" s="3">
        <v>17.5</v>
      </c>
      <c r="G189" s="3">
        <v>93.110996999999983</v>
      </c>
      <c r="H189" s="4">
        <f t="shared" si="9"/>
        <v>-0.29117800000001637</v>
      </c>
      <c r="I189" s="4">
        <f t="shared" si="11"/>
        <v>0.17092599999999436</v>
      </c>
      <c r="J189" s="3">
        <v>48.35</v>
      </c>
      <c r="K189" s="3">
        <v>17.5</v>
      </c>
      <c r="L189" s="13">
        <f>YEAR(Weekly_Prices[[#This Row],[Date]])</f>
        <v>2007</v>
      </c>
      <c r="M189" s="13">
        <f>MONTH(Weekly_Prices[[#This Row],[Date]])</f>
        <v>1</v>
      </c>
      <c r="N189" s="3" t="str">
        <f>TEXT(Weekly_Prices[[#This Row],[Date]],"MMMM")</f>
        <v>January</v>
      </c>
      <c r="O189" s="3" t="str">
        <f>YEAR(Weekly_Prices[[#This Row],[Date]])&amp;"-"&amp;TEXT(WEEKNUM(Weekly_Prices[[#This Row],[Date]],2),"00")</f>
        <v>2007-02</v>
      </c>
    </row>
    <row r="190" spans="1:15" x14ac:dyDescent="0.35">
      <c r="A190" s="2">
        <v>39097</v>
      </c>
      <c r="B190" s="3">
        <v>87.095045999999996</v>
      </c>
      <c r="C190" s="4">
        <f t="shared" si="8"/>
        <v>-0.56549499999999853</v>
      </c>
      <c r="D190" s="4">
        <f t="shared" si="10"/>
        <v>-1.9121340000000089</v>
      </c>
      <c r="E190" s="3">
        <v>48.35</v>
      </c>
      <c r="F190" s="3">
        <v>17.5</v>
      </c>
      <c r="G190" s="3">
        <v>91.553679000000002</v>
      </c>
      <c r="H190" s="4">
        <f t="shared" si="9"/>
        <v>-1.5573179999999809</v>
      </c>
      <c r="I190" s="4">
        <f t="shared" si="11"/>
        <v>-1.6323830000000044</v>
      </c>
      <c r="J190" s="3">
        <v>48.35</v>
      </c>
      <c r="K190" s="3">
        <v>17.5</v>
      </c>
      <c r="L190" s="13">
        <f>YEAR(Weekly_Prices[[#This Row],[Date]])</f>
        <v>2007</v>
      </c>
      <c r="M190" s="13">
        <f>MONTH(Weekly_Prices[[#This Row],[Date]])</f>
        <v>1</v>
      </c>
      <c r="N190" s="3" t="str">
        <f>TEXT(Weekly_Prices[[#This Row],[Date]],"MMMM")</f>
        <v>January</v>
      </c>
      <c r="O190" s="3" t="str">
        <f>YEAR(Weekly_Prices[[#This Row],[Date]])&amp;"-"&amp;TEXT(WEEKNUM(Weekly_Prices[[#This Row],[Date]],2),"00")</f>
        <v>2007-03</v>
      </c>
    </row>
    <row r="191" spans="1:15" x14ac:dyDescent="0.35">
      <c r="A191" s="2">
        <v>39104</v>
      </c>
      <c r="B191" s="3">
        <v>86.278868000000003</v>
      </c>
      <c r="C191" s="4">
        <f t="shared" si="8"/>
        <v>-0.81617799999999363</v>
      </c>
      <c r="D191" s="4">
        <f t="shared" si="10"/>
        <v>-3.2701439999999877</v>
      </c>
      <c r="E191" s="3">
        <v>48.35</v>
      </c>
      <c r="F191" s="3">
        <v>17.5</v>
      </c>
      <c r="G191" s="3">
        <v>90.453727999999998</v>
      </c>
      <c r="H191" s="4">
        <f t="shared" si="9"/>
        <v>-1.0999510000000043</v>
      </c>
      <c r="I191" s="4">
        <f t="shared" si="11"/>
        <v>-3.168998000000002</v>
      </c>
      <c r="J191" s="3">
        <v>48.35</v>
      </c>
      <c r="K191" s="3">
        <v>17.5</v>
      </c>
      <c r="L191" s="13">
        <f>YEAR(Weekly_Prices[[#This Row],[Date]])</f>
        <v>2007</v>
      </c>
      <c r="M191" s="13">
        <f>MONTH(Weekly_Prices[[#This Row],[Date]])</f>
        <v>1</v>
      </c>
      <c r="N191" s="3" t="str">
        <f>TEXT(Weekly_Prices[[#This Row],[Date]],"MMMM")</f>
        <v>January</v>
      </c>
      <c r="O191" s="3" t="str">
        <f>YEAR(Weekly_Prices[[#This Row],[Date]])&amp;"-"&amp;TEXT(WEEKNUM(Weekly_Prices[[#This Row],[Date]],2),"00")</f>
        <v>2007-04</v>
      </c>
    </row>
    <row r="192" spans="1:15" x14ac:dyDescent="0.35">
      <c r="A192" s="2">
        <v>39111</v>
      </c>
      <c r="B192" s="3">
        <v>85.65711499999999</v>
      </c>
      <c r="C192" s="4">
        <f t="shared" si="8"/>
        <v>-0.62175300000001243</v>
      </c>
      <c r="D192" s="4">
        <f t="shared" si="10"/>
        <v>-4.2231570000000147</v>
      </c>
      <c r="E192" s="3">
        <v>48.35</v>
      </c>
      <c r="F192" s="3">
        <v>17.5</v>
      </c>
      <c r="G192" s="3">
        <v>89.69774000000001</v>
      </c>
      <c r="H192" s="4">
        <f t="shared" si="9"/>
        <v>-0.75598799999998789</v>
      </c>
      <c r="I192" s="4">
        <f t="shared" si="11"/>
        <v>-4.2365449999999782</v>
      </c>
      <c r="J192" s="3">
        <v>48.35</v>
      </c>
      <c r="K192" s="3">
        <v>17.5</v>
      </c>
      <c r="L192" s="13">
        <f>YEAR(Weekly_Prices[[#This Row],[Date]])</f>
        <v>2007</v>
      </c>
      <c r="M192" s="13">
        <f>MONTH(Weekly_Prices[[#This Row],[Date]])</f>
        <v>1</v>
      </c>
      <c r="N192" s="3" t="str">
        <f>TEXT(Weekly_Prices[[#This Row],[Date]],"MMMM")</f>
        <v>January</v>
      </c>
      <c r="O192" s="3" t="str">
        <f>YEAR(Weekly_Prices[[#This Row],[Date]])&amp;"-"&amp;TEXT(WEEKNUM(Weekly_Prices[[#This Row],[Date]],2),"00")</f>
        <v>2007-05</v>
      </c>
    </row>
    <row r="193" spans="1:15" x14ac:dyDescent="0.35">
      <c r="A193" s="2">
        <v>39118</v>
      </c>
      <c r="B193" s="3">
        <v>85.618028999999993</v>
      </c>
      <c r="C193" s="4">
        <f t="shared" si="8"/>
        <v>-3.9085999999997512E-2</v>
      </c>
      <c r="D193" s="4">
        <f t="shared" si="10"/>
        <v>-4.1164540000000045</v>
      </c>
      <c r="E193" s="3">
        <v>48.35</v>
      </c>
      <c r="F193" s="3">
        <v>17.5</v>
      </c>
      <c r="G193" s="3">
        <v>89.627096000000009</v>
      </c>
      <c r="H193" s="4">
        <f t="shared" si="9"/>
        <v>-7.0644000000001483E-2</v>
      </c>
      <c r="I193" s="4">
        <f t="shared" si="11"/>
        <v>-4.2250690000000048</v>
      </c>
      <c r="J193" s="3">
        <v>48.35</v>
      </c>
      <c r="K193" s="3">
        <v>17.5</v>
      </c>
      <c r="L193" s="13">
        <f>YEAR(Weekly_Prices[[#This Row],[Date]])</f>
        <v>2007</v>
      </c>
      <c r="M193" s="13">
        <f>MONTH(Weekly_Prices[[#This Row],[Date]])</f>
        <v>2</v>
      </c>
      <c r="N193" s="3" t="str">
        <f>TEXT(Weekly_Prices[[#This Row],[Date]],"MMMM")</f>
        <v>February</v>
      </c>
      <c r="O193" s="3" t="str">
        <f>YEAR(Weekly_Prices[[#This Row],[Date]])&amp;"-"&amp;TEXT(WEEKNUM(Weekly_Prices[[#This Row],[Date]],2),"00")</f>
        <v>2007-06</v>
      </c>
    </row>
    <row r="194" spans="1:15" x14ac:dyDescent="0.35">
      <c r="A194" s="2">
        <v>39125</v>
      </c>
      <c r="B194" s="3">
        <v>86.122646999999986</v>
      </c>
      <c r="C194" s="4">
        <f t="shared" si="8"/>
        <v>0.50461799999999357</v>
      </c>
      <c r="D194" s="4">
        <f t="shared" si="10"/>
        <v>-3.5268030000000152</v>
      </c>
      <c r="E194" s="3">
        <v>48.35</v>
      </c>
      <c r="F194" s="3">
        <v>17.5</v>
      </c>
      <c r="G194" s="3">
        <v>90.109189000000001</v>
      </c>
      <c r="H194" s="4">
        <f t="shared" si="9"/>
        <v>0.48209299999999189</v>
      </c>
      <c r="I194" s="4">
        <f t="shared" si="11"/>
        <v>-3.6649269999999916</v>
      </c>
      <c r="J194" s="3">
        <v>48.35</v>
      </c>
      <c r="K194" s="3">
        <v>17.5</v>
      </c>
      <c r="L194" s="13">
        <f>YEAR(Weekly_Prices[[#This Row],[Date]])</f>
        <v>2007</v>
      </c>
      <c r="M194" s="13">
        <f>MONTH(Weekly_Prices[[#This Row],[Date]])</f>
        <v>2</v>
      </c>
      <c r="N194" s="3" t="str">
        <f>TEXT(Weekly_Prices[[#This Row],[Date]],"MMMM")</f>
        <v>February</v>
      </c>
      <c r="O194" s="3" t="str">
        <f>YEAR(Weekly_Prices[[#This Row],[Date]])&amp;"-"&amp;TEXT(WEEKNUM(Weekly_Prices[[#This Row],[Date]],2),"00")</f>
        <v>2007-07</v>
      </c>
    </row>
    <row r="195" spans="1:15" x14ac:dyDescent="0.35">
      <c r="A195" s="2">
        <v>39132</v>
      </c>
      <c r="B195" s="3">
        <v>86.599115999999995</v>
      </c>
      <c r="C195" s="4">
        <f t="shared" ref="C195:C258" si="12">B195-B194</f>
        <v>0.47646900000000869</v>
      </c>
      <c r="D195" s="4">
        <f t="shared" si="10"/>
        <v>-2.9972329999999943</v>
      </c>
      <c r="E195" s="3">
        <v>48.35</v>
      </c>
      <c r="F195" s="3">
        <v>17.5</v>
      </c>
      <c r="G195" s="3">
        <v>90.549378000000019</v>
      </c>
      <c r="H195" s="4">
        <f t="shared" ref="H195:H258" si="13">G195-G194</f>
        <v>0.44018900000001793</v>
      </c>
      <c r="I195" s="4">
        <f t="shared" si="11"/>
        <v>-3.2039659999999941</v>
      </c>
      <c r="J195" s="3">
        <v>48.35</v>
      </c>
      <c r="K195" s="3">
        <v>17.5</v>
      </c>
      <c r="L195" s="13">
        <f>YEAR(Weekly_Prices[[#This Row],[Date]])</f>
        <v>2007</v>
      </c>
      <c r="M195" s="13">
        <f>MONTH(Weekly_Prices[[#This Row],[Date]])</f>
        <v>2</v>
      </c>
      <c r="N195" s="3" t="str">
        <f>TEXT(Weekly_Prices[[#This Row],[Date]],"MMMM")</f>
        <v>February</v>
      </c>
      <c r="O195" s="3" t="str">
        <f>YEAR(Weekly_Prices[[#This Row],[Date]])&amp;"-"&amp;TEXT(WEEKNUM(Weekly_Prices[[#This Row],[Date]],2),"00")</f>
        <v>2007-08</v>
      </c>
    </row>
    <row r="196" spans="1:15" x14ac:dyDescent="0.35">
      <c r="A196" s="2">
        <v>39139</v>
      </c>
      <c r="B196" s="3">
        <v>87.066451000000001</v>
      </c>
      <c r="C196" s="4">
        <f t="shared" si="12"/>
        <v>0.46733500000000561</v>
      </c>
      <c r="D196" s="4">
        <f t="shared" si="10"/>
        <v>-2.4405880000000053</v>
      </c>
      <c r="E196" s="3">
        <v>48.35</v>
      </c>
      <c r="F196" s="3">
        <v>17.5</v>
      </c>
      <c r="G196" s="3">
        <v>91.023191000000025</v>
      </c>
      <c r="H196" s="4">
        <f t="shared" si="13"/>
        <v>0.47381300000000692</v>
      </c>
      <c r="I196" s="4">
        <f t="shared" si="11"/>
        <v>-2.6618289999999831</v>
      </c>
      <c r="J196" s="3">
        <v>48.35</v>
      </c>
      <c r="K196" s="3">
        <v>17.5</v>
      </c>
      <c r="L196" s="13">
        <f>YEAR(Weekly_Prices[[#This Row],[Date]])</f>
        <v>2007</v>
      </c>
      <c r="M196" s="13">
        <f>MONTH(Weekly_Prices[[#This Row],[Date]])</f>
        <v>2</v>
      </c>
      <c r="N196" s="3" t="str">
        <f>TEXT(Weekly_Prices[[#This Row],[Date]],"MMMM")</f>
        <v>February</v>
      </c>
      <c r="O196" s="3" t="str">
        <f>YEAR(Weekly_Prices[[#This Row],[Date]])&amp;"-"&amp;TEXT(WEEKNUM(Weekly_Prices[[#This Row],[Date]],2),"00")</f>
        <v>2007-09</v>
      </c>
    </row>
    <row r="197" spans="1:15" x14ac:dyDescent="0.35">
      <c r="A197" s="2">
        <v>39146</v>
      </c>
      <c r="B197" s="3">
        <v>87.74497199999999</v>
      </c>
      <c r="C197" s="4">
        <f t="shared" si="12"/>
        <v>0.67852099999998927</v>
      </c>
      <c r="D197" s="4">
        <f t="shared" si="10"/>
        <v>-1.6241660000000024</v>
      </c>
      <c r="E197" s="3">
        <v>48.35</v>
      </c>
      <c r="F197" s="3">
        <v>17.5</v>
      </c>
      <c r="G197" s="3">
        <v>91.592096999999995</v>
      </c>
      <c r="H197" s="4">
        <f t="shared" si="13"/>
        <v>0.56890599999996994</v>
      </c>
      <c r="I197" s="4">
        <f t="shared" si="11"/>
        <v>-2.0349820000000136</v>
      </c>
      <c r="J197" s="3">
        <v>48.35</v>
      </c>
      <c r="K197" s="3">
        <v>17.5</v>
      </c>
      <c r="L197" s="13">
        <f>YEAR(Weekly_Prices[[#This Row],[Date]])</f>
        <v>2007</v>
      </c>
      <c r="M197" s="13">
        <f>MONTH(Weekly_Prices[[#This Row],[Date]])</f>
        <v>3</v>
      </c>
      <c r="N197" s="3" t="str">
        <f>TEXT(Weekly_Prices[[#This Row],[Date]],"MMMM")</f>
        <v>March</v>
      </c>
      <c r="O197" s="3" t="str">
        <f>YEAR(Weekly_Prices[[#This Row],[Date]])&amp;"-"&amp;TEXT(WEEKNUM(Weekly_Prices[[#This Row],[Date]],2),"00")</f>
        <v>2007-10</v>
      </c>
    </row>
    <row r="198" spans="1:15" x14ac:dyDescent="0.35">
      <c r="A198" s="2">
        <v>39153</v>
      </c>
      <c r="B198" s="3">
        <v>88.479731999999998</v>
      </c>
      <c r="C198" s="4">
        <f t="shared" si="12"/>
        <v>0.73476000000000852</v>
      </c>
      <c r="D198" s="4">
        <f t="shared" si="10"/>
        <v>-1.0748159999999842</v>
      </c>
      <c r="E198" s="3">
        <v>48.35</v>
      </c>
      <c r="F198" s="3">
        <v>17.5</v>
      </c>
      <c r="G198" s="3">
        <v>92.167052000000012</v>
      </c>
      <c r="H198" s="4">
        <f t="shared" si="13"/>
        <v>0.57495500000001698</v>
      </c>
      <c r="I198" s="4">
        <f t="shared" si="11"/>
        <v>-1.6856089999999995</v>
      </c>
      <c r="J198" s="3">
        <v>48.35</v>
      </c>
      <c r="K198" s="3">
        <v>17.5</v>
      </c>
      <c r="L198" s="13">
        <f>YEAR(Weekly_Prices[[#This Row],[Date]])</f>
        <v>2007</v>
      </c>
      <c r="M198" s="13">
        <f>MONTH(Weekly_Prices[[#This Row],[Date]])</f>
        <v>3</v>
      </c>
      <c r="N198" s="3" t="str">
        <f>TEXT(Weekly_Prices[[#This Row],[Date]],"MMMM")</f>
        <v>March</v>
      </c>
      <c r="O198" s="3" t="str">
        <f>YEAR(Weekly_Prices[[#This Row],[Date]])&amp;"-"&amp;TEXT(WEEKNUM(Weekly_Prices[[#This Row],[Date]],2),"00")</f>
        <v>2007-11</v>
      </c>
    </row>
    <row r="199" spans="1:15" x14ac:dyDescent="0.35">
      <c r="A199" s="2">
        <v>39160</v>
      </c>
      <c r="B199" s="3">
        <v>88.934463000000008</v>
      </c>
      <c r="C199" s="4">
        <f t="shared" si="12"/>
        <v>0.45473100000000954</v>
      </c>
      <c r="D199" s="4">
        <f t="shared" si="10"/>
        <v>-1.2573869999999943</v>
      </c>
      <c r="E199" s="3">
        <v>48.35</v>
      </c>
      <c r="F199" s="3">
        <v>17.5</v>
      </c>
      <c r="G199" s="3">
        <v>92.605579999999989</v>
      </c>
      <c r="H199" s="4">
        <f t="shared" si="13"/>
        <v>0.43852799999997671</v>
      </c>
      <c r="I199" s="4">
        <f t="shared" si="11"/>
        <v>-1.8159530000000217</v>
      </c>
      <c r="J199" s="3">
        <v>48.35</v>
      </c>
      <c r="K199" s="3">
        <v>17.5</v>
      </c>
      <c r="L199" s="13">
        <f>YEAR(Weekly_Prices[[#This Row],[Date]])</f>
        <v>2007</v>
      </c>
      <c r="M199" s="13">
        <f>MONTH(Weekly_Prices[[#This Row],[Date]])</f>
        <v>3</v>
      </c>
      <c r="N199" s="3" t="str">
        <f>TEXT(Weekly_Prices[[#This Row],[Date]],"MMMM")</f>
        <v>March</v>
      </c>
      <c r="O199" s="3" t="str">
        <f>YEAR(Weekly_Prices[[#This Row],[Date]])&amp;"-"&amp;TEXT(WEEKNUM(Weekly_Prices[[#This Row],[Date]],2),"00")</f>
        <v>2007-12</v>
      </c>
    </row>
    <row r="200" spans="1:15" x14ac:dyDescent="0.35">
      <c r="A200" s="2">
        <v>39167</v>
      </c>
      <c r="B200" s="3">
        <v>89.319930999999997</v>
      </c>
      <c r="C200" s="4">
        <f t="shared" si="12"/>
        <v>0.38546799999998882</v>
      </c>
      <c r="D200" s="4">
        <f t="shared" si="10"/>
        <v>-1.841497571428576</v>
      </c>
      <c r="E200" s="3">
        <v>48.35</v>
      </c>
      <c r="F200" s="3">
        <v>17.5</v>
      </c>
      <c r="G200" s="3">
        <v>92.911861999999999</v>
      </c>
      <c r="H200" s="4">
        <f t="shared" si="13"/>
        <v>0.30628200000001016</v>
      </c>
      <c r="I200" s="4">
        <f t="shared" si="11"/>
        <v>-2.0386080000000248</v>
      </c>
      <c r="J200" s="3">
        <v>48.35</v>
      </c>
      <c r="K200" s="3">
        <v>17.5</v>
      </c>
      <c r="L200" s="13">
        <f>YEAR(Weekly_Prices[[#This Row],[Date]])</f>
        <v>2007</v>
      </c>
      <c r="M200" s="13">
        <f>MONTH(Weekly_Prices[[#This Row],[Date]])</f>
        <v>3</v>
      </c>
      <c r="N200" s="3" t="str">
        <f>TEXT(Weekly_Prices[[#This Row],[Date]],"MMMM")</f>
        <v>March</v>
      </c>
      <c r="O200" s="3" t="str">
        <f>YEAR(Weekly_Prices[[#This Row],[Date]])&amp;"-"&amp;TEXT(WEEKNUM(Weekly_Prices[[#This Row],[Date]],2),"00")</f>
        <v>2007-13</v>
      </c>
    </row>
    <row r="201" spans="1:15" x14ac:dyDescent="0.35">
      <c r="A201" s="2">
        <v>39174</v>
      </c>
      <c r="B201" s="3">
        <v>90.471061000000006</v>
      </c>
      <c r="C201" s="4">
        <f t="shared" si="12"/>
        <v>1.1511300000000091</v>
      </c>
      <c r="D201" s="4">
        <f t="shared" si="10"/>
        <v>-1.3130089999999939</v>
      </c>
      <c r="E201" s="3">
        <v>48.35</v>
      </c>
      <c r="F201" s="3">
        <v>17.5</v>
      </c>
      <c r="G201" s="3">
        <v>93.903604999999985</v>
      </c>
      <c r="H201" s="4">
        <f t="shared" si="13"/>
        <v>0.99174299999998539</v>
      </c>
      <c r="I201" s="4">
        <f t="shared" si="11"/>
        <v>-1.7366829999999993</v>
      </c>
      <c r="J201" s="3">
        <v>48.35</v>
      </c>
      <c r="K201" s="3">
        <v>17.5</v>
      </c>
      <c r="L201" s="13">
        <f>YEAR(Weekly_Prices[[#This Row],[Date]])</f>
        <v>2007</v>
      </c>
      <c r="M201" s="13">
        <f>MONTH(Weekly_Prices[[#This Row],[Date]])</f>
        <v>4</v>
      </c>
      <c r="N201" s="3" t="str">
        <f>TEXT(Weekly_Prices[[#This Row],[Date]],"MMMM")</f>
        <v>April</v>
      </c>
      <c r="O201" s="3" t="str">
        <f>YEAR(Weekly_Prices[[#This Row],[Date]])&amp;"-"&amp;TEXT(WEEKNUM(Weekly_Prices[[#This Row],[Date]],2),"00")</f>
        <v>2007-14</v>
      </c>
    </row>
    <row r="202" spans="1:15" x14ac:dyDescent="0.35">
      <c r="A202" s="2">
        <v>39182</v>
      </c>
      <c r="B202" s="3">
        <v>91.176439999999999</v>
      </c>
      <c r="C202" s="4">
        <f t="shared" si="12"/>
        <v>0.70537899999999354</v>
      </c>
      <c r="D202" s="4">
        <f t="shared" si="10"/>
        <v>-1.5938230000000004</v>
      </c>
      <c r="E202" s="3">
        <v>48.35</v>
      </c>
      <c r="F202" s="3">
        <v>17.5</v>
      </c>
      <c r="G202" s="3">
        <v>94.334735999999992</v>
      </c>
      <c r="H202" s="4">
        <f t="shared" si="13"/>
        <v>0.4311310000000077</v>
      </c>
      <c r="I202" s="4">
        <f t="shared" si="11"/>
        <v>-2.0653430000000128</v>
      </c>
      <c r="J202" s="3">
        <v>48.35</v>
      </c>
      <c r="K202" s="3">
        <v>17.5</v>
      </c>
      <c r="L202" s="13">
        <f>YEAR(Weekly_Prices[[#This Row],[Date]])</f>
        <v>2007</v>
      </c>
      <c r="M202" s="13">
        <f>MONTH(Weekly_Prices[[#This Row],[Date]])</f>
        <v>4</v>
      </c>
      <c r="N202" s="3" t="str">
        <f>TEXT(Weekly_Prices[[#This Row],[Date]],"MMMM")</f>
        <v>April</v>
      </c>
      <c r="O202" s="3" t="str">
        <f>YEAR(Weekly_Prices[[#This Row],[Date]])&amp;"-"&amp;TEXT(WEEKNUM(Weekly_Prices[[#This Row],[Date]],2),"00")</f>
        <v>2007-15</v>
      </c>
    </row>
    <row r="203" spans="1:15" x14ac:dyDescent="0.35">
      <c r="A203" s="2">
        <v>39188</v>
      </c>
      <c r="B203" s="3">
        <v>91.994012000000012</v>
      </c>
      <c r="C203" s="4">
        <f t="shared" si="12"/>
        <v>0.81757200000001262</v>
      </c>
      <c r="D203" s="4">
        <f t="shared" si="10"/>
        <v>-2.2359499999999883</v>
      </c>
      <c r="E203" s="3">
        <v>48.35</v>
      </c>
      <c r="F203" s="3">
        <v>17.5</v>
      </c>
      <c r="G203" s="3">
        <v>94.855547000000001</v>
      </c>
      <c r="H203" s="4">
        <f t="shared" si="13"/>
        <v>0.52081100000000902</v>
      </c>
      <c r="I203" s="4">
        <f t="shared" si="11"/>
        <v>-2.7868649999999917</v>
      </c>
      <c r="J203" s="3">
        <v>48.35</v>
      </c>
      <c r="K203" s="3">
        <v>17.5</v>
      </c>
      <c r="L203" s="13">
        <f>YEAR(Weekly_Prices[[#This Row],[Date]])</f>
        <v>2007</v>
      </c>
      <c r="M203" s="13">
        <f>MONTH(Weekly_Prices[[#This Row],[Date]])</f>
        <v>4</v>
      </c>
      <c r="N203" s="3" t="str">
        <f>TEXT(Weekly_Prices[[#This Row],[Date]],"MMMM")</f>
        <v>April</v>
      </c>
      <c r="O203" s="3" t="str">
        <f>YEAR(Weekly_Prices[[#This Row],[Date]])&amp;"-"&amp;TEXT(WEEKNUM(Weekly_Prices[[#This Row],[Date]],2),"00")</f>
        <v>2007-16</v>
      </c>
    </row>
    <row r="204" spans="1:15" x14ac:dyDescent="0.35">
      <c r="A204" s="2">
        <v>39195</v>
      </c>
      <c r="B204" s="3">
        <v>92.933350000000004</v>
      </c>
      <c r="C204" s="4">
        <f t="shared" si="12"/>
        <v>0.93933799999999223</v>
      </c>
      <c r="D204" s="4">
        <f t="shared" si="10"/>
        <v>-2.4183220000000034</v>
      </c>
      <c r="E204" s="3">
        <v>48.35</v>
      </c>
      <c r="F204" s="3">
        <v>17.5</v>
      </c>
      <c r="G204" s="3">
        <v>95.389550999999997</v>
      </c>
      <c r="H204" s="4">
        <f t="shared" si="13"/>
        <v>0.53400399999999593</v>
      </c>
      <c r="I204" s="4">
        <f t="shared" si="11"/>
        <v>-3.1106539999999967</v>
      </c>
      <c r="J204" s="3">
        <v>48.35</v>
      </c>
      <c r="K204" s="3">
        <v>17.5</v>
      </c>
      <c r="L204" s="13">
        <f>YEAR(Weekly_Prices[[#This Row],[Date]])</f>
        <v>2007</v>
      </c>
      <c r="M204" s="13">
        <f>MONTH(Weekly_Prices[[#This Row],[Date]])</f>
        <v>4</v>
      </c>
      <c r="N204" s="3" t="str">
        <f>TEXT(Weekly_Prices[[#This Row],[Date]],"MMMM")</f>
        <v>April</v>
      </c>
      <c r="O204" s="3" t="str">
        <f>YEAR(Weekly_Prices[[#This Row],[Date]])&amp;"-"&amp;TEXT(WEEKNUM(Weekly_Prices[[#This Row],[Date]],2),"00")</f>
        <v>2007-17</v>
      </c>
    </row>
    <row r="205" spans="1:15" x14ac:dyDescent="0.35">
      <c r="A205" s="2">
        <v>39202</v>
      </c>
      <c r="B205" s="3">
        <v>93.453507999999985</v>
      </c>
      <c r="C205" s="4">
        <f t="shared" si="12"/>
        <v>0.5201579999999808</v>
      </c>
      <c r="D205" s="4">
        <f t="shared" si="10"/>
        <v>-2.6779400000000066</v>
      </c>
      <c r="E205" s="3">
        <v>48.35</v>
      </c>
      <c r="F205" s="3">
        <v>17.5</v>
      </c>
      <c r="G205" s="3">
        <v>95.714405999999997</v>
      </c>
      <c r="H205" s="4">
        <f t="shared" si="13"/>
        <v>0.32485499999999945</v>
      </c>
      <c r="I205" s="4">
        <f t="shared" si="11"/>
        <v>-3.1858660000000043</v>
      </c>
      <c r="J205" s="3">
        <v>48.35</v>
      </c>
      <c r="K205" s="3">
        <v>17.5</v>
      </c>
      <c r="L205" s="13">
        <f>YEAR(Weekly_Prices[[#This Row],[Date]])</f>
        <v>2007</v>
      </c>
      <c r="M205" s="13">
        <f>MONTH(Weekly_Prices[[#This Row],[Date]])</f>
        <v>4</v>
      </c>
      <c r="N205" s="3" t="str">
        <f>TEXT(Weekly_Prices[[#This Row],[Date]],"MMMM")</f>
        <v>April</v>
      </c>
      <c r="O205" s="3" t="str">
        <f>YEAR(Weekly_Prices[[#This Row],[Date]])&amp;"-"&amp;TEXT(WEEKNUM(Weekly_Prices[[#This Row],[Date]],2),"00")</f>
        <v>2007-18</v>
      </c>
    </row>
    <row r="206" spans="1:15" x14ac:dyDescent="0.35">
      <c r="A206" s="2">
        <v>39209</v>
      </c>
      <c r="B206" s="3">
        <v>94.426373999999981</v>
      </c>
      <c r="C206" s="4">
        <f t="shared" si="12"/>
        <v>0.97286599999999623</v>
      </c>
      <c r="D206" s="4">
        <f t="shared" si="10"/>
        <v>-2.034567000000024</v>
      </c>
      <c r="E206" s="3">
        <v>48.35</v>
      </c>
      <c r="F206" s="3">
        <v>17.5</v>
      </c>
      <c r="G206" s="3">
        <v>96.118266000000006</v>
      </c>
      <c r="H206" s="4">
        <f t="shared" si="13"/>
        <v>0.40386000000000877</v>
      </c>
      <c r="I206" s="4">
        <f t="shared" si="11"/>
        <v>-2.7843019999999967</v>
      </c>
      <c r="J206" s="3">
        <v>48.35</v>
      </c>
      <c r="K206" s="3">
        <v>17.5</v>
      </c>
      <c r="L206" s="13">
        <f>YEAR(Weekly_Prices[[#This Row],[Date]])</f>
        <v>2007</v>
      </c>
      <c r="M206" s="13">
        <f>MONTH(Weekly_Prices[[#This Row],[Date]])</f>
        <v>5</v>
      </c>
      <c r="N206" s="3" t="str">
        <f>TEXT(Weekly_Prices[[#This Row],[Date]],"MMMM")</f>
        <v>May</v>
      </c>
      <c r="O206" s="3" t="str">
        <f>YEAR(Weekly_Prices[[#This Row],[Date]])&amp;"-"&amp;TEXT(WEEKNUM(Weekly_Prices[[#This Row],[Date]],2),"00")</f>
        <v>2007-19</v>
      </c>
    </row>
    <row r="207" spans="1:15" x14ac:dyDescent="0.35">
      <c r="A207" s="2">
        <v>39216</v>
      </c>
      <c r="B207" s="3">
        <v>95.071353999999999</v>
      </c>
      <c r="C207" s="4">
        <f t="shared" si="12"/>
        <v>0.64498000000001809</v>
      </c>
      <c r="D207" s="4">
        <f t="shared" si="10"/>
        <v>-1.3201230000000095</v>
      </c>
      <c r="E207" s="3">
        <v>48.35</v>
      </c>
      <c r="F207" s="3">
        <v>17.5</v>
      </c>
      <c r="G207" s="3">
        <v>96.467446999999993</v>
      </c>
      <c r="H207" s="4">
        <f t="shared" si="13"/>
        <v>0.34918099999998731</v>
      </c>
      <c r="I207" s="4">
        <f t="shared" si="11"/>
        <v>-2.2770080000000092</v>
      </c>
      <c r="J207" s="3">
        <v>48.35</v>
      </c>
      <c r="K207" s="3">
        <v>17.5</v>
      </c>
      <c r="L207" s="13">
        <f>YEAR(Weekly_Prices[[#This Row],[Date]])</f>
        <v>2007</v>
      </c>
      <c r="M207" s="13">
        <f>MONTH(Weekly_Prices[[#This Row],[Date]])</f>
        <v>5</v>
      </c>
      <c r="N207" s="3" t="str">
        <f>TEXT(Weekly_Prices[[#This Row],[Date]],"MMMM")</f>
        <v>May</v>
      </c>
      <c r="O207" s="3" t="str">
        <f>YEAR(Weekly_Prices[[#This Row],[Date]])&amp;"-"&amp;TEXT(WEEKNUM(Weekly_Prices[[#This Row],[Date]],2),"00")</f>
        <v>2007-20</v>
      </c>
    </row>
    <row r="208" spans="1:15" x14ac:dyDescent="0.35">
      <c r="A208" s="2">
        <v>39223</v>
      </c>
      <c r="B208" s="3">
        <v>95.705787000000001</v>
      </c>
      <c r="C208" s="4">
        <f t="shared" si="12"/>
        <v>0.63443300000000136</v>
      </c>
      <c r="D208" s="4">
        <f t="shared" si="10"/>
        <v>-0.39332799999999679</v>
      </c>
      <c r="E208" s="3">
        <v>48.35</v>
      </c>
      <c r="F208" s="3">
        <v>17.5</v>
      </c>
      <c r="G208" s="3">
        <v>96.688691999999989</v>
      </c>
      <c r="H208" s="4">
        <f t="shared" si="13"/>
        <v>0.22124499999999614</v>
      </c>
      <c r="I208" s="4">
        <f t="shared" si="11"/>
        <v>-1.8084940000000103</v>
      </c>
      <c r="J208" s="3">
        <v>48.35</v>
      </c>
      <c r="K208" s="3">
        <v>17.5</v>
      </c>
      <c r="L208" s="13">
        <f>YEAR(Weekly_Prices[[#This Row],[Date]])</f>
        <v>2007</v>
      </c>
      <c r="M208" s="13">
        <f>MONTH(Weekly_Prices[[#This Row],[Date]])</f>
        <v>5</v>
      </c>
      <c r="N208" s="3" t="str">
        <f>TEXT(Weekly_Prices[[#This Row],[Date]],"MMMM")</f>
        <v>May</v>
      </c>
      <c r="O208" s="3" t="str">
        <f>YEAR(Weekly_Prices[[#This Row],[Date]])&amp;"-"&amp;TEXT(WEEKNUM(Weekly_Prices[[#This Row],[Date]],2),"00")</f>
        <v>2007-21</v>
      </c>
    </row>
    <row r="209" spans="1:15" x14ac:dyDescent="0.35">
      <c r="A209" s="2">
        <v>39230</v>
      </c>
      <c r="B209" s="3">
        <v>96.162215999999987</v>
      </c>
      <c r="C209" s="4">
        <f t="shared" si="12"/>
        <v>0.45642899999998576</v>
      </c>
      <c r="D209" s="4">
        <f t="shared" si="10"/>
        <v>0.79767499999999814</v>
      </c>
      <c r="E209" s="3">
        <v>48.35</v>
      </c>
      <c r="F209" s="3">
        <v>17.5</v>
      </c>
      <c r="G209" s="3">
        <v>96.990185000000011</v>
      </c>
      <c r="H209" s="4">
        <f t="shared" si="13"/>
        <v>0.30149300000002199</v>
      </c>
      <c r="I209" s="4">
        <f t="shared" si="11"/>
        <v>-0.7027829999999966</v>
      </c>
      <c r="J209" s="3">
        <v>48.35</v>
      </c>
      <c r="K209" s="3">
        <v>17.5</v>
      </c>
      <c r="L209" s="13">
        <f>YEAR(Weekly_Prices[[#This Row],[Date]])</f>
        <v>2007</v>
      </c>
      <c r="M209" s="13">
        <f>MONTH(Weekly_Prices[[#This Row],[Date]])</f>
        <v>5</v>
      </c>
      <c r="N209" s="3" t="str">
        <f>TEXT(Weekly_Prices[[#This Row],[Date]],"MMMM")</f>
        <v>May</v>
      </c>
      <c r="O209" s="3" t="str">
        <f>YEAR(Weekly_Prices[[#This Row],[Date]])&amp;"-"&amp;TEXT(WEEKNUM(Weekly_Prices[[#This Row],[Date]],2),"00")</f>
        <v>2007-22</v>
      </c>
    </row>
    <row r="210" spans="1:15" x14ac:dyDescent="0.35">
      <c r="A210" s="2">
        <v>39237</v>
      </c>
      <c r="B210" s="3">
        <v>96.512986999999995</v>
      </c>
      <c r="C210" s="4">
        <f t="shared" si="12"/>
        <v>0.35077100000000883</v>
      </c>
      <c r="D210" s="4">
        <f t="shared" si="10"/>
        <v>1.2759630000000044</v>
      </c>
      <c r="E210" s="3">
        <v>48.35</v>
      </c>
      <c r="F210" s="3">
        <v>17.5</v>
      </c>
      <c r="G210" s="3">
        <v>97.191477999999989</v>
      </c>
      <c r="H210" s="4">
        <f t="shared" si="13"/>
        <v>0.20129299999997841</v>
      </c>
      <c r="I210" s="4">
        <f t="shared" si="11"/>
        <v>-0.36349900000000446</v>
      </c>
      <c r="J210" s="3">
        <v>48.35</v>
      </c>
      <c r="K210" s="3">
        <v>17.5</v>
      </c>
      <c r="L210" s="13">
        <f>YEAR(Weekly_Prices[[#This Row],[Date]])</f>
        <v>2007</v>
      </c>
      <c r="M210" s="13">
        <f>MONTH(Weekly_Prices[[#This Row],[Date]])</f>
        <v>6</v>
      </c>
      <c r="N210" s="3" t="str">
        <f>TEXT(Weekly_Prices[[#This Row],[Date]],"MMMM")</f>
        <v>June</v>
      </c>
      <c r="O210" s="3" t="str">
        <f>YEAR(Weekly_Prices[[#This Row],[Date]])&amp;"-"&amp;TEXT(WEEKNUM(Weekly_Prices[[#This Row],[Date]],2),"00")</f>
        <v>2007-23</v>
      </c>
    </row>
    <row r="211" spans="1:15" x14ac:dyDescent="0.35">
      <c r="A211" s="2">
        <v>39244</v>
      </c>
      <c r="B211" s="3">
        <v>96.613450999999998</v>
      </c>
      <c r="C211" s="4">
        <f t="shared" si="12"/>
        <v>0.10046400000000233</v>
      </c>
      <c r="D211" s="4">
        <f t="shared" si="10"/>
        <v>1.1186000000000007</v>
      </c>
      <c r="E211" s="3">
        <v>48.35</v>
      </c>
      <c r="F211" s="3">
        <v>17.5</v>
      </c>
      <c r="G211" s="3">
        <v>97.199683000000007</v>
      </c>
      <c r="H211" s="4">
        <f t="shared" si="13"/>
        <v>8.2050000000180034E-3</v>
      </c>
      <c r="I211" s="4">
        <f t="shared" si="11"/>
        <v>-0.55235399999999402</v>
      </c>
      <c r="J211" s="3">
        <v>48.35</v>
      </c>
      <c r="K211" s="3">
        <v>17.5</v>
      </c>
      <c r="L211" s="13">
        <f>YEAR(Weekly_Prices[[#This Row],[Date]])</f>
        <v>2007</v>
      </c>
      <c r="M211" s="13">
        <f>MONTH(Weekly_Prices[[#This Row],[Date]])</f>
        <v>6</v>
      </c>
      <c r="N211" s="3" t="str">
        <f>TEXT(Weekly_Prices[[#This Row],[Date]],"MMMM")</f>
        <v>June</v>
      </c>
      <c r="O211" s="3" t="str">
        <f>YEAR(Weekly_Prices[[#This Row],[Date]])&amp;"-"&amp;TEXT(WEEKNUM(Weekly_Prices[[#This Row],[Date]],2),"00")</f>
        <v>2007-24</v>
      </c>
    </row>
    <row r="212" spans="1:15" x14ac:dyDescent="0.35">
      <c r="A212" s="2">
        <v>39251</v>
      </c>
      <c r="B212" s="3">
        <v>96.559406999999993</v>
      </c>
      <c r="C212" s="4">
        <f t="shared" si="12"/>
        <v>-5.4044000000004644E-2</v>
      </c>
      <c r="D212" s="4">
        <f t="shared" si="10"/>
        <v>1.1169299999999822</v>
      </c>
      <c r="E212" s="3">
        <v>48.35</v>
      </c>
      <c r="F212" s="3">
        <v>17.5</v>
      </c>
      <c r="G212" s="3">
        <v>97.112813000000003</v>
      </c>
      <c r="H212" s="4">
        <f t="shared" si="13"/>
        <v>-8.6870000000004666E-2</v>
      </c>
      <c r="I212" s="4">
        <f t="shared" si="11"/>
        <v>-0.6530169999999913</v>
      </c>
      <c r="J212" s="3">
        <v>48.35</v>
      </c>
      <c r="K212" s="3">
        <v>17.5</v>
      </c>
      <c r="L212" s="13">
        <f>YEAR(Weekly_Prices[[#This Row],[Date]])</f>
        <v>2007</v>
      </c>
      <c r="M212" s="13">
        <f>MONTH(Weekly_Prices[[#This Row],[Date]])</f>
        <v>6</v>
      </c>
      <c r="N212" s="3" t="str">
        <f>TEXT(Weekly_Prices[[#This Row],[Date]],"MMMM")</f>
        <v>June</v>
      </c>
      <c r="O212" s="3" t="str">
        <f>YEAR(Weekly_Prices[[#This Row],[Date]])&amp;"-"&amp;TEXT(WEEKNUM(Weekly_Prices[[#This Row],[Date]],2),"00")</f>
        <v>2007-25</v>
      </c>
    </row>
    <row r="213" spans="1:15" x14ac:dyDescent="0.35">
      <c r="A213" s="2">
        <v>39258</v>
      </c>
      <c r="B213" s="3">
        <v>96.542167000000006</v>
      </c>
      <c r="C213" s="4">
        <f t="shared" si="12"/>
        <v>-1.7239999999986821E-2</v>
      </c>
      <c r="D213" s="4">
        <f t="shared" si="10"/>
        <v>1.5703390000000184</v>
      </c>
      <c r="E213" s="3">
        <v>48.35</v>
      </c>
      <c r="F213" s="3">
        <v>17.5</v>
      </c>
      <c r="G213" s="3">
        <v>97.123016000000007</v>
      </c>
      <c r="H213" s="4">
        <f t="shared" si="13"/>
        <v>1.0203000000004181E-2</v>
      </c>
      <c r="I213" s="4">
        <f t="shared" si="11"/>
        <v>-0.24083199999999749</v>
      </c>
      <c r="J213" s="3">
        <v>48.35</v>
      </c>
      <c r="K213" s="3">
        <v>17.5</v>
      </c>
      <c r="L213" s="13">
        <f>YEAR(Weekly_Prices[[#This Row],[Date]])</f>
        <v>2007</v>
      </c>
      <c r="M213" s="13">
        <f>MONTH(Weekly_Prices[[#This Row],[Date]])</f>
        <v>6</v>
      </c>
      <c r="N213" s="3" t="str">
        <f>TEXT(Weekly_Prices[[#This Row],[Date]],"MMMM")</f>
        <v>June</v>
      </c>
      <c r="O213" s="3" t="str">
        <f>YEAR(Weekly_Prices[[#This Row],[Date]])&amp;"-"&amp;TEXT(WEEKNUM(Weekly_Prices[[#This Row],[Date]],2),"00")</f>
        <v>2007-26</v>
      </c>
    </row>
    <row r="214" spans="1:15" x14ac:dyDescent="0.35">
      <c r="A214" s="2">
        <v>39265</v>
      </c>
      <c r="B214" s="3">
        <v>96.358249999999998</v>
      </c>
      <c r="C214" s="4">
        <f t="shared" si="12"/>
        <v>-0.1839170000000081</v>
      </c>
      <c r="D214" s="4">
        <f t="shared" si="10"/>
        <v>1.0906659999999988</v>
      </c>
      <c r="E214" s="3">
        <v>48.35</v>
      </c>
      <c r="F214" s="3">
        <v>17.5</v>
      </c>
      <c r="G214" s="3">
        <v>96.88715599999999</v>
      </c>
      <c r="H214" s="4">
        <f t="shared" si="13"/>
        <v>-0.23586000000001661</v>
      </c>
      <c r="I214" s="4">
        <f t="shared" si="11"/>
        <v>-0.7129510000000181</v>
      </c>
      <c r="J214" s="3">
        <v>48.35</v>
      </c>
      <c r="K214" s="3">
        <v>17.5</v>
      </c>
      <c r="L214" s="13">
        <f>YEAR(Weekly_Prices[[#This Row],[Date]])</f>
        <v>2007</v>
      </c>
      <c r="M214" s="13">
        <f>MONTH(Weekly_Prices[[#This Row],[Date]])</f>
        <v>7</v>
      </c>
      <c r="N214" s="3" t="str">
        <f>TEXT(Weekly_Prices[[#This Row],[Date]],"MMMM")</f>
        <v>July</v>
      </c>
      <c r="O214" s="3" t="str">
        <f>YEAR(Weekly_Prices[[#This Row],[Date]])&amp;"-"&amp;TEXT(WEEKNUM(Weekly_Prices[[#This Row],[Date]],2),"00")</f>
        <v>2007-27</v>
      </c>
    </row>
    <row r="215" spans="1:15" x14ac:dyDescent="0.35">
      <c r="A215" s="2">
        <v>39272</v>
      </c>
      <c r="B215" s="3">
        <v>96.196229999999986</v>
      </c>
      <c r="C215" s="4">
        <f t="shared" si="12"/>
        <v>-0.16202000000001249</v>
      </c>
      <c r="D215" s="4">
        <f t="shared" si="10"/>
        <v>0.50166199999998184</v>
      </c>
      <c r="E215" s="3">
        <v>48.35</v>
      </c>
      <c r="F215" s="3">
        <v>17.5</v>
      </c>
      <c r="G215" s="3">
        <v>96.778120999999999</v>
      </c>
      <c r="H215" s="4">
        <f t="shared" si="13"/>
        <v>-0.10903499999999156</v>
      </c>
      <c r="I215" s="4">
        <f t="shared" si="11"/>
        <v>-1.2164740000000052</v>
      </c>
      <c r="J215" s="3">
        <v>48.35</v>
      </c>
      <c r="K215" s="3">
        <v>17.5</v>
      </c>
      <c r="L215" s="13">
        <f>YEAR(Weekly_Prices[[#This Row],[Date]])</f>
        <v>2007</v>
      </c>
      <c r="M215" s="13">
        <f>MONTH(Weekly_Prices[[#This Row],[Date]])</f>
        <v>7</v>
      </c>
      <c r="N215" s="3" t="str">
        <f>TEXT(Weekly_Prices[[#This Row],[Date]],"MMMM")</f>
        <v>July</v>
      </c>
      <c r="O215" s="3" t="str">
        <f>YEAR(Weekly_Prices[[#This Row],[Date]])&amp;"-"&amp;TEXT(WEEKNUM(Weekly_Prices[[#This Row],[Date]],2),"00")</f>
        <v>2007-28</v>
      </c>
    </row>
    <row r="216" spans="1:15" x14ac:dyDescent="0.35">
      <c r="A216" s="2">
        <v>39279</v>
      </c>
      <c r="B216" s="3">
        <v>96.20974600000001</v>
      </c>
      <c r="C216" s="4">
        <f t="shared" si="12"/>
        <v>1.3516000000024064E-2</v>
      </c>
      <c r="D216" s="4">
        <f t="shared" si="10"/>
        <v>-0.6721380000000039</v>
      </c>
      <c r="E216" s="3">
        <v>48.35</v>
      </c>
      <c r="F216" s="3">
        <v>17.5</v>
      </c>
      <c r="G216" s="3">
        <v>96.785415</v>
      </c>
      <c r="H216" s="4">
        <f t="shared" si="13"/>
        <v>7.294000000001688E-3</v>
      </c>
      <c r="I216" s="4">
        <f t="shared" si="11"/>
        <v>-1.957743999999991</v>
      </c>
      <c r="J216" s="3">
        <v>48.35</v>
      </c>
      <c r="K216" s="3">
        <v>17.5</v>
      </c>
      <c r="L216" s="13">
        <f>YEAR(Weekly_Prices[[#This Row],[Date]])</f>
        <v>2007</v>
      </c>
      <c r="M216" s="13">
        <f>MONTH(Weekly_Prices[[#This Row],[Date]])</f>
        <v>7</v>
      </c>
      <c r="N216" s="3" t="str">
        <f>TEXT(Weekly_Prices[[#This Row],[Date]],"MMMM")</f>
        <v>July</v>
      </c>
      <c r="O216" s="3" t="str">
        <f>YEAR(Weekly_Prices[[#This Row],[Date]])&amp;"-"&amp;TEXT(WEEKNUM(Weekly_Prices[[#This Row],[Date]],2),"00")</f>
        <v>2007-29</v>
      </c>
    </row>
    <row r="217" spans="1:15" x14ac:dyDescent="0.35">
      <c r="A217" s="2">
        <v>39286</v>
      </c>
      <c r="B217" s="3">
        <v>96.232653999999997</v>
      </c>
      <c r="C217" s="4">
        <f t="shared" si="12"/>
        <v>2.2907999999986828E-2</v>
      </c>
      <c r="D217" s="4">
        <f t="shared" si="10"/>
        <v>-1.5519350000000003</v>
      </c>
      <c r="E217" s="3">
        <v>48.35</v>
      </c>
      <c r="F217" s="3">
        <v>17.5</v>
      </c>
      <c r="G217" s="3">
        <v>96.829441000000003</v>
      </c>
      <c r="H217" s="4">
        <f t="shared" si="13"/>
        <v>4.4026000000002341E-2</v>
      </c>
      <c r="I217" s="4">
        <f t="shared" si="11"/>
        <v>-2.5760630000000049</v>
      </c>
      <c r="J217" s="3">
        <v>48.35</v>
      </c>
      <c r="K217" s="3">
        <v>17.5</v>
      </c>
      <c r="L217" s="13">
        <f>YEAR(Weekly_Prices[[#This Row],[Date]])</f>
        <v>2007</v>
      </c>
      <c r="M217" s="13">
        <f>MONTH(Weekly_Prices[[#This Row],[Date]])</f>
        <v>7</v>
      </c>
      <c r="N217" s="3" t="str">
        <f>TEXT(Weekly_Prices[[#This Row],[Date]],"MMMM")</f>
        <v>July</v>
      </c>
      <c r="O217" s="3" t="str">
        <f>YEAR(Weekly_Prices[[#This Row],[Date]])&amp;"-"&amp;TEXT(WEEKNUM(Weekly_Prices[[#This Row],[Date]],2),"00")</f>
        <v>2007-30</v>
      </c>
    </row>
    <row r="218" spans="1:15" x14ac:dyDescent="0.35">
      <c r="A218" s="2">
        <v>39293</v>
      </c>
      <c r="B218" s="3">
        <v>96.196604999999991</v>
      </c>
      <c r="C218" s="4">
        <f t="shared" si="12"/>
        <v>-3.6049000000005549E-2</v>
      </c>
      <c r="D218" s="4">
        <f t="shared" si="10"/>
        <v>-1.6331950000000006</v>
      </c>
      <c r="E218" s="3">
        <v>48.35</v>
      </c>
      <c r="F218" s="3">
        <v>17.5</v>
      </c>
      <c r="G218" s="3">
        <v>96.765517000000003</v>
      </c>
      <c r="H218" s="4">
        <f t="shared" si="13"/>
        <v>-6.3924000000000092E-2</v>
      </c>
      <c r="I218" s="4">
        <f t="shared" si="11"/>
        <v>-2.6485880000000037</v>
      </c>
      <c r="J218" s="3">
        <v>48.35</v>
      </c>
      <c r="K218" s="3">
        <v>17.5</v>
      </c>
      <c r="L218" s="13">
        <f>YEAR(Weekly_Prices[[#This Row],[Date]])</f>
        <v>2007</v>
      </c>
      <c r="M218" s="13">
        <f>MONTH(Weekly_Prices[[#This Row],[Date]])</f>
        <v>7</v>
      </c>
      <c r="N218" s="3" t="str">
        <f>TEXT(Weekly_Prices[[#This Row],[Date]],"MMMM")</f>
        <v>July</v>
      </c>
      <c r="O218" s="3" t="str">
        <f>YEAR(Weekly_Prices[[#This Row],[Date]])&amp;"-"&amp;TEXT(WEEKNUM(Weekly_Prices[[#This Row],[Date]],2),"00")</f>
        <v>2007-31</v>
      </c>
    </row>
    <row r="219" spans="1:15" x14ac:dyDescent="0.35">
      <c r="A219" s="2">
        <v>39300</v>
      </c>
      <c r="B219" s="3">
        <v>96.147015999999994</v>
      </c>
      <c r="C219" s="4">
        <f t="shared" si="12"/>
        <v>-4.9588999999997441E-2</v>
      </c>
      <c r="D219" s="4">
        <f t="shared" si="10"/>
        <v>-1.904648999999992</v>
      </c>
      <c r="E219" s="3">
        <v>48.35</v>
      </c>
      <c r="F219" s="3">
        <v>17.5</v>
      </c>
      <c r="G219" s="3">
        <v>96.719837999999996</v>
      </c>
      <c r="H219" s="4">
        <f t="shared" si="13"/>
        <v>-4.5679000000006909E-2</v>
      </c>
      <c r="I219" s="4">
        <f t="shared" si="11"/>
        <v>-2.8529120000000034</v>
      </c>
      <c r="J219" s="3">
        <v>48.35</v>
      </c>
      <c r="K219" s="3">
        <v>17.5</v>
      </c>
      <c r="L219" s="13">
        <f>YEAR(Weekly_Prices[[#This Row],[Date]])</f>
        <v>2007</v>
      </c>
      <c r="M219" s="13">
        <f>MONTH(Weekly_Prices[[#This Row],[Date]])</f>
        <v>8</v>
      </c>
      <c r="N219" s="3" t="str">
        <f>TEXT(Weekly_Prices[[#This Row],[Date]],"MMMM")</f>
        <v>August</v>
      </c>
      <c r="O219" s="3" t="str">
        <f>YEAR(Weekly_Prices[[#This Row],[Date]])&amp;"-"&amp;TEXT(WEEKNUM(Weekly_Prices[[#This Row],[Date]],2),"00")</f>
        <v>2007-32</v>
      </c>
    </row>
    <row r="220" spans="1:15" x14ac:dyDescent="0.35">
      <c r="A220" s="2">
        <v>39307</v>
      </c>
      <c r="B220" s="3">
        <v>95.999734999999987</v>
      </c>
      <c r="C220" s="4">
        <f t="shared" si="12"/>
        <v>-0.14728100000000666</v>
      </c>
      <c r="D220" s="4">
        <f t="shared" si="10"/>
        <v>-1.817165000000017</v>
      </c>
      <c r="E220" s="3">
        <v>48.35</v>
      </c>
      <c r="F220" s="3">
        <v>17.5</v>
      </c>
      <c r="G220" s="3">
        <v>96.699594000000005</v>
      </c>
      <c r="H220" s="4">
        <f t="shared" si="13"/>
        <v>-2.0243999999991047E-2</v>
      </c>
      <c r="I220" s="4">
        <f t="shared" si="11"/>
        <v>-2.7466340000000002</v>
      </c>
      <c r="J220" s="3">
        <v>48.35</v>
      </c>
      <c r="K220" s="3">
        <v>17.5</v>
      </c>
      <c r="L220" s="13">
        <f>YEAR(Weekly_Prices[[#This Row],[Date]])</f>
        <v>2007</v>
      </c>
      <c r="M220" s="13">
        <f>MONTH(Weekly_Prices[[#This Row],[Date]])</f>
        <v>8</v>
      </c>
      <c r="N220" s="3" t="str">
        <f>TEXT(Weekly_Prices[[#This Row],[Date]],"MMMM")</f>
        <v>August</v>
      </c>
      <c r="O220" s="3" t="str">
        <f>YEAR(Weekly_Prices[[#This Row],[Date]])&amp;"-"&amp;TEXT(WEEKNUM(Weekly_Prices[[#This Row],[Date]],2),"00")</f>
        <v>2007-33</v>
      </c>
    </row>
    <row r="221" spans="1:15" x14ac:dyDescent="0.35">
      <c r="A221" s="2">
        <v>39314</v>
      </c>
      <c r="B221" s="3">
        <v>95.306029000000009</v>
      </c>
      <c r="C221" s="4">
        <f t="shared" si="12"/>
        <v>-0.69370599999997751</v>
      </c>
      <c r="D221" s="4">
        <f t="shared" si="10"/>
        <v>-0.43724799999999675</v>
      </c>
      <c r="E221" s="3">
        <v>48.35</v>
      </c>
      <c r="F221" s="3">
        <v>17.5</v>
      </c>
      <c r="G221" s="3">
        <v>96.594070000000016</v>
      </c>
      <c r="H221" s="4">
        <f t="shared" si="13"/>
        <v>-0.1055239999999884</v>
      </c>
      <c r="I221" s="4">
        <f t="shared" si="11"/>
        <v>-1.3337819999999851</v>
      </c>
      <c r="J221" s="3">
        <v>48.35</v>
      </c>
      <c r="K221" s="3">
        <v>17.5</v>
      </c>
      <c r="L221" s="13">
        <f>YEAR(Weekly_Prices[[#This Row],[Date]])</f>
        <v>2007</v>
      </c>
      <c r="M221" s="13">
        <f>MONTH(Weekly_Prices[[#This Row],[Date]])</f>
        <v>8</v>
      </c>
      <c r="N221" s="3" t="str">
        <f>TEXT(Weekly_Prices[[#This Row],[Date]],"MMMM")</f>
        <v>August</v>
      </c>
      <c r="O221" s="3" t="str">
        <f>YEAR(Weekly_Prices[[#This Row],[Date]])&amp;"-"&amp;TEXT(WEEKNUM(Weekly_Prices[[#This Row],[Date]],2),"00")</f>
        <v>2007-34</v>
      </c>
    </row>
    <row r="222" spans="1:15" x14ac:dyDescent="0.35">
      <c r="A222" s="2">
        <v>39321</v>
      </c>
      <c r="B222" s="3">
        <v>95.002753999999982</v>
      </c>
      <c r="C222" s="4">
        <f t="shared" si="12"/>
        <v>-0.30327500000002772</v>
      </c>
      <c r="D222" s="4">
        <f t="shared" si="10"/>
        <v>0.60149099999998157</v>
      </c>
      <c r="E222" s="3">
        <v>48.35</v>
      </c>
      <c r="F222" s="3">
        <v>17.5</v>
      </c>
      <c r="G222" s="3">
        <v>96.367761000000002</v>
      </c>
      <c r="H222" s="4">
        <f t="shared" si="13"/>
        <v>-0.22630900000001475</v>
      </c>
      <c r="I222" s="4">
        <f t="shared" si="11"/>
        <v>-0.30353399999998487</v>
      </c>
      <c r="J222" s="3">
        <v>48.35</v>
      </c>
      <c r="K222" s="3">
        <v>17.5</v>
      </c>
      <c r="L222" s="13">
        <f>YEAR(Weekly_Prices[[#This Row],[Date]])</f>
        <v>2007</v>
      </c>
      <c r="M222" s="13">
        <f>MONTH(Weekly_Prices[[#This Row],[Date]])</f>
        <v>8</v>
      </c>
      <c r="N222" s="3" t="str">
        <f>TEXT(Weekly_Prices[[#This Row],[Date]],"MMMM")</f>
        <v>August</v>
      </c>
      <c r="O222" s="3" t="str">
        <f>YEAR(Weekly_Prices[[#This Row],[Date]])&amp;"-"&amp;TEXT(WEEKNUM(Weekly_Prices[[#This Row],[Date]],2),"00")</f>
        <v>2007-35</v>
      </c>
    </row>
    <row r="223" spans="1:15" x14ac:dyDescent="0.35">
      <c r="A223" s="2">
        <v>39328</v>
      </c>
      <c r="B223" s="3">
        <v>94.80359</v>
      </c>
      <c r="C223" s="4">
        <f t="shared" si="12"/>
        <v>-0.19916399999998191</v>
      </c>
      <c r="D223" s="4">
        <f t="shared" si="10"/>
        <v>1.9226099999999917</v>
      </c>
      <c r="E223" s="3">
        <v>48.35</v>
      </c>
      <c r="F223" s="3">
        <v>17.5</v>
      </c>
      <c r="G223" s="3">
        <v>96.373106000000007</v>
      </c>
      <c r="H223" s="4">
        <f t="shared" si="13"/>
        <v>5.3450000000054843E-3</v>
      </c>
      <c r="I223" s="4">
        <f t="shared" si="11"/>
        <v>0.44928799999999569</v>
      </c>
      <c r="J223" s="3">
        <v>48.35</v>
      </c>
      <c r="K223" s="3">
        <v>17.5</v>
      </c>
      <c r="L223" s="13">
        <f>YEAR(Weekly_Prices[[#This Row],[Date]])</f>
        <v>2007</v>
      </c>
      <c r="M223" s="13">
        <f>MONTH(Weekly_Prices[[#This Row],[Date]])</f>
        <v>9</v>
      </c>
      <c r="N223" s="3" t="str">
        <f>TEXT(Weekly_Prices[[#This Row],[Date]],"MMMM")</f>
        <v>September</v>
      </c>
      <c r="O223" s="3" t="str">
        <f>YEAR(Weekly_Prices[[#This Row],[Date]])&amp;"-"&amp;TEXT(WEEKNUM(Weekly_Prices[[#This Row],[Date]],2),"00")</f>
        <v>2007-36</v>
      </c>
    </row>
    <row r="224" spans="1:15" x14ac:dyDescent="0.35">
      <c r="A224" s="2">
        <v>39335</v>
      </c>
      <c r="B224" s="3">
        <v>94.634482999999989</v>
      </c>
      <c r="C224" s="4">
        <f t="shared" si="12"/>
        <v>-0.169107000000011</v>
      </c>
      <c r="D224" s="4">
        <f t="shared" si="10"/>
        <v>3.1533329999999893</v>
      </c>
      <c r="E224" s="3">
        <v>48.35</v>
      </c>
      <c r="F224" s="3">
        <v>17.5</v>
      </c>
      <c r="G224" s="3">
        <v>96.336757000000006</v>
      </c>
      <c r="H224" s="4">
        <f t="shared" si="13"/>
        <v>-3.6349000000001297E-2</v>
      </c>
      <c r="I224" s="4">
        <f t="shared" si="11"/>
        <v>0.99853500000000395</v>
      </c>
      <c r="J224" s="3">
        <v>48.35</v>
      </c>
      <c r="K224" s="3">
        <v>17.5</v>
      </c>
      <c r="L224" s="13">
        <f>YEAR(Weekly_Prices[[#This Row],[Date]])</f>
        <v>2007</v>
      </c>
      <c r="M224" s="13">
        <f>MONTH(Weekly_Prices[[#This Row],[Date]])</f>
        <v>9</v>
      </c>
      <c r="N224" s="3" t="str">
        <f>TEXT(Weekly_Prices[[#This Row],[Date]],"MMMM")</f>
        <v>September</v>
      </c>
      <c r="O224" s="3" t="str">
        <f>YEAR(Weekly_Prices[[#This Row],[Date]])&amp;"-"&amp;TEXT(WEEKNUM(Weekly_Prices[[#This Row],[Date]],2),"00")</f>
        <v>2007-37</v>
      </c>
    </row>
    <row r="225" spans="1:15" x14ac:dyDescent="0.35">
      <c r="A225" s="2">
        <v>39342</v>
      </c>
      <c r="B225" s="3">
        <v>94.653323</v>
      </c>
      <c r="C225" s="4">
        <f t="shared" si="12"/>
        <v>1.8840000000011514E-2</v>
      </c>
      <c r="D225" s="4">
        <f t="shared" si="10"/>
        <v>4.876687000000004</v>
      </c>
      <c r="E225" s="3">
        <v>48.35</v>
      </c>
      <c r="F225" s="3">
        <v>17.5</v>
      </c>
      <c r="G225" s="3">
        <v>96.44531400000001</v>
      </c>
      <c r="H225" s="4">
        <f t="shared" si="13"/>
        <v>0.10855700000000468</v>
      </c>
      <c r="I225" s="4">
        <f t="shared" si="11"/>
        <v>1.496403000000015</v>
      </c>
      <c r="J225" s="3">
        <v>48.35</v>
      </c>
      <c r="K225" s="3">
        <v>17.5</v>
      </c>
      <c r="L225" s="13">
        <f>YEAR(Weekly_Prices[[#This Row],[Date]])</f>
        <v>2007</v>
      </c>
      <c r="M225" s="13">
        <f>MONTH(Weekly_Prices[[#This Row],[Date]])</f>
        <v>9</v>
      </c>
      <c r="N225" s="3" t="str">
        <f>TEXT(Weekly_Prices[[#This Row],[Date]],"MMMM")</f>
        <v>September</v>
      </c>
      <c r="O225" s="3" t="str">
        <f>YEAR(Weekly_Prices[[#This Row],[Date]])&amp;"-"&amp;TEXT(WEEKNUM(Weekly_Prices[[#This Row],[Date]],2),"00")</f>
        <v>2007-38</v>
      </c>
    </row>
    <row r="226" spans="1:15" x14ac:dyDescent="0.35">
      <c r="A226" s="2">
        <v>39349</v>
      </c>
      <c r="B226" s="3">
        <v>94.912046000000004</v>
      </c>
      <c r="C226" s="4">
        <f t="shared" si="12"/>
        <v>0.25872300000000337</v>
      </c>
      <c r="D226" s="4">
        <f t="shared" si="10"/>
        <v>6.7105920000000054</v>
      </c>
      <c r="E226" s="3">
        <v>48.35</v>
      </c>
      <c r="F226" s="3">
        <v>17.5</v>
      </c>
      <c r="G226" s="3">
        <v>96.896065000000007</v>
      </c>
      <c r="H226" s="4">
        <f t="shared" si="13"/>
        <v>0.45075099999999679</v>
      </c>
      <c r="I226" s="4">
        <f t="shared" si="11"/>
        <v>3.3825890000000101</v>
      </c>
      <c r="J226" s="3">
        <v>48.35</v>
      </c>
      <c r="K226" s="3">
        <v>17.5</v>
      </c>
      <c r="L226" s="13">
        <f>YEAR(Weekly_Prices[[#This Row],[Date]])</f>
        <v>2007</v>
      </c>
      <c r="M226" s="13">
        <f>MONTH(Weekly_Prices[[#This Row],[Date]])</f>
        <v>9</v>
      </c>
      <c r="N226" s="3" t="str">
        <f>TEXT(Weekly_Prices[[#This Row],[Date]],"MMMM")</f>
        <v>September</v>
      </c>
      <c r="O226" s="3" t="str">
        <f>YEAR(Weekly_Prices[[#This Row],[Date]])&amp;"-"&amp;TEXT(WEEKNUM(Weekly_Prices[[#This Row],[Date]],2),"00")</f>
        <v>2007-39</v>
      </c>
    </row>
    <row r="227" spans="1:15" x14ac:dyDescent="0.35">
      <c r="A227" s="2">
        <v>39356</v>
      </c>
      <c r="B227" s="3">
        <v>96.393332999999998</v>
      </c>
      <c r="C227" s="4">
        <f t="shared" si="12"/>
        <v>1.4812869999999947</v>
      </c>
      <c r="D227" s="4">
        <f t="shared" si="10"/>
        <v>9.4466159999999775</v>
      </c>
      <c r="E227" s="3">
        <v>50.35</v>
      </c>
      <c r="F227" s="3">
        <v>17.5</v>
      </c>
      <c r="G227" s="3">
        <v>98.513787000000008</v>
      </c>
      <c r="H227" s="4">
        <f t="shared" si="13"/>
        <v>1.6177220000000005</v>
      </c>
      <c r="I227" s="4">
        <f t="shared" si="11"/>
        <v>6.3834599999999995</v>
      </c>
      <c r="J227" s="3">
        <v>50.35</v>
      </c>
      <c r="K227" s="3">
        <v>17.5</v>
      </c>
      <c r="L227" s="13">
        <f>YEAR(Weekly_Prices[[#This Row],[Date]])</f>
        <v>2007</v>
      </c>
      <c r="M227" s="13">
        <f>MONTH(Weekly_Prices[[#This Row],[Date]])</f>
        <v>10</v>
      </c>
      <c r="N227" s="3" t="str">
        <f>TEXT(Weekly_Prices[[#This Row],[Date]],"MMMM")</f>
        <v>October</v>
      </c>
      <c r="O227" s="3" t="str">
        <f>YEAR(Weekly_Prices[[#This Row],[Date]])&amp;"-"&amp;TEXT(WEEKNUM(Weekly_Prices[[#This Row],[Date]],2),"00")</f>
        <v>2007-40</v>
      </c>
    </row>
    <row r="228" spans="1:15" x14ac:dyDescent="0.35">
      <c r="A228" s="2">
        <v>39363</v>
      </c>
      <c r="B228" s="3">
        <v>97.138126999999997</v>
      </c>
      <c r="C228" s="4">
        <f t="shared" si="12"/>
        <v>0.74479399999999885</v>
      </c>
      <c r="D228" s="4">
        <f t="shared" si="10"/>
        <v>10.54071399999998</v>
      </c>
      <c r="E228" s="3">
        <v>50.35</v>
      </c>
      <c r="F228" s="3">
        <v>17.5</v>
      </c>
      <c r="G228" s="3">
        <v>99.099854999999991</v>
      </c>
      <c r="H228" s="4">
        <f t="shared" si="13"/>
        <v>0.58606799999998316</v>
      </c>
      <c r="I228" s="4">
        <f t="shared" si="11"/>
        <v>7.357734999999991</v>
      </c>
      <c r="J228" s="3">
        <v>50.35</v>
      </c>
      <c r="K228" s="3">
        <v>17.5</v>
      </c>
      <c r="L228" s="13">
        <f>YEAR(Weekly_Prices[[#This Row],[Date]])</f>
        <v>2007</v>
      </c>
      <c r="M228" s="13">
        <f>MONTH(Weekly_Prices[[#This Row],[Date]])</f>
        <v>10</v>
      </c>
      <c r="N228" s="3" t="str">
        <f>TEXT(Weekly_Prices[[#This Row],[Date]],"MMMM")</f>
        <v>October</v>
      </c>
      <c r="O228" s="3" t="str">
        <f>YEAR(Weekly_Prices[[#This Row],[Date]])&amp;"-"&amp;TEXT(WEEKNUM(Weekly_Prices[[#This Row],[Date]],2),"00")</f>
        <v>2007-41</v>
      </c>
    </row>
    <row r="229" spans="1:15" x14ac:dyDescent="0.35">
      <c r="A229" s="2">
        <v>39370</v>
      </c>
      <c r="B229" s="3">
        <v>97.192101000000008</v>
      </c>
      <c r="C229" s="4">
        <f t="shared" si="12"/>
        <v>5.3974000000010847E-2</v>
      </c>
      <c r="D229" s="4">
        <f t="shared" si="10"/>
        <v>11.282522</v>
      </c>
      <c r="E229" s="3">
        <v>50.35</v>
      </c>
      <c r="F229" s="3">
        <v>17.5</v>
      </c>
      <c r="G229" s="3">
        <v>99.181410999999997</v>
      </c>
      <c r="H229" s="4">
        <f t="shared" si="13"/>
        <v>8.1556000000006179E-2</v>
      </c>
      <c r="I229" s="4">
        <f t="shared" si="11"/>
        <v>7.5895960000000002</v>
      </c>
      <c r="J229" s="3">
        <v>50.35</v>
      </c>
      <c r="K229" s="3">
        <v>17.5</v>
      </c>
      <c r="L229" s="13">
        <f>YEAR(Weekly_Prices[[#This Row],[Date]])</f>
        <v>2007</v>
      </c>
      <c r="M229" s="13">
        <f>MONTH(Weekly_Prices[[#This Row],[Date]])</f>
        <v>10</v>
      </c>
      <c r="N229" s="3" t="str">
        <f>TEXT(Weekly_Prices[[#This Row],[Date]],"MMMM")</f>
        <v>October</v>
      </c>
      <c r="O229" s="3" t="str">
        <f>YEAR(Weekly_Prices[[#This Row],[Date]])&amp;"-"&amp;TEXT(WEEKNUM(Weekly_Prices[[#This Row],[Date]],2),"00")</f>
        <v>2007-42</v>
      </c>
    </row>
    <row r="230" spans="1:15" x14ac:dyDescent="0.35">
      <c r="A230" s="2">
        <v>39377</v>
      </c>
      <c r="B230" s="3">
        <v>97.805838999999992</v>
      </c>
      <c r="C230" s="4">
        <f t="shared" si="12"/>
        <v>0.61373799999998369</v>
      </c>
      <c r="D230" s="4">
        <f t="shared" si="10"/>
        <v>12.069962999999987</v>
      </c>
      <c r="E230" s="3">
        <v>50.35</v>
      </c>
      <c r="F230" s="3">
        <v>17.5</v>
      </c>
      <c r="G230" s="3">
        <v>99.894885999999985</v>
      </c>
      <c r="H230" s="4">
        <f t="shared" si="13"/>
        <v>0.71347499999998831</v>
      </c>
      <c r="I230" s="4">
        <f t="shared" si="11"/>
        <v>8.6790839999999747</v>
      </c>
      <c r="J230" s="3">
        <v>50.35</v>
      </c>
      <c r="K230" s="3">
        <v>17.5</v>
      </c>
      <c r="L230" s="13">
        <f>YEAR(Weekly_Prices[[#This Row],[Date]])</f>
        <v>2007</v>
      </c>
      <c r="M230" s="13">
        <f>MONTH(Weekly_Prices[[#This Row],[Date]])</f>
        <v>10</v>
      </c>
      <c r="N230" s="3" t="str">
        <f>TEXT(Weekly_Prices[[#This Row],[Date]],"MMMM")</f>
        <v>October</v>
      </c>
      <c r="O230" s="3" t="str">
        <f>YEAR(Weekly_Prices[[#This Row],[Date]])&amp;"-"&amp;TEXT(WEEKNUM(Weekly_Prices[[#This Row],[Date]],2),"00")</f>
        <v>2007-43</v>
      </c>
    </row>
    <row r="231" spans="1:15" x14ac:dyDescent="0.35">
      <c r="A231" s="2">
        <v>39384</v>
      </c>
      <c r="B231" s="3">
        <v>98.263275999999991</v>
      </c>
      <c r="C231" s="4">
        <f t="shared" si="12"/>
        <v>0.45743699999999876</v>
      </c>
      <c r="D231" s="4">
        <f t="shared" si="10"/>
        <v>12.661498999999992</v>
      </c>
      <c r="E231" s="3">
        <v>50.35</v>
      </c>
      <c r="F231" s="3">
        <v>17.5</v>
      </c>
      <c r="G231" s="3">
        <v>100.694424</v>
      </c>
      <c r="H231" s="4">
        <f t="shared" si="13"/>
        <v>0.79953800000001252</v>
      </c>
      <c r="I231" s="4">
        <f t="shared" si="11"/>
        <v>9.5289590000000004</v>
      </c>
      <c r="J231" s="3">
        <v>50.35</v>
      </c>
      <c r="K231" s="3">
        <v>17.5</v>
      </c>
      <c r="L231" s="13">
        <f>YEAR(Weekly_Prices[[#This Row],[Date]])</f>
        <v>2007</v>
      </c>
      <c r="M231" s="13">
        <f>MONTH(Weekly_Prices[[#This Row],[Date]])</f>
        <v>10</v>
      </c>
      <c r="N231" s="3" t="str">
        <f>TEXT(Weekly_Prices[[#This Row],[Date]],"MMMM")</f>
        <v>October</v>
      </c>
      <c r="O231" s="3" t="str">
        <f>YEAR(Weekly_Prices[[#This Row],[Date]])&amp;"-"&amp;TEXT(WEEKNUM(Weekly_Prices[[#This Row],[Date]],2),"00")</f>
        <v>2007-44</v>
      </c>
    </row>
    <row r="232" spans="1:15" x14ac:dyDescent="0.35">
      <c r="A232" s="2">
        <v>39391</v>
      </c>
      <c r="B232" s="3">
        <v>99.364923999999988</v>
      </c>
      <c r="C232" s="4">
        <f t="shared" si="12"/>
        <v>1.1016479999999973</v>
      </c>
      <c r="D232" s="4">
        <f t="shared" si="10"/>
        <v>13.826196999999993</v>
      </c>
      <c r="E232" s="3">
        <v>50.35</v>
      </c>
      <c r="F232" s="3">
        <v>17.5</v>
      </c>
      <c r="G232" s="3">
        <v>102.16035400000001</v>
      </c>
      <c r="H232" s="4">
        <f t="shared" si="13"/>
        <v>1.4659300000000144</v>
      </c>
      <c r="I232" s="4">
        <f t="shared" si="11"/>
        <v>11.038452000000021</v>
      </c>
      <c r="J232" s="3">
        <v>50.35</v>
      </c>
      <c r="K232" s="3">
        <v>17.5</v>
      </c>
      <c r="L232" s="13">
        <f>YEAR(Weekly_Prices[[#This Row],[Date]])</f>
        <v>2007</v>
      </c>
      <c r="M232" s="13">
        <f>MONTH(Weekly_Prices[[#This Row],[Date]])</f>
        <v>11</v>
      </c>
      <c r="N232" s="3" t="str">
        <f>TEXT(Weekly_Prices[[#This Row],[Date]],"MMMM")</f>
        <v>November</v>
      </c>
      <c r="O232" s="3" t="str">
        <f>YEAR(Weekly_Prices[[#This Row],[Date]])&amp;"-"&amp;TEXT(WEEKNUM(Weekly_Prices[[#This Row],[Date]],2),"00")</f>
        <v>2007-45</v>
      </c>
    </row>
    <row r="233" spans="1:15" x14ac:dyDescent="0.35">
      <c r="A233" s="2">
        <v>39398</v>
      </c>
      <c r="B233" s="3">
        <v>100.74229299999999</v>
      </c>
      <c r="C233" s="4">
        <f t="shared" si="12"/>
        <v>1.3773690000000016</v>
      </c>
      <c r="D233" s="4">
        <f t="shared" si="10"/>
        <v>15.254408999999995</v>
      </c>
      <c r="E233" s="3">
        <v>50.35</v>
      </c>
      <c r="F233" s="3">
        <v>17.5</v>
      </c>
      <c r="G233" s="3">
        <v>104.172417</v>
      </c>
      <c r="H233" s="4">
        <f t="shared" si="13"/>
        <v>2.0120629999999835</v>
      </c>
      <c r="I233" s="4">
        <f t="shared" si="11"/>
        <v>13.025306</v>
      </c>
      <c r="J233" s="3">
        <v>50.35</v>
      </c>
      <c r="K233" s="3">
        <v>17.5</v>
      </c>
      <c r="L233" s="13">
        <f>YEAR(Weekly_Prices[[#This Row],[Date]])</f>
        <v>2007</v>
      </c>
      <c r="M233" s="13">
        <f>MONTH(Weekly_Prices[[#This Row],[Date]])</f>
        <v>11</v>
      </c>
      <c r="N233" s="3" t="str">
        <f>TEXT(Weekly_Prices[[#This Row],[Date]],"MMMM")</f>
        <v>November</v>
      </c>
      <c r="O233" s="3" t="str">
        <f>YEAR(Weekly_Prices[[#This Row],[Date]])&amp;"-"&amp;TEXT(WEEKNUM(Weekly_Prices[[#This Row],[Date]],2),"00")</f>
        <v>2007-46</v>
      </c>
    </row>
    <row r="234" spans="1:15" x14ac:dyDescent="0.35">
      <c r="A234" s="2">
        <v>39405</v>
      </c>
      <c r="B234" s="3">
        <v>101.46819400000001</v>
      </c>
      <c r="C234" s="4">
        <f t="shared" si="12"/>
        <v>0.72590100000002167</v>
      </c>
      <c r="D234" s="4">
        <f t="shared" si="10"/>
        <v>16.013915000000011</v>
      </c>
      <c r="E234" s="3">
        <v>50.35</v>
      </c>
      <c r="F234" s="3">
        <v>17.5</v>
      </c>
      <c r="G234" s="3">
        <v>105.28447800000001</v>
      </c>
      <c r="H234" s="4">
        <f t="shared" si="13"/>
        <v>1.1120610000000113</v>
      </c>
      <c r="I234" s="4">
        <f t="shared" si="11"/>
        <v>14.11448399999999</v>
      </c>
      <c r="J234" s="3">
        <v>50.35</v>
      </c>
      <c r="K234" s="3">
        <v>17.5</v>
      </c>
      <c r="L234" s="13">
        <f>YEAR(Weekly_Prices[[#This Row],[Date]])</f>
        <v>2007</v>
      </c>
      <c r="M234" s="13">
        <f>MONTH(Weekly_Prices[[#This Row],[Date]])</f>
        <v>11</v>
      </c>
      <c r="N234" s="3" t="str">
        <f>TEXT(Weekly_Prices[[#This Row],[Date]],"MMMM")</f>
        <v>November</v>
      </c>
      <c r="O234" s="3" t="str">
        <f>YEAR(Weekly_Prices[[#This Row],[Date]])&amp;"-"&amp;TEXT(WEEKNUM(Weekly_Prices[[#This Row],[Date]],2),"00")</f>
        <v>2007-47</v>
      </c>
    </row>
    <row r="235" spans="1:15" x14ac:dyDescent="0.35">
      <c r="A235" s="2">
        <v>39412</v>
      </c>
      <c r="B235" s="3">
        <v>102.12973599999999</v>
      </c>
      <c r="C235" s="4">
        <f t="shared" si="12"/>
        <v>0.66154199999998298</v>
      </c>
      <c r="D235" s="4">
        <f t="shared" si="10"/>
        <v>16.660289999999989</v>
      </c>
      <c r="E235" s="3">
        <v>50.35</v>
      </c>
      <c r="F235" s="3">
        <v>17.5</v>
      </c>
      <c r="G235" s="3">
        <v>106.254374</v>
      </c>
      <c r="H235" s="4">
        <f t="shared" si="13"/>
        <v>0.96989599999999143</v>
      </c>
      <c r="I235" s="4">
        <f t="shared" si="11"/>
        <v>15.084383999999986</v>
      </c>
      <c r="J235" s="3">
        <v>50.35</v>
      </c>
      <c r="K235" s="3">
        <v>17.5</v>
      </c>
      <c r="L235" s="13">
        <f>YEAR(Weekly_Prices[[#This Row],[Date]])</f>
        <v>2007</v>
      </c>
      <c r="M235" s="13">
        <f>MONTH(Weekly_Prices[[#This Row],[Date]])</f>
        <v>11</v>
      </c>
      <c r="N235" s="3" t="str">
        <f>TEXT(Weekly_Prices[[#This Row],[Date]],"MMMM")</f>
        <v>November</v>
      </c>
      <c r="O235" s="3" t="str">
        <f>YEAR(Weekly_Prices[[#This Row],[Date]])&amp;"-"&amp;TEXT(WEEKNUM(Weekly_Prices[[#This Row],[Date]],2),"00")</f>
        <v>2007-48</v>
      </c>
    </row>
    <row r="236" spans="1:15" x14ac:dyDescent="0.35">
      <c r="A236" s="2">
        <v>39419</v>
      </c>
      <c r="B236" s="3">
        <v>102.58212699999999</v>
      </c>
      <c r="C236" s="4">
        <f t="shared" si="12"/>
        <v>0.45239099999999155</v>
      </c>
      <c r="D236" s="4">
        <f t="shared" si="10"/>
        <v>17.117841285714292</v>
      </c>
      <c r="E236" s="3">
        <v>50.35</v>
      </c>
      <c r="F236" s="3">
        <v>17.5</v>
      </c>
      <c r="G236" s="3">
        <v>107.19211200000002</v>
      </c>
      <c r="H236" s="4">
        <f t="shared" si="13"/>
        <v>0.93773800000002439</v>
      </c>
      <c r="I236" s="4">
        <f t="shared" si="11"/>
        <v>15.689767000000018</v>
      </c>
      <c r="J236" s="3">
        <v>50.35</v>
      </c>
      <c r="K236" s="3">
        <v>17.5</v>
      </c>
      <c r="L236" s="13">
        <f>YEAR(Weekly_Prices[[#This Row],[Date]])</f>
        <v>2007</v>
      </c>
      <c r="M236" s="13">
        <f>MONTH(Weekly_Prices[[#This Row],[Date]])</f>
        <v>12</v>
      </c>
      <c r="N236" s="3" t="str">
        <f>TEXT(Weekly_Prices[[#This Row],[Date]],"MMMM")</f>
        <v>December</v>
      </c>
      <c r="O236" s="3" t="str">
        <f>YEAR(Weekly_Prices[[#This Row],[Date]])&amp;"-"&amp;TEXT(WEEKNUM(Weekly_Prices[[#This Row],[Date]],2),"00")</f>
        <v>2007-49</v>
      </c>
    </row>
    <row r="237" spans="1:15" x14ac:dyDescent="0.35">
      <c r="A237" s="2">
        <v>39426</v>
      </c>
      <c r="B237" s="3">
        <v>102.66679999999999</v>
      </c>
      <c r="C237" s="4">
        <f t="shared" si="12"/>
        <v>8.4673000000009324E-2</v>
      </c>
      <c r="D237" s="4">
        <f t="shared" si="10"/>
        <v>15.223174999999998</v>
      </c>
      <c r="E237" s="3">
        <v>50.35</v>
      </c>
      <c r="F237" s="3">
        <v>17.5</v>
      </c>
      <c r="G237" s="3">
        <v>107.473207</v>
      </c>
      <c r="H237" s="4">
        <f t="shared" si="13"/>
        <v>0.28109499999997922</v>
      </c>
      <c r="I237" s="4">
        <f t="shared" si="11"/>
        <v>14.514076000000003</v>
      </c>
      <c r="J237" s="3">
        <v>50.35</v>
      </c>
      <c r="K237" s="3">
        <v>17.5</v>
      </c>
      <c r="L237" s="13">
        <f>YEAR(Weekly_Prices[[#This Row],[Date]])</f>
        <v>2007</v>
      </c>
      <c r="M237" s="13">
        <f>MONTH(Weekly_Prices[[#This Row],[Date]])</f>
        <v>12</v>
      </c>
      <c r="N237" s="3" t="str">
        <f>TEXT(Weekly_Prices[[#This Row],[Date]],"MMMM")</f>
        <v>December</v>
      </c>
      <c r="O237" s="3" t="str">
        <f>YEAR(Weekly_Prices[[#This Row],[Date]])&amp;"-"&amp;TEXT(WEEKNUM(Weekly_Prices[[#This Row],[Date]],2),"00")</f>
        <v>2007-50</v>
      </c>
    </row>
    <row r="238" spans="1:15" x14ac:dyDescent="0.35">
      <c r="A238" s="2">
        <v>39433</v>
      </c>
      <c r="B238" s="3">
        <v>102.599261</v>
      </c>
      <c r="C238" s="4">
        <f t="shared" si="12"/>
        <v>-6.7538999999996463E-2</v>
      </c>
      <c r="D238" s="4">
        <f t="shared" si="10"/>
        <v>14.903639999999996</v>
      </c>
      <c r="E238" s="3">
        <v>50.35</v>
      </c>
      <c r="F238" s="3">
        <v>17.5</v>
      </c>
      <c r="G238" s="3">
        <v>107.556386</v>
      </c>
      <c r="H238" s="4">
        <f t="shared" si="13"/>
        <v>8.3179000000001224E-2</v>
      </c>
      <c r="I238" s="4">
        <f t="shared" si="11"/>
        <v>14.299578999999994</v>
      </c>
      <c r="J238" s="3">
        <v>50.35</v>
      </c>
      <c r="K238" s="3">
        <v>17.5</v>
      </c>
      <c r="L238" s="13">
        <f>YEAR(Weekly_Prices[[#This Row],[Date]])</f>
        <v>2007</v>
      </c>
      <c r="M238" s="13">
        <f>MONTH(Weekly_Prices[[#This Row],[Date]])</f>
        <v>12</v>
      </c>
      <c r="N238" s="3" t="str">
        <f>TEXT(Weekly_Prices[[#This Row],[Date]],"MMMM")</f>
        <v>December</v>
      </c>
      <c r="O238" s="3" t="str">
        <f>YEAR(Weekly_Prices[[#This Row],[Date]])&amp;"-"&amp;TEXT(WEEKNUM(Weekly_Prices[[#This Row],[Date]],2),"00")</f>
        <v>2007-51</v>
      </c>
    </row>
    <row r="239" spans="1:15" x14ac:dyDescent="0.35">
      <c r="A239" s="2">
        <v>39440</v>
      </c>
      <c r="B239" s="3">
        <v>102.526972</v>
      </c>
      <c r="C239" s="4">
        <f t="shared" si="12"/>
        <v>-7.2288999999997827E-2</v>
      </c>
      <c r="D239" s="4">
        <f t="shared" si="10"/>
        <v>14.622534999999999</v>
      </c>
      <c r="E239" s="3">
        <v>50.35</v>
      </c>
      <c r="F239" s="3">
        <v>17.5</v>
      </c>
      <c r="G239" s="3">
        <v>107.50416000000001</v>
      </c>
      <c r="H239" s="4">
        <f t="shared" si="13"/>
        <v>-5.2225999999990336E-2</v>
      </c>
      <c r="I239" s="4">
        <f t="shared" si="11"/>
        <v>14.089417000000012</v>
      </c>
      <c r="J239" s="3">
        <v>50.35</v>
      </c>
      <c r="K239" s="3">
        <v>17.5</v>
      </c>
      <c r="L239" s="13">
        <f>YEAR(Weekly_Prices[[#This Row],[Date]])</f>
        <v>2007</v>
      </c>
      <c r="M239" s="13">
        <f>MONTH(Weekly_Prices[[#This Row],[Date]])</f>
        <v>12</v>
      </c>
      <c r="N239" s="3" t="str">
        <f>TEXT(Weekly_Prices[[#This Row],[Date]],"MMMM")</f>
        <v>December</v>
      </c>
      <c r="O239" s="3" t="str">
        <f>YEAR(Weekly_Prices[[#This Row],[Date]])&amp;"-"&amp;TEXT(WEEKNUM(Weekly_Prices[[#This Row],[Date]],2),"00")</f>
        <v>2007-52</v>
      </c>
    </row>
    <row r="240" spans="1:15" x14ac:dyDescent="0.35">
      <c r="A240" s="2">
        <v>39447</v>
      </c>
      <c r="B240" s="3">
        <v>102.662329</v>
      </c>
      <c r="C240" s="4">
        <f t="shared" si="12"/>
        <v>0.13535699999999906</v>
      </c>
      <c r="D240" s="4">
        <f t="shared" si="10"/>
        <v>14.80914700000001</v>
      </c>
      <c r="E240" s="3">
        <v>50.35</v>
      </c>
      <c r="F240" s="3">
        <v>17.5</v>
      </c>
      <c r="G240" s="3">
        <v>107.605689</v>
      </c>
      <c r="H240" s="4">
        <f t="shared" si="13"/>
        <v>0.1015289999999851</v>
      </c>
      <c r="I240" s="4">
        <f t="shared" si="11"/>
        <v>14.203513999999998</v>
      </c>
      <c r="J240" s="3">
        <v>50.35</v>
      </c>
      <c r="K240" s="3">
        <v>17.5</v>
      </c>
      <c r="L240" s="13">
        <f>YEAR(Weekly_Prices[[#This Row],[Date]])</f>
        <v>2007</v>
      </c>
      <c r="M240" s="13">
        <f>MONTH(Weekly_Prices[[#This Row],[Date]])</f>
        <v>12</v>
      </c>
      <c r="N240" s="3" t="str">
        <f>TEXT(Weekly_Prices[[#This Row],[Date]],"MMMM")</f>
        <v>December</v>
      </c>
      <c r="O240" s="3" t="str">
        <f>YEAR(Weekly_Prices[[#This Row],[Date]])&amp;"-"&amp;TEXT(WEEKNUM(Weekly_Prices[[#This Row],[Date]],2),"00")</f>
        <v>2007-53</v>
      </c>
    </row>
    <row r="241" spans="1:15" x14ac:dyDescent="0.35">
      <c r="A241" s="2">
        <v>39454</v>
      </c>
      <c r="B241" s="3">
        <v>103.370474</v>
      </c>
      <c r="C241" s="4">
        <f t="shared" si="12"/>
        <v>0.7081450000000018</v>
      </c>
      <c r="D241" s="4">
        <f t="shared" si="10"/>
        <v>15.709933000000007</v>
      </c>
      <c r="E241" s="3">
        <v>50.35</v>
      </c>
      <c r="F241" s="3">
        <v>17.5</v>
      </c>
      <c r="G241" s="3">
        <v>108.294534</v>
      </c>
      <c r="H241" s="4">
        <f t="shared" si="13"/>
        <v>0.6888450000000006</v>
      </c>
      <c r="I241" s="4">
        <f t="shared" si="11"/>
        <v>15.183537000000015</v>
      </c>
      <c r="J241" s="3">
        <v>50.35</v>
      </c>
      <c r="K241" s="3">
        <v>17.5</v>
      </c>
      <c r="L241" s="13">
        <f>YEAR(Weekly_Prices[[#This Row],[Date]])</f>
        <v>2008</v>
      </c>
      <c r="M241" s="13">
        <f>MONTH(Weekly_Prices[[#This Row],[Date]])</f>
        <v>1</v>
      </c>
      <c r="N241" s="3" t="str">
        <f>TEXT(Weekly_Prices[[#This Row],[Date]],"MMMM")</f>
        <v>January</v>
      </c>
      <c r="O241" s="3" t="str">
        <f>YEAR(Weekly_Prices[[#This Row],[Date]])&amp;"-"&amp;TEXT(WEEKNUM(Weekly_Prices[[#This Row],[Date]],2),"00")</f>
        <v>2008-02</v>
      </c>
    </row>
    <row r="242" spans="1:15" x14ac:dyDescent="0.35">
      <c r="A242" s="2">
        <v>39461</v>
      </c>
      <c r="B242" s="3">
        <v>103.82266499999999</v>
      </c>
      <c r="C242" s="4">
        <f t="shared" si="12"/>
        <v>0.45219099999998491</v>
      </c>
      <c r="D242" s="4">
        <f t="shared" si="10"/>
        <v>16.72761899999999</v>
      </c>
      <c r="E242" s="3">
        <v>50.35</v>
      </c>
      <c r="F242" s="3">
        <v>17.5</v>
      </c>
      <c r="G242" s="3">
        <v>108.769324</v>
      </c>
      <c r="H242" s="4">
        <f t="shared" si="13"/>
        <v>0.47478999999999871</v>
      </c>
      <c r="I242" s="4">
        <f t="shared" si="11"/>
        <v>17.215644999999995</v>
      </c>
      <c r="J242" s="3">
        <v>50.35</v>
      </c>
      <c r="K242" s="3">
        <v>17.5</v>
      </c>
      <c r="L242" s="13">
        <f>YEAR(Weekly_Prices[[#This Row],[Date]])</f>
        <v>2008</v>
      </c>
      <c r="M242" s="13">
        <f>MONTH(Weekly_Prices[[#This Row],[Date]])</f>
        <v>1</v>
      </c>
      <c r="N242" s="3" t="str">
        <f>TEXT(Weekly_Prices[[#This Row],[Date]],"MMMM")</f>
        <v>January</v>
      </c>
      <c r="O242" s="3" t="str">
        <f>YEAR(Weekly_Prices[[#This Row],[Date]])&amp;"-"&amp;TEXT(WEEKNUM(Weekly_Prices[[#This Row],[Date]],2),"00")</f>
        <v>2008-03</v>
      </c>
    </row>
    <row r="243" spans="1:15" x14ac:dyDescent="0.35">
      <c r="A243" s="2">
        <v>39468</v>
      </c>
      <c r="B243" s="3">
        <v>104.22351599999999</v>
      </c>
      <c r="C243" s="4">
        <f t="shared" si="12"/>
        <v>0.40085100000000295</v>
      </c>
      <c r="D243" s="4">
        <f t="shared" si="10"/>
        <v>17.944647999999987</v>
      </c>
      <c r="E243" s="3">
        <v>50.35</v>
      </c>
      <c r="F243" s="3">
        <v>17.5</v>
      </c>
      <c r="G243" s="3">
        <v>109.08954300000001</v>
      </c>
      <c r="H243" s="4">
        <f t="shared" si="13"/>
        <v>0.32021900000000869</v>
      </c>
      <c r="I243" s="4">
        <f t="shared" si="11"/>
        <v>18.635815000000008</v>
      </c>
      <c r="J243" s="3">
        <v>50.35</v>
      </c>
      <c r="K243" s="3">
        <v>17.5</v>
      </c>
      <c r="L243" s="13">
        <f>YEAR(Weekly_Prices[[#This Row],[Date]])</f>
        <v>2008</v>
      </c>
      <c r="M243" s="13">
        <f>MONTH(Weekly_Prices[[#This Row],[Date]])</f>
        <v>1</v>
      </c>
      <c r="N243" s="3" t="str">
        <f>TEXT(Weekly_Prices[[#This Row],[Date]],"MMMM")</f>
        <v>January</v>
      </c>
      <c r="O243" s="3" t="str">
        <f>YEAR(Weekly_Prices[[#This Row],[Date]])&amp;"-"&amp;TEXT(WEEKNUM(Weekly_Prices[[#This Row],[Date]],2),"00")</f>
        <v>2008-04</v>
      </c>
    </row>
    <row r="244" spans="1:15" x14ac:dyDescent="0.35">
      <c r="A244" s="2">
        <v>39475</v>
      </c>
      <c r="B244" s="3">
        <v>104.22473800000002</v>
      </c>
      <c r="C244" s="4">
        <f t="shared" si="12"/>
        <v>1.2220000000269238E-3</v>
      </c>
      <c r="D244" s="4">
        <f t="shared" si="10"/>
        <v>18.567623000000026</v>
      </c>
      <c r="E244" s="3">
        <v>50.35</v>
      </c>
      <c r="F244" s="3">
        <v>17.5</v>
      </c>
      <c r="G244" s="3">
        <v>109.10698400000001</v>
      </c>
      <c r="H244" s="4">
        <f t="shared" si="13"/>
        <v>1.7441000000005147E-2</v>
      </c>
      <c r="I244" s="4">
        <f t="shared" si="11"/>
        <v>19.409244000000001</v>
      </c>
      <c r="J244" s="3">
        <v>50.35</v>
      </c>
      <c r="K244" s="3">
        <v>17.5</v>
      </c>
      <c r="L244" s="13">
        <f>YEAR(Weekly_Prices[[#This Row],[Date]])</f>
        <v>2008</v>
      </c>
      <c r="M244" s="13">
        <f>MONTH(Weekly_Prices[[#This Row],[Date]])</f>
        <v>1</v>
      </c>
      <c r="N244" s="3" t="str">
        <f>TEXT(Weekly_Prices[[#This Row],[Date]],"MMMM")</f>
        <v>January</v>
      </c>
      <c r="O244" s="3" t="str">
        <f>YEAR(Weekly_Prices[[#This Row],[Date]])&amp;"-"&amp;TEXT(WEEKNUM(Weekly_Prices[[#This Row],[Date]],2),"00")</f>
        <v>2008-05</v>
      </c>
    </row>
    <row r="245" spans="1:15" x14ac:dyDescent="0.35">
      <c r="A245" s="2">
        <v>39482</v>
      </c>
      <c r="B245" s="3">
        <v>104.02678699999998</v>
      </c>
      <c r="C245" s="4">
        <f t="shared" si="12"/>
        <v>-0.19795100000003174</v>
      </c>
      <c r="D245" s="4">
        <f t="shared" si="10"/>
        <v>18.408757999999992</v>
      </c>
      <c r="E245" s="3">
        <v>50.35</v>
      </c>
      <c r="F245" s="3">
        <v>17.5</v>
      </c>
      <c r="G245" s="3">
        <v>108.98769500000002</v>
      </c>
      <c r="H245" s="4">
        <f t="shared" si="13"/>
        <v>-0.11928899999999487</v>
      </c>
      <c r="I245" s="4">
        <f t="shared" si="11"/>
        <v>19.360599000000008</v>
      </c>
      <c r="J245" s="3">
        <v>50.35</v>
      </c>
      <c r="K245" s="3">
        <v>17.5</v>
      </c>
      <c r="L245" s="13">
        <f>YEAR(Weekly_Prices[[#This Row],[Date]])</f>
        <v>2008</v>
      </c>
      <c r="M245" s="13">
        <f>MONTH(Weekly_Prices[[#This Row],[Date]])</f>
        <v>2</v>
      </c>
      <c r="N245" s="3" t="str">
        <f>TEXT(Weekly_Prices[[#This Row],[Date]],"MMMM")</f>
        <v>February</v>
      </c>
      <c r="O245" s="3" t="str">
        <f>YEAR(Weekly_Prices[[#This Row],[Date]])&amp;"-"&amp;TEXT(WEEKNUM(Weekly_Prices[[#This Row],[Date]],2),"00")</f>
        <v>2008-06</v>
      </c>
    </row>
    <row r="246" spans="1:15" x14ac:dyDescent="0.35">
      <c r="A246" s="2">
        <v>39489</v>
      </c>
      <c r="B246" s="3">
        <v>103.67020199999999</v>
      </c>
      <c r="C246" s="4">
        <f t="shared" si="12"/>
        <v>-0.35658499999999549</v>
      </c>
      <c r="D246" s="4">
        <f t="shared" si="10"/>
        <v>17.547555000000003</v>
      </c>
      <c r="E246" s="3">
        <v>50.35</v>
      </c>
      <c r="F246" s="3">
        <v>17.5</v>
      </c>
      <c r="G246" s="3">
        <v>108.86261200000001</v>
      </c>
      <c r="H246" s="4">
        <f t="shared" si="13"/>
        <v>-0.12508300000000361</v>
      </c>
      <c r="I246" s="4">
        <f t="shared" si="11"/>
        <v>18.753423000000012</v>
      </c>
      <c r="J246" s="3">
        <v>50.35</v>
      </c>
      <c r="K246" s="3">
        <v>17.5</v>
      </c>
      <c r="L246" s="13">
        <f>YEAR(Weekly_Prices[[#This Row],[Date]])</f>
        <v>2008</v>
      </c>
      <c r="M246" s="13">
        <f>MONTH(Weekly_Prices[[#This Row],[Date]])</f>
        <v>2</v>
      </c>
      <c r="N246" s="3" t="str">
        <f>TEXT(Weekly_Prices[[#This Row],[Date]],"MMMM")</f>
        <v>February</v>
      </c>
      <c r="O246" s="3" t="str">
        <f>YEAR(Weekly_Prices[[#This Row],[Date]])&amp;"-"&amp;TEXT(WEEKNUM(Weekly_Prices[[#This Row],[Date]],2),"00")</f>
        <v>2008-07</v>
      </c>
    </row>
    <row r="247" spans="1:15" x14ac:dyDescent="0.35">
      <c r="A247" s="2">
        <v>39496</v>
      </c>
      <c r="B247" s="3">
        <v>103.695297</v>
      </c>
      <c r="C247" s="4">
        <f t="shared" si="12"/>
        <v>2.5095000000007417E-2</v>
      </c>
      <c r="D247" s="4">
        <f t="shared" ref="D247:D310" si="14">B247-B195</f>
        <v>17.096181000000001</v>
      </c>
      <c r="E247" s="3">
        <v>50.35</v>
      </c>
      <c r="F247" s="3">
        <v>17.5</v>
      </c>
      <c r="G247" s="3">
        <v>108.98832900000001</v>
      </c>
      <c r="H247" s="4">
        <f t="shared" si="13"/>
        <v>0.12571699999999453</v>
      </c>
      <c r="I247" s="4">
        <f t="shared" ref="I247:I310" si="15">G247-G195</f>
        <v>18.438950999999989</v>
      </c>
      <c r="J247" s="3">
        <v>50.35</v>
      </c>
      <c r="K247" s="3">
        <v>17.5</v>
      </c>
      <c r="L247" s="13">
        <f>YEAR(Weekly_Prices[[#This Row],[Date]])</f>
        <v>2008</v>
      </c>
      <c r="M247" s="13">
        <f>MONTH(Weekly_Prices[[#This Row],[Date]])</f>
        <v>2</v>
      </c>
      <c r="N247" s="3" t="str">
        <f>TEXT(Weekly_Prices[[#This Row],[Date]],"MMMM")</f>
        <v>February</v>
      </c>
      <c r="O247" s="3" t="str">
        <f>YEAR(Weekly_Prices[[#This Row],[Date]])&amp;"-"&amp;TEXT(WEEKNUM(Weekly_Prices[[#This Row],[Date]],2),"00")</f>
        <v>2008-08</v>
      </c>
    </row>
    <row r="248" spans="1:15" x14ac:dyDescent="0.35">
      <c r="A248" s="2">
        <v>39503</v>
      </c>
      <c r="B248" s="3">
        <v>104.648274</v>
      </c>
      <c r="C248" s="4">
        <f t="shared" si="12"/>
        <v>0.95297700000000418</v>
      </c>
      <c r="D248" s="4">
        <f t="shared" si="14"/>
        <v>17.581823</v>
      </c>
      <c r="E248" s="3">
        <v>50.35</v>
      </c>
      <c r="F248" s="3">
        <v>17.5</v>
      </c>
      <c r="G248" s="3">
        <v>110.209473</v>
      </c>
      <c r="H248" s="4">
        <f t="shared" si="13"/>
        <v>1.2211439999999953</v>
      </c>
      <c r="I248" s="4">
        <f t="shared" si="15"/>
        <v>19.186281999999977</v>
      </c>
      <c r="J248" s="3">
        <v>50.35</v>
      </c>
      <c r="K248" s="3">
        <v>17.5</v>
      </c>
      <c r="L248" s="13">
        <f>YEAR(Weekly_Prices[[#This Row],[Date]])</f>
        <v>2008</v>
      </c>
      <c r="M248" s="13">
        <f>MONTH(Weekly_Prices[[#This Row],[Date]])</f>
        <v>2</v>
      </c>
      <c r="N248" s="3" t="str">
        <f>TEXT(Weekly_Prices[[#This Row],[Date]],"MMMM")</f>
        <v>February</v>
      </c>
      <c r="O248" s="3" t="str">
        <f>YEAR(Weekly_Prices[[#This Row],[Date]])&amp;"-"&amp;TEXT(WEEKNUM(Weekly_Prices[[#This Row],[Date]],2),"00")</f>
        <v>2008-09</v>
      </c>
    </row>
    <row r="249" spans="1:15" x14ac:dyDescent="0.35">
      <c r="A249" s="2">
        <v>39510</v>
      </c>
      <c r="B249" s="3">
        <v>105.23825299999999</v>
      </c>
      <c r="C249" s="4">
        <f t="shared" si="12"/>
        <v>0.58997899999998538</v>
      </c>
      <c r="D249" s="4">
        <f t="shared" si="14"/>
        <v>17.493280999999996</v>
      </c>
      <c r="E249" s="3">
        <v>50.35</v>
      </c>
      <c r="F249" s="3">
        <v>17.5</v>
      </c>
      <c r="G249" s="3">
        <v>110.903592</v>
      </c>
      <c r="H249" s="4">
        <f t="shared" si="13"/>
        <v>0.6941190000000006</v>
      </c>
      <c r="I249" s="4">
        <f t="shared" si="15"/>
        <v>19.311495000000008</v>
      </c>
      <c r="J249" s="3">
        <v>50.35</v>
      </c>
      <c r="K249" s="3">
        <v>17.5</v>
      </c>
      <c r="L249" s="13">
        <f>YEAR(Weekly_Prices[[#This Row],[Date]])</f>
        <v>2008</v>
      </c>
      <c r="M249" s="13">
        <f>MONTH(Weekly_Prices[[#This Row],[Date]])</f>
        <v>3</v>
      </c>
      <c r="N249" s="3" t="str">
        <f>TEXT(Weekly_Prices[[#This Row],[Date]],"MMMM")</f>
        <v>March</v>
      </c>
      <c r="O249" s="3" t="str">
        <f>YEAR(Weekly_Prices[[#This Row],[Date]])&amp;"-"&amp;TEXT(WEEKNUM(Weekly_Prices[[#This Row],[Date]],2),"00")</f>
        <v>2008-10</v>
      </c>
    </row>
    <row r="250" spans="1:15" x14ac:dyDescent="0.35">
      <c r="A250" s="2">
        <v>39517</v>
      </c>
      <c r="B250" s="3">
        <v>105.95728799999999</v>
      </c>
      <c r="C250" s="4">
        <f t="shared" si="12"/>
        <v>0.7190350000000052</v>
      </c>
      <c r="D250" s="4">
        <f t="shared" si="14"/>
        <v>17.477555999999993</v>
      </c>
      <c r="E250" s="3">
        <v>50.35</v>
      </c>
      <c r="F250" s="3">
        <v>17.5</v>
      </c>
      <c r="G250" s="3">
        <v>112.22829300000001</v>
      </c>
      <c r="H250" s="4">
        <f t="shared" si="13"/>
        <v>1.3247010000000046</v>
      </c>
      <c r="I250" s="4">
        <f t="shared" si="15"/>
        <v>20.061240999999995</v>
      </c>
      <c r="J250" s="3">
        <v>50.35</v>
      </c>
      <c r="K250" s="3">
        <v>17.5</v>
      </c>
      <c r="L250" s="13">
        <f>YEAR(Weekly_Prices[[#This Row],[Date]])</f>
        <v>2008</v>
      </c>
      <c r="M250" s="13">
        <f>MONTH(Weekly_Prices[[#This Row],[Date]])</f>
        <v>3</v>
      </c>
      <c r="N250" s="3" t="str">
        <f>TEXT(Weekly_Prices[[#This Row],[Date]],"MMMM")</f>
        <v>March</v>
      </c>
      <c r="O250" s="3" t="str">
        <f>YEAR(Weekly_Prices[[#This Row],[Date]])&amp;"-"&amp;TEXT(WEEKNUM(Weekly_Prices[[#This Row],[Date]],2),"00")</f>
        <v>2008-11</v>
      </c>
    </row>
    <row r="251" spans="1:15" x14ac:dyDescent="0.35">
      <c r="A251" s="2">
        <v>39524</v>
      </c>
      <c r="B251" s="3">
        <v>106.41453199999998</v>
      </c>
      <c r="C251" s="4">
        <f t="shared" si="12"/>
        <v>0.45724399999998866</v>
      </c>
      <c r="D251" s="4">
        <f t="shared" si="14"/>
        <v>17.480068999999972</v>
      </c>
      <c r="E251" s="3">
        <v>50.35</v>
      </c>
      <c r="F251" s="3">
        <v>17.5</v>
      </c>
      <c r="G251" s="3">
        <v>113.08173300000001</v>
      </c>
      <c r="H251" s="4">
        <f t="shared" si="13"/>
        <v>0.85344000000000619</v>
      </c>
      <c r="I251" s="4">
        <f t="shared" si="15"/>
        <v>20.476153000000025</v>
      </c>
      <c r="J251" s="3">
        <v>50.35</v>
      </c>
      <c r="K251" s="3">
        <v>17.5</v>
      </c>
      <c r="L251" s="13">
        <f>YEAR(Weekly_Prices[[#This Row],[Date]])</f>
        <v>2008</v>
      </c>
      <c r="M251" s="13">
        <f>MONTH(Weekly_Prices[[#This Row],[Date]])</f>
        <v>3</v>
      </c>
      <c r="N251" s="3" t="str">
        <f>TEXT(Weekly_Prices[[#This Row],[Date]],"MMMM")</f>
        <v>March</v>
      </c>
      <c r="O251" s="3" t="str">
        <f>YEAR(Weekly_Prices[[#This Row],[Date]])&amp;"-"&amp;TEXT(WEEKNUM(Weekly_Prices[[#This Row],[Date]],2),"00")</f>
        <v>2008-12</v>
      </c>
    </row>
    <row r="252" spans="1:15" x14ac:dyDescent="0.35">
      <c r="A252" s="2">
        <v>39531</v>
      </c>
      <c r="B252" s="3">
        <v>106.904702</v>
      </c>
      <c r="C252" s="4">
        <f t="shared" si="12"/>
        <v>0.49017000000002042</v>
      </c>
      <c r="D252" s="4">
        <f t="shared" si="14"/>
        <v>17.584771000000003</v>
      </c>
      <c r="E252" s="3">
        <v>50.35</v>
      </c>
      <c r="F252" s="3">
        <v>17.5</v>
      </c>
      <c r="G252" s="3">
        <v>114.401065</v>
      </c>
      <c r="H252" s="4">
        <f t="shared" si="13"/>
        <v>1.3193319999999886</v>
      </c>
      <c r="I252" s="4">
        <f t="shared" si="15"/>
        <v>21.489203000000003</v>
      </c>
      <c r="J252" s="3">
        <v>50.35</v>
      </c>
      <c r="K252" s="3">
        <v>17.5</v>
      </c>
      <c r="L252" s="13">
        <f>YEAR(Weekly_Prices[[#This Row],[Date]])</f>
        <v>2008</v>
      </c>
      <c r="M252" s="13">
        <f>MONTH(Weekly_Prices[[#This Row],[Date]])</f>
        <v>3</v>
      </c>
      <c r="N252" s="3" t="str">
        <f>TEXT(Weekly_Prices[[#This Row],[Date]],"MMMM")</f>
        <v>March</v>
      </c>
      <c r="O252" s="3" t="str">
        <f>YEAR(Weekly_Prices[[#This Row],[Date]])&amp;"-"&amp;TEXT(WEEKNUM(Weekly_Prices[[#This Row],[Date]],2),"00")</f>
        <v>2008-13</v>
      </c>
    </row>
    <row r="253" spans="1:15" x14ac:dyDescent="0.35">
      <c r="A253" s="2">
        <v>39538</v>
      </c>
      <c r="B253" s="3">
        <v>107.10092999999999</v>
      </c>
      <c r="C253" s="4">
        <f t="shared" si="12"/>
        <v>0.19622799999999074</v>
      </c>
      <c r="D253" s="4">
        <f t="shared" si="14"/>
        <v>16.629868999999985</v>
      </c>
      <c r="E253" s="3">
        <v>50.35</v>
      </c>
      <c r="F253" s="3">
        <v>17.5</v>
      </c>
      <c r="G253" s="3">
        <v>114.786378</v>
      </c>
      <c r="H253" s="4">
        <f t="shared" si="13"/>
        <v>0.38531299999999646</v>
      </c>
      <c r="I253" s="4">
        <f t="shared" si="15"/>
        <v>20.882773000000014</v>
      </c>
      <c r="J253" s="3">
        <v>50.35</v>
      </c>
      <c r="K253" s="3">
        <v>17.5</v>
      </c>
      <c r="L253" s="13">
        <f>YEAR(Weekly_Prices[[#This Row],[Date]])</f>
        <v>2008</v>
      </c>
      <c r="M253" s="13">
        <f>MONTH(Weekly_Prices[[#This Row],[Date]])</f>
        <v>3</v>
      </c>
      <c r="N253" s="3" t="str">
        <f>TEXT(Weekly_Prices[[#This Row],[Date]],"MMMM")</f>
        <v>March</v>
      </c>
      <c r="O253" s="3" t="str">
        <f>YEAR(Weekly_Prices[[#This Row],[Date]])&amp;"-"&amp;TEXT(WEEKNUM(Weekly_Prices[[#This Row],[Date]],2),"00")</f>
        <v>2008-14</v>
      </c>
    </row>
    <row r="254" spans="1:15" x14ac:dyDescent="0.35">
      <c r="A254" s="2">
        <v>39545</v>
      </c>
      <c r="B254" s="3">
        <v>107.23669500000003</v>
      </c>
      <c r="C254" s="4">
        <f t="shared" si="12"/>
        <v>0.13576500000003477</v>
      </c>
      <c r="D254" s="4">
        <f t="shared" si="14"/>
        <v>16.060255000000026</v>
      </c>
      <c r="E254" s="3">
        <v>50.35</v>
      </c>
      <c r="F254" s="3">
        <v>17.5</v>
      </c>
      <c r="G254" s="3">
        <v>115.46992700000001</v>
      </c>
      <c r="H254" s="4">
        <f t="shared" si="13"/>
        <v>0.68354900000001351</v>
      </c>
      <c r="I254" s="4">
        <f t="shared" si="15"/>
        <v>21.13519100000002</v>
      </c>
      <c r="J254" s="3">
        <v>50.35</v>
      </c>
      <c r="K254" s="3">
        <v>17.5</v>
      </c>
      <c r="L254" s="13">
        <f>YEAR(Weekly_Prices[[#This Row],[Date]])</f>
        <v>2008</v>
      </c>
      <c r="M254" s="13">
        <f>MONTH(Weekly_Prices[[#This Row],[Date]])</f>
        <v>4</v>
      </c>
      <c r="N254" s="3" t="str">
        <f>TEXT(Weekly_Prices[[#This Row],[Date]],"MMMM")</f>
        <v>April</v>
      </c>
      <c r="O254" s="3" t="str">
        <f>YEAR(Weekly_Prices[[#This Row],[Date]])&amp;"-"&amp;TEXT(WEEKNUM(Weekly_Prices[[#This Row],[Date]],2),"00")</f>
        <v>2008-15</v>
      </c>
    </row>
    <row r="255" spans="1:15" x14ac:dyDescent="0.35">
      <c r="A255" s="2">
        <v>39552</v>
      </c>
      <c r="B255" s="3">
        <v>107.61287</v>
      </c>
      <c r="C255" s="4">
        <f t="shared" si="12"/>
        <v>0.37617499999997506</v>
      </c>
      <c r="D255" s="4">
        <f t="shared" si="14"/>
        <v>15.618857999999989</v>
      </c>
      <c r="E255" s="3">
        <v>50.35</v>
      </c>
      <c r="F255" s="3">
        <v>17.5</v>
      </c>
      <c r="G255" s="3">
        <v>116.50716700000001</v>
      </c>
      <c r="H255" s="4">
        <f t="shared" si="13"/>
        <v>1.0372399999999971</v>
      </c>
      <c r="I255" s="4">
        <f t="shared" si="15"/>
        <v>21.651620000000008</v>
      </c>
      <c r="J255" s="3">
        <v>50.35</v>
      </c>
      <c r="K255" s="3">
        <v>17.5</v>
      </c>
      <c r="L255" s="13">
        <f>YEAR(Weekly_Prices[[#This Row],[Date]])</f>
        <v>2008</v>
      </c>
      <c r="M255" s="13">
        <f>MONTH(Weekly_Prices[[#This Row],[Date]])</f>
        <v>4</v>
      </c>
      <c r="N255" s="3" t="str">
        <f>TEXT(Weekly_Prices[[#This Row],[Date]],"MMMM")</f>
        <v>April</v>
      </c>
      <c r="O255" s="3" t="str">
        <f>YEAR(Weekly_Prices[[#This Row],[Date]])&amp;"-"&amp;TEXT(WEEKNUM(Weekly_Prices[[#This Row],[Date]],2),"00")</f>
        <v>2008-16</v>
      </c>
    </row>
    <row r="256" spans="1:15" x14ac:dyDescent="0.35">
      <c r="A256" s="2">
        <v>39559</v>
      </c>
      <c r="B256" s="3">
        <v>108.571038</v>
      </c>
      <c r="C256" s="4">
        <f t="shared" si="12"/>
        <v>0.95816800000000057</v>
      </c>
      <c r="D256" s="4">
        <f t="shared" si="14"/>
        <v>15.637687999999997</v>
      </c>
      <c r="E256" s="3">
        <v>50.35</v>
      </c>
      <c r="F256" s="3">
        <v>17.5</v>
      </c>
      <c r="G256" s="3">
        <v>118.056865</v>
      </c>
      <c r="H256" s="4">
        <f t="shared" si="13"/>
        <v>1.5496979999999922</v>
      </c>
      <c r="I256" s="4">
        <f t="shared" si="15"/>
        <v>22.667314000000005</v>
      </c>
      <c r="J256" s="3">
        <v>50.35</v>
      </c>
      <c r="K256" s="3">
        <v>17.5</v>
      </c>
      <c r="L256" s="13">
        <f>YEAR(Weekly_Prices[[#This Row],[Date]])</f>
        <v>2008</v>
      </c>
      <c r="M256" s="13">
        <f>MONTH(Weekly_Prices[[#This Row],[Date]])</f>
        <v>4</v>
      </c>
      <c r="N256" s="3" t="str">
        <f>TEXT(Weekly_Prices[[#This Row],[Date]],"MMMM")</f>
        <v>April</v>
      </c>
      <c r="O256" s="3" t="str">
        <f>YEAR(Weekly_Prices[[#This Row],[Date]])&amp;"-"&amp;TEXT(WEEKNUM(Weekly_Prices[[#This Row],[Date]],2),"00")</f>
        <v>2008-17</v>
      </c>
    </row>
    <row r="257" spans="1:15" x14ac:dyDescent="0.35">
      <c r="A257" s="2">
        <v>39566</v>
      </c>
      <c r="B257" s="3">
        <v>109.49959299999999</v>
      </c>
      <c r="C257" s="4">
        <f t="shared" si="12"/>
        <v>0.92855499999998869</v>
      </c>
      <c r="D257" s="4">
        <f t="shared" si="14"/>
        <v>16.046085000000005</v>
      </c>
      <c r="E257" s="3">
        <v>50.35</v>
      </c>
      <c r="F257" s="3">
        <v>17.5</v>
      </c>
      <c r="G257" s="3">
        <v>119.09900300000001</v>
      </c>
      <c r="H257" s="4">
        <f t="shared" si="13"/>
        <v>1.0421380000000084</v>
      </c>
      <c r="I257" s="4">
        <f t="shared" si="15"/>
        <v>23.384597000000014</v>
      </c>
      <c r="J257" s="3">
        <v>50.35</v>
      </c>
      <c r="K257" s="3">
        <v>17.5</v>
      </c>
      <c r="L257" s="13">
        <f>YEAR(Weekly_Prices[[#This Row],[Date]])</f>
        <v>2008</v>
      </c>
      <c r="M257" s="13">
        <f>MONTH(Weekly_Prices[[#This Row],[Date]])</f>
        <v>4</v>
      </c>
      <c r="N257" s="3" t="str">
        <f>TEXT(Weekly_Prices[[#This Row],[Date]],"MMMM")</f>
        <v>April</v>
      </c>
      <c r="O257" s="3" t="str">
        <f>YEAR(Weekly_Prices[[#This Row],[Date]])&amp;"-"&amp;TEXT(WEEKNUM(Weekly_Prices[[#This Row],[Date]],2),"00")</f>
        <v>2008-18</v>
      </c>
    </row>
    <row r="258" spans="1:15" x14ac:dyDescent="0.35">
      <c r="A258" s="2">
        <v>39573</v>
      </c>
      <c r="B258" s="3">
        <v>110.297523</v>
      </c>
      <c r="C258" s="4">
        <f t="shared" si="12"/>
        <v>0.79793000000000802</v>
      </c>
      <c r="D258" s="4">
        <f t="shared" si="14"/>
        <v>15.871149000000017</v>
      </c>
      <c r="E258" s="3">
        <v>50.35</v>
      </c>
      <c r="F258" s="3">
        <v>17.5</v>
      </c>
      <c r="G258" s="3">
        <v>120.36836300000002</v>
      </c>
      <c r="H258" s="4">
        <f t="shared" si="13"/>
        <v>1.269360000000006</v>
      </c>
      <c r="I258" s="4">
        <f t="shared" si="15"/>
        <v>24.250097000000011</v>
      </c>
      <c r="J258" s="3">
        <v>50.35</v>
      </c>
      <c r="K258" s="3">
        <v>17.5</v>
      </c>
      <c r="L258" s="13">
        <f>YEAR(Weekly_Prices[[#This Row],[Date]])</f>
        <v>2008</v>
      </c>
      <c r="M258" s="13">
        <f>MONTH(Weekly_Prices[[#This Row],[Date]])</f>
        <v>5</v>
      </c>
      <c r="N258" s="3" t="str">
        <f>TEXT(Weekly_Prices[[#This Row],[Date]],"MMMM")</f>
        <v>May</v>
      </c>
      <c r="O258" s="3" t="str">
        <f>YEAR(Weekly_Prices[[#This Row],[Date]])&amp;"-"&amp;TEXT(WEEKNUM(Weekly_Prices[[#This Row],[Date]],2),"00")</f>
        <v>2008-19</v>
      </c>
    </row>
    <row r="259" spans="1:15" x14ac:dyDescent="0.35">
      <c r="A259" s="2">
        <v>39580</v>
      </c>
      <c r="B259" s="3">
        <v>111.042185</v>
      </c>
      <c r="C259" s="4">
        <f t="shared" ref="C259:C322" si="16">B259-B258</f>
        <v>0.74466200000000526</v>
      </c>
      <c r="D259" s="4">
        <f t="shared" si="14"/>
        <v>15.970831000000004</v>
      </c>
      <c r="E259" s="3">
        <v>50.35</v>
      </c>
      <c r="F259" s="3">
        <v>17.5</v>
      </c>
      <c r="G259" s="3">
        <v>121.48515300000001</v>
      </c>
      <c r="H259" s="4">
        <f t="shared" ref="H259:H322" si="17">G259-G258</f>
        <v>1.1167899999999946</v>
      </c>
      <c r="I259" s="4">
        <f t="shared" si="15"/>
        <v>25.017706000000018</v>
      </c>
      <c r="J259" s="3">
        <v>50.35</v>
      </c>
      <c r="K259" s="3">
        <v>17.5</v>
      </c>
      <c r="L259" s="13">
        <f>YEAR(Weekly_Prices[[#This Row],[Date]])</f>
        <v>2008</v>
      </c>
      <c r="M259" s="13">
        <f>MONTH(Weekly_Prices[[#This Row],[Date]])</f>
        <v>5</v>
      </c>
      <c r="N259" s="3" t="str">
        <f>TEXT(Weekly_Prices[[#This Row],[Date]],"MMMM")</f>
        <v>May</v>
      </c>
      <c r="O259" s="3" t="str">
        <f>YEAR(Weekly_Prices[[#This Row],[Date]])&amp;"-"&amp;TEXT(WEEKNUM(Weekly_Prices[[#This Row],[Date]],2),"00")</f>
        <v>2008-20</v>
      </c>
    </row>
    <row r="260" spans="1:15" x14ac:dyDescent="0.35">
      <c r="A260" s="2">
        <v>39587</v>
      </c>
      <c r="B260" s="3">
        <v>112.959507</v>
      </c>
      <c r="C260" s="4">
        <f t="shared" si="16"/>
        <v>1.9173219999999986</v>
      </c>
      <c r="D260" s="4">
        <f t="shared" si="14"/>
        <v>17.253720000000001</v>
      </c>
      <c r="E260" s="3">
        <v>50.35</v>
      </c>
      <c r="F260" s="3">
        <v>17.5</v>
      </c>
      <c r="G260" s="3">
        <v>124.50248300000001</v>
      </c>
      <c r="H260" s="4">
        <f t="shared" si="17"/>
        <v>3.0173300000000012</v>
      </c>
      <c r="I260" s="4">
        <f t="shared" si="15"/>
        <v>27.813791000000023</v>
      </c>
      <c r="J260" s="3">
        <v>50.35</v>
      </c>
      <c r="K260" s="3">
        <v>17.5</v>
      </c>
      <c r="L260" s="13">
        <f>YEAR(Weekly_Prices[[#This Row],[Date]])</f>
        <v>2008</v>
      </c>
      <c r="M260" s="13">
        <f>MONTH(Weekly_Prices[[#This Row],[Date]])</f>
        <v>5</v>
      </c>
      <c r="N260" s="3" t="str">
        <f>TEXT(Weekly_Prices[[#This Row],[Date]],"MMMM")</f>
        <v>May</v>
      </c>
      <c r="O260" s="3" t="str">
        <f>YEAR(Weekly_Prices[[#This Row],[Date]])&amp;"-"&amp;TEXT(WEEKNUM(Weekly_Prices[[#This Row],[Date]],2),"00")</f>
        <v>2008-21</v>
      </c>
    </row>
    <row r="261" spans="1:15" x14ac:dyDescent="0.35">
      <c r="A261" s="2">
        <v>39594</v>
      </c>
      <c r="B261" s="3">
        <v>114.78663800000001</v>
      </c>
      <c r="C261" s="4">
        <f t="shared" si="16"/>
        <v>1.8271310000000085</v>
      </c>
      <c r="D261" s="4">
        <f t="shared" si="14"/>
        <v>18.624422000000024</v>
      </c>
      <c r="E261" s="3">
        <v>50.35</v>
      </c>
      <c r="F261" s="3">
        <v>17.5</v>
      </c>
      <c r="G261" s="3">
        <v>127.214268</v>
      </c>
      <c r="H261" s="4">
        <f t="shared" si="17"/>
        <v>2.7117849999999919</v>
      </c>
      <c r="I261" s="4">
        <f t="shared" si="15"/>
        <v>30.224082999999993</v>
      </c>
      <c r="J261" s="3">
        <v>50.35</v>
      </c>
      <c r="K261" s="3">
        <v>17.5</v>
      </c>
      <c r="L261" s="13">
        <f>YEAR(Weekly_Prices[[#This Row],[Date]])</f>
        <v>2008</v>
      </c>
      <c r="M261" s="13">
        <f>MONTH(Weekly_Prices[[#This Row],[Date]])</f>
        <v>5</v>
      </c>
      <c r="N261" s="3" t="str">
        <f>TEXT(Weekly_Prices[[#This Row],[Date]],"MMMM")</f>
        <v>May</v>
      </c>
      <c r="O261" s="3" t="str">
        <f>YEAR(Weekly_Prices[[#This Row],[Date]])&amp;"-"&amp;TEXT(WEEKNUM(Weekly_Prices[[#This Row],[Date]],2),"00")</f>
        <v>2008-22</v>
      </c>
    </row>
    <row r="262" spans="1:15" x14ac:dyDescent="0.35">
      <c r="A262" s="2">
        <v>39601</v>
      </c>
      <c r="B262" s="3">
        <v>116.026901</v>
      </c>
      <c r="C262" s="4">
        <f t="shared" si="16"/>
        <v>1.2402629999999846</v>
      </c>
      <c r="D262" s="4">
        <f t="shared" si="14"/>
        <v>19.513914</v>
      </c>
      <c r="E262" s="3">
        <v>50.35</v>
      </c>
      <c r="F262" s="3">
        <v>17.5</v>
      </c>
      <c r="G262" s="3">
        <v>128.823004</v>
      </c>
      <c r="H262" s="4">
        <f t="shared" si="17"/>
        <v>1.6087359999999933</v>
      </c>
      <c r="I262" s="4">
        <f t="shared" si="15"/>
        <v>31.631526000000008</v>
      </c>
      <c r="J262" s="3">
        <v>50.35</v>
      </c>
      <c r="K262" s="3">
        <v>17.5</v>
      </c>
      <c r="L262" s="13">
        <f>YEAR(Weekly_Prices[[#This Row],[Date]])</f>
        <v>2008</v>
      </c>
      <c r="M262" s="13">
        <f>MONTH(Weekly_Prices[[#This Row],[Date]])</f>
        <v>6</v>
      </c>
      <c r="N262" s="3" t="str">
        <f>TEXT(Weekly_Prices[[#This Row],[Date]],"MMMM")</f>
        <v>June</v>
      </c>
      <c r="O262" s="3" t="str">
        <f>YEAR(Weekly_Prices[[#This Row],[Date]])&amp;"-"&amp;TEXT(WEEKNUM(Weekly_Prices[[#This Row],[Date]],2),"00")</f>
        <v>2008-23</v>
      </c>
    </row>
    <row r="263" spans="1:15" x14ac:dyDescent="0.35">
      <c r="A263" s="2">
        <v>39608</v>
      </c>
      <c r="B263" s="3">
        <v>116.85714299999999</v>
      </c>
      <c r="C263" s="4">
        <f t="shared" si="16"/>
        <v>0.83024199999999837</v>
      </c>
      <c r="D263" s="4">
        <f t="shared" si="14"/>
        <v>20.243691999999996</v>
      </c>
      <c r="E263" s="3">
        <v>50.35</v>
      </c>
      <c r="F263" s="3">
        <v>17.5</v>
      </c>
      <c r="G263" s="3">
        <v>129.68112399999998</v>
      </c>
      <c r="H263" s="4">
        <f t="shared" si="17"/>
        <v>0.85811999999998534</v>
      </c>
      <c r="I263" s="4">
        <f t="shared" si="15"/>
        <v>32.481440999999975</v>
      </c>
      <c r="J263" s="3">
        <v>50.35</v>
      </c>
      <c r="K263" s="3">
        <v>17.5</v>
      </c>
      <c r="L263" s="13">
        <f>YEAR(Weekly_Prices[[#This Row],[Date]])</f>
        <v>2008</v>
      </c>
      <c r="M263" s="13">
        <f>MONTH(Weekly_Prices[[#This Row],[Date]])</f>
        <v>6</v>
      </c>
      <c r="N263" s="3" t="str">
        <f>TEXT(Weekly_Prices[[#This Row],[Date]],"MMMM")</f>
        <v>June</v>
      </c>
      <c r="O263" s="3" t="str">
        <f>YEAR(Weekly_Prices[[#This Row],[Date]])&amp;"-"&amp;TEXT(WEEKNUM(Weekly_Prices[[#This Row],[Date]],2),"00")</f>
        <v>2008-24</v>
      </c>
    </row>
    <row r="264" spans="1:15" x14ac:dyDescent="0.35">
      <c r="A264" s="2">
        <v>39615</v>
      </c>
      <c r="B264" s="3">
        <v>117.69308400000001</v>
      </c>
      <c r="C264" s="4">
        <f t="shared" si="16"/>
        <v>0.83594100000001959</v>
      </c>
      <c r="D264" s="4">
        <f t="shared" si="14"/>
        <v>21.13367700000002</v>
      </c>
      <c r="E264" s="3">
        <v>50.35</v>
      </c>
      <c r="F264" s="3">
        <v>17.5</v>
      </c>
      <c r="G264" s="3">
        <v>130.66208599999999</v>
      </c>
      <c r="H264" s="4">
        <f t="shared" si="17"/>
        <v>0.98096200000000522</v>
      </c>
      <c r="I264" s="4">
        <f t="shared" si="15"/>
        <v>33.549272999999985</v>
      </c>
      <c r="J264" s="3">
        <v>50.35</v>
      </c>
      <c r="K264" s="3">
        <v>17.5</v>
      </c>
      <c r="L264" s="13">
        <f>YEAR(Weekly_Prices[[#This Row],[Date]])</f>
        <v>2008</v>
      </c>
      <c r="M264" s="13">
        <f>MONTH(Weekly_Prices[[#This Row],[Date]])</f>
        <v>6</v>
      </c>
      <c r="N264" s="3" t="str">
        <f>TEXT(Weekly_Prices[[#This Row],[Date]],"MMMM")</f>
        <v>June</v>
      </c>
      <c r="O264" s="3" t="str">
        <f>YEAR(Weekly_Prices[[#This Row],[Date]])&amp;"-"&amp;TEXT(WEEKNUM(Weekly_Prices[[#This Row],[Date]],2),"00")</f>
        <v>2008-25</v>
      </c>
    </row>
    <row r="265" spans="1:15" x14ac:dyDescent="0.35">
      <c r="A265" s="2">
        <v>39622</v>
      </c>
      <c r="B265" s="3">
        <v>118.439536</v>
      </c>
      <c r="C265" s="4">
        <f t="shared" si="16"/>
        <v>0.74645199999999079</v>
      </c>
      <c r="D265" s="4">
        <f t="shared" si="14"/>
        <v>21.897368999999998</v>
      </c>
      <c r="E265" s="3">
        <v>50.35</v>
      </c>
      <c r="F265" s="3">
        <v>17.5</v>
      </c>
      <c r="G265" s="3">
        <v>131.45034700000002</v>
      </c>
      <c r="H265" s="4">
        <f t="shared" si="17"/>
        <v>0.78826100000003407</v>
      </c>
      <c r="I265" s="4">
        <f t="shared" si="15"/>
        <v>34.327331000000015</v>
      </c>
      <c r="J265" s="3">
        <v>50.35</v>
      </c>
      <c r="K265" s="3">
        <v>17.5</v>
      </c>
      <c r="L265" s="13">
        <f>YEAR(Weekly_Prices[[#This Row],[Date]])</f>
        <v>2008</v>
      </c>
      <c r="M265" s="13">
        <f>MONTH(Weekly_Prices[[#This Row],[Date]])</f>
        <v>6</v>
      </c>
      <c r="N265" s="3" t="str">
        <f>TEXT(Weekly_Prices[[#This Row],[Date]],"MMMM")</f>
        <v>June</v>
      </c>
      <c r="O265" s="3" t="str">
        <f>YEAR(Weekly_Prices[[#This Row],[Date]])&amp;"-"&amp;TEXT(WEEKNUM(Weekly_Prices[[#This Row],[Date]],2),"00")</f>
        <v>2008-26</v>
      </c>
    </row>
    <row r="266" spans="1:15" x14ac:dyDescent="0.35">
      <c r="A266" s="2">
        <v>39629</v>
      </c>
      <c r="B266" s="3">
        <v>118.84484700000002</v>
      </c>
      <c r="C266" s="4">
        <f t="shared" si="16"/>
        <v>0.40531100000001175</v>
      </c>
      <c r="D266" s="4">
        <f t="shared" si="14"/>
        <v>22.486597000000017</v>
      </c>
      <c r="E266" s="3">
        <v>50.35</v>
      </c>
      <c r="F266" s="3">
        <v>17.5</v>
      </c>
      <c r="G266" s="3">
        <v>132.03092599999999</v>
      </c>
      <c r="H266" s="4">
        <f t="shared" si="17"/>
        <v>0.58057899999997176</v>
      </c>
      <c r="I266" s="4">
        <f t="shared" si="15"/>
        <v>35.143770000000004</v>
      </c>
      <c r="J266" s="3">
        <v>50.35</v>
      </c>
      <c r="K266" s="3">
        <v>17.5</v>
      </c>
      <c r="L266" s="13">
        <f>YEAR(Weekly_Prices[[#This Row],[Date]])</f>
        <v>2008</v>
      </c>
      <c r="M266" s="13">
        <f>MONTH(Weekly_Prices[[#This Row],[Date]])</f>
        <v>6</v>
      </c>
      <c r="N266" s="3" t="str">
        <f>TEXT(Weekly_Prices[[#This Row],[Date]],"MMMM")</f>
        <v>June</v>
      </c>
      <c r="O266" s="3" t="str">
        <f>YEAR(Weekly_Prices[[#This Row],[Date]])&amp;"-"&amp;TEXT(WEEKNUM(Weekly_Prices[[#This Row],[Date]],2),"00")</f>
        <v>2008-27</v>
      </c>
    </row>
    <row r="267" spans="1:15" x14ac:dyDescent="0.35">
      <c r="A267" s="2">
        <v>39636</v>
      </c>
      <c r="B267" s="3">
        <v>119.27641</v>
      </c>
      <c r="C267" s="4">
        <f t="shared" si="16"/>
        <v>0.43156299999998282</v>
      </c>
      <c r="D267" s="4">
        <f t="shared" si="14"/>
        <v>23.080180000000013</v>
      </c>
      <c r="E267" s="3">
        <v>50.35</v>
      </c>
      <c r="F267" s="3">
        <v>17.5</v>
      </c>
      <c r="G267" s="3">
        <v>132.552662</v>
      </c>
      <c r="H267" s="4">
        <f t="shared" si="17"/>
        <v>0.5217360000000042</v>
      </c>
      <c r="I267" s="4">
        <f t="shared" si="15"/>
        <v>35.774540999999999</v>
      </c>
      <c r="J267" s="3">
        <v>50.35</v>
      </c>
      <c r="K267" s="3">
        <v>17.5</v>
      </c>
      <c r="L267" s="13">
        <f>YEAR(Weekly_Prices[[#This Row],[Date]])</f>
        <v>2008</v>
      </c>
      <c r="M267" s="13">
        <f>MONTH(Weekly_Prices[[#This Row],[Date]])</f>
        <v>7</v>
      </c>
      <c r="N267" s="3" t="str">
        <f>TEXT(Weekly_Prices[[#This Row],[Date]],"MMMM")</f>
        <v>July</v>
      </c>
      <c r="O267" s="3" t="str">
        <f>YEAR(Weekly_Prices[[#This Row],[Date]])&amp;"-"&amp;TEXT(WEEKNUM(Weekly_Prices[[#This Row],[Date]],2),"00")</f>
        <v>2008-28</v>
      </c>
    </row>
    <row r="268" spans="1:15" x14ac:dyDescent="0.35">
      <c r="A268" s="2">
        <v>39643</v>
      </c>
      <c r="B268" s="3">
        <v>119.438039</v>
      </c>
      <c r="C268" s="4">
        <f t="shared" si="16"/>
        <v>0.16162900000000491</v>
      </c>
      <c r="D268" s="4">
        <f t="shared" si="14"/>
        <v>23.228292999999994</v>
      </c>
      <c r="E268" s="3">
        <v>50.35</v>
      </c>
      <c r="F268" s="3">
        <v>17.5</v>
      </c>
      <c r="G268" s="3">
        <v>132.87205299999999</v>
      </c>
      <c r="H268" s="4">
        <f t="shared" si="17"/>
        <v>0.31939099999999598</v>
      </c>
      <c r="I268" s="4">
        <f t="shared" si="15"/>
        <v>36.086637999999994</v>
      </c>
      <c r="J268" s="3">
        <v>50.35</v>
      </c>
      <c r="K268" s="3">
        <v>17.5</v>
      </c>
      <c r="L268" s="13">
        <f>YEAR(Weekly_Prices[[#This Row],[Date]])</f>
        <v>2008</v>
      </c>
      <c r="M268" s="13">
        <f>MONTH(Weekly_Prices[[#This Row],[Date]])</f>
        <v>7</v>
      </c>
      <c r="N268" s="3" t="str">
        <f>TEXT(Weekly_Prices[[#This Row],[Date]],"MMMM")</f>
        <v>July</v>
      </c>
      <c r="O268" s="3" t="str">
        <f>YEAR(Weekly_Prices[[#This Row],[Date]])&amp;"-"&amp;TEXT(WEEKNUM(Weekly_Prices[[#This Row],[Date]],2),"00")</f>
        <v>2008-29</v>
      </c>
    </row>
    <row r="269" spans="1:15" x14ac:dyDescent="0.35">
      <c r="A269" s="2">
        <v>39650</v>
      </c>
      <c r="B269" s="3">
        <v>119.401111</v>
      </c>
      <c r="C269" s="4">
        <f t="shared" si="16"/>
        <v>-3.6928000000003181E-2</v>
      </c>
      <c r="D269" s="4">
        <f t="shared" si="14"/>
        <v>23.168457000000004</v>
      </c>
      <c r="E269" s="3">
        <v>50.35</v>
      </c>
      <c r="F269" s="3">
        <v>17.5</v>
      </c>
      <c r="G269" s="3">
        <v>132.887911</v>
      </c>
      <c r="H269" s="4">
        <f t="shared" si="17"/>
        <v>1.5858000000008587E-2</v>
      </c>
      <c r="I269" s="4">
        <f t="shared" si="15"/>
        <v>36.05847</v>
      </c>
      <c r="J269" s="3">
        <v>50.35</v>
      </c>
      <c r="K269" s="3">
        <v>17.5</v>
      </c>
      <c r="L269" s="13">
        <f>YEAR(Weekly_Prices[[#This Row],[Date]])</f>
        <v>2008</v>
      </c>
      <c r="M269" s="13">
        <f>MONTH(Weekly_Prices[[#This Row],[Date]])</f>
        <v>7</v>
      </c>
      <c r="N269" s="3" t="str">
        <f>TEXT(Weekly_Prices[[#This Row],[Date]],"MMMM")</f>
        <v>July</v>
      </c>
      <c r="O269" s="3" t="str">
        <f>YEAR(Weekly_Prices[[#This Row],[Date]])&amp;"-"&amp;TEXT(WEEKNUM(Weekly_Prices[[#This Row],[Date]],2),"00")</f>
        <v>2008-30</v>
      </c>
    </row>
    <row r="270" spans="1:15" x14ac:dyDescent="0.35">
      <c r="A270" s="2">
        <v>39657</v>
      </c>
      <c r="B270" s="3">
        <v>116.91113999999999</v>
      </c>
      <c r="C270" s="4">
        <f t="shared" si="16"/>
        <v>-2.4899710000000113</v>
      </c>
      <c r="D270" s="4">
        <f t="shared" si="14"/>
        <v>20.714534999999998</v>
      </c>
      <c r="E270" s="3">
        <v>50.35</v>
      </c>
      <c r="F270" s="3">
        <v>17.5</v>
      </c>
      <c r="G270" s="3">
        <v>130.71054199999998</v>
      </c>
      <c r="H270" s="4">
        <f t="shared" si="17"/>
        <v>-2.1773690000000272</v>
      </c>
      <c r="I270" s="4">
        <f t="shared" si="15"/>
        <v>33.945024999999973</v>
      </c>
      <c r="J270" s="3">
        <v>50.35</v>
      </c>
      <c r="K270" s="3">
        <v>17.5</v>
      </c>
      <c r="L270" s="13">
        <f>YEAR(Weekly_Prices[[#This Row],[Date]])</f>
        <v>2008</v>
      </c>
      <c r="M270" s="13">
        <f>MONTH(Weekly_Prices[[#This Row],[Date]])</f>
        <v>7</v>
      </c>
      <c r="N270" s="3" t="str">
        <f>TEXT(Weekly_Prices[[#This Row],[Date]],"MMMM")</f>
        <v>July</v>
      </c>
      <c r="O270" s="3" t="str">
        <f>YEAR(Weekly_Prices[[#This Row],[Date]])&amp;"-"&amp;TEXT(WEEKNUM(Weekly_Prices[[#This Row],[Date]],2),"00")</f>
        <v>2008-31</v>
      </c>
    </row>
    <row r="271" spans="1:15" x14ac:dyDescent="0.35">
      <c r="A271" s="2">
        <v>39664</v>
      </c>
      <c r="B271" s="3">
        <v>115.060215</v>
      </c>
      <c r="C271" s="4">
        <f t="shared" si="16"/>
        <v>-1.8509249999999895</v>
      </c>
      <c r="D271" s="4">
        <f t="shared" si="14"/>
        <v>18.913199000000006</v>
      </c>
      <c r="E271" s="3">
        <v>50.35</v>
      </c>
      <c r="F271" s="3">
        <v>17.5</v>
      </c>
      <c r="G271" s="3">
        <v>128.193622</v>
      </c>
      <c r="H271" s="4">
        <f t="shared" si="17"/>
        <v>-2.5169199999999705</v>
      </c>
      <c r="I271" s="4">
        <f t="shared" si="15"/>
        <v>31.473784000000009</v>
      </c>
      <c r="J271" s="3">
        <v>50.35</v>
      </c>
      <c r="K271" s="3">
        <v>17.5</v>
      </c>
      <c r="L271" s="13">
        <f>YEAR(Weekly_Prices[[#This Row],[Date]])</f>
        <v>2008</v>
      </c>
      <c r="M271" s="13">
        <f>MONTH(Weekly_Prices[[#This Row],[Date]])</f>
        <v>8</v>
      </c>
      <c r="N271" s="3" t="str">
        <f>TEXT(Weekly_Prices[[#This Row],[Date]],"MMMM")</f>
        <v>August</v>
      </c>
      <c r="O271" s="3" t="str">
        <f>YEAR(Weekly_Prices[[#This Row],[Date]])&amp;"-"&amp;TEXT(WEEKNUM(Weekly_Prices[[#This Row],[Date]],2),"00")</f>
        <v>2008-32</v>
      </c>
    </row>
    <row r="272" spans="1:15" x14ac:dyDescent="0.35">
      <c r="A272" s="2">
        <v>39671</v>
      </c>
      <c r="B272" s="3">
        <v>113.922513</v>
      </c>
      <c r="C272" s="4">
        <f t="shared" si="16"/>
        <v>-1.1377020000000044</v>
      </c>
      <c r="D272" s="4">
        <f t="shared" si="14"/>
        <v>17.922778000000008</v>
      </c>
      <c r="E272" s="3">
        <v>50.35</v>
      </c>
      <c r="F272" s="3">
        <v>17.5</v>
      </c>
      <c r="G272" s="3">
        <v>126.19607800000001</v>
      </c>
      <c r="H272" s="4">
        <f t="shared" si="17"/>
        <v>-1.9975439999999907</v>
      </c>
      <c r="I272" s="4">
        <f t="shared" si="15"/>
        <v>29.496484000000009</v>
      </c>
      <c r="J272" s="3">
        <v>50.35</v>
      </c>
      <c r="K272" s="3">
        <v>17.5</v>
      </c>
      <c r="L272" s="13">
        <f>YEAR(Weekly_Prices[[#This Row],[Date]])</f>
        <v>2008</v>
      </c>
      <c r="M272" s="13">
        <f>MONTH(Weekly_Prices[[#This Row],[Date]])</f>
        <v>8</v>
      </c>
      <c r="N272" s="3" t="str">
        <f>TEXT(Weekly_Prices[[#This Row],[Date]],"MMMM")</f>
        <v>August</v>
      </c>
      <c r="O272" s="3" t="str">
        <f>YEAR(Weekly_Prices[[#This Row],[Date]])&amp;"-"&amp;TEXT(WEEKNUM(Weekly_Prices[[#This Row],[Date]],2),"00")</f>
        <v>2008-33</v>
      </c>
    </row>
    <row r="273" spans="1:15" x14ac:dyDescent="0.35">
      <c r="A273" s="2">
        <v>39678</v>
      </c>
      <c r="B273" s="3">
        <v>112.21504400000001</v>
      </c>
      <c r="C273" s="4">
        <f t="shared" si="16"/>
        <v>-1.707468999999989</v>
      </c>
      <c r="D273" s="4">
        <f t="shared" si="14"/>
        <v>16.909014999999997</v>
      </c>
      <c r="E273" s="3">
        <v>50.35</v>
      </c>
      <c r="F273" s="3">
        <v>17.5</v>
      </c>
      <c r="G273" s="3">
        <v>124.09707000000002</v>
      </c>
      <c r="H273" s="4">
        <f t="shared" si="17"/>
        <v>-2.0990079999999978</v>
      </c>
      <c r="I273" s="4">
        <f t="shared" si="15"/>
        <v>27.503</v>
      </c>
      <c r="J273" s="3">
        <v>50.35</v>
      </c>
      <c r="K273" s="3">
        <v>17.5</v>
      </c>
      <c r="L273" s="13">
        <f>YEAR(Weekly_Prices[[#This Row],[Date]])</f>
        <v>2008</v>
      </c>
      <c r="M273" s="13">
        <f>MONTH(Weekly_Prices[[#This Row],[Date]])</f>
        <v>8</v>
      </c>
      <c r="N273" s="3" t="str">
        <f>TEXT(Weekly_Prices[[#This Row],[Date]],"MMMM")</f>
        <v>August</v>
      </c>
      <c r="O273" s="3" t="str">
        <f>YEAR(Weekly_Prices[[#This Row],[Date]])&amp;"-"&amp;TEXT(WEEKNUM(Weekly_Prices[[#This Row],[Date]],2),"00")</f>
        <v>2008-34</v>
      </c>
    </row>
    <row r="274" spans="1:15" x14ac:dyDescent="0.35">
      <c r="A274" s="2">
        <v>39685</v>
      </c>
      <c r="B274" s="3">
        <v>112.02256100000001</v>
      </c>
      <c r="C274" s="4">
        <f t="shared" si="16"/>
        <v>-0.19248299999999574</v>
      </c>
      <c r="D274" s="4">
        <f t="shared" si="14"/>
        <v>17.019807000000029</v>
      </c>
      <c r="E274" s="3">
        <v>50.35</v>
      </c>
      <c r="F274" s="3">
        <v>17.5</v>
      </c>
      <c r="G274" s="3">
        <v>123.73582300000001</v>
      </c>
      <c r="H274" s="4">
        <f t="shared" si="17"/>
        <v>-0.36124700000000587</v>
      </c>
      <c r="I274" s="4">
        <f t="shared" si="15"/>
        <v>27.368062000000009</v>
      </c>
      <c r="J274" s="3">
        <v>50.35</v>
      </c>
      <c r="K274" s="3">
        <v>17.5</v>
      </c>
      <c r="L274" s="13">
        <f>YEAR(Weekly_Prices[[#This Row],[Date]])</f>
        <v>2008</v>
      </c>
      <c r="M274" s="13">
        <f>MONTH(Weekly_Prices[[#This Row],[Date]])</f>
        <v>8</v>
      </c>
      <c r="N274" s="3" t="str">
        <f>TEXT(Weekly_Prices[[#This Row],[Date]],"MMMM")</f>
        <v>August</v>
      </c>
      <c r="O274" s="3" t="str">
        <f>YEAR(Weekly_Prices[[#This Row],[Date]])&amp;"-"&amp;TEXT(WEEKNUM(Weekly_Prices[[#This Row],[Date]],2),"00")</f>
        <v>2008-35</v>
      </c>
    </row>
    <row r="275" spans="1:15" x14ac:dyDescent="0.35">
      <c r="A275" s="2">
        <v>39692</v>
      </c>
      <c r="B275" s="3">
        <v>112.19775800000001</v>
      </c>
      <c r="C275" s="4">
        <f t="shared" si="16"/>
        <v>0.17519699999999716</v>
      </c>
      <c r="D275" s="4">
        <f t="shared" si="14"/>
        <v>17.394168000000008</v>
      </c>
      <c r="E275" s="3">
        <v>50.35</v>
      </c>
      <c r="F275" s="3">
        <v>17.5</v>
      </c>
      <c r="G275" s="3">
        <v>123.88610200000002</v>
      </c>
      <c r="H275" s="4">
        <f t="shared" si="17"/>
        <v>0.15027900000001182</v>
      </c>
      <c r="I275" s="4">
        <f t="shared" si="15"/>
        <v>27.512996000000015</v>
      </c>
      <c r="J275" s="3">
        <v>50.35</v>
      </c>
      <c r="K275" s="3">
        <v>17.5</v>
      </c>
      <c r="L275" s="13">
        <f>YEAR(Weekly_Prices[[#This Row],[Date]])</f>
        <v>2008</v>
      </c>
      <c r="M275" s="13">
        <f>MONTH(Weekly_Prices[[#This Row],[Date]])</f>
        <v>9</v>
      </c>
      <c r="N275" s="3" t="str">
        <f>TEXT(Weekly_Prices[[#This Row],[Date]],"MMMM")</f>
        <v>September</v>
      </c>
      <c r="O275" s="3" t="str">
        <f>YEAR(Weekly_Prices[[#This Row],[Date]])&amp;"-"&amp;TEXT(WEEKNUM(Weekly_Prices[[#This Row],[Date]],2),"00")</f>
        <v>2008-36</v>
      </c>
    </row>
    <row r="276" spans="1:15" x14ac:dyDescent="0.35">
      <c r="A276" s="2">
        <v>39699</v>
      </c>
      <c r="B276" s="3">
        <v>112.546851</v>
      </c>
      <c r="C276" s="4">
        <f t="shared" si="16"/>
        <v>0.34909299999999632</v>
      </c>
      <c r="D276" s="4">
        <f t="shared" si="14"/>
        <v>17.912368000000015</v>
      </c>
      <c r="E276" s="3">
        <v>50.35</v>
      </c>
      <c r="F276" s="3">
        <v>17.5</v>
      </c>
      <c r="G276" s="3">
        <v>124.196186</v>
      </c>
      <c r="H276" s="4">
        <f t="shared" si="17"/>
        <v>0.31008399999997494</v>
      </c>
      <c r="I276" s="4">
        <f t="shared" si="15"/>
        <v>27.859428999999992</v>
      </c>
      <c r="J276" s="3">
        <v>50.35</v>
      </c>
      <c r="K276" s="3">
        <v>17.5</v>
      </c>
      <c r="L276" s="13">
        <f>YEAR(Weekly_Prices[[#This Row],[Date]])</f>
        <v>2008</v>
      </c>
      <c r="M276" s="13">
        <f>MONTH(Weekly_Prices[[#This Row],[Date]])</f>
        <v>9</v>
      </c>
      <c r="N276" s="3" t="str">
        <f>TEXT(Weekly_Prices[[#This Row],[Date]],"MMMM")</f>
        <v>September</v>
      </c>
      <c r="O276" s="3" t="str">
        <f>YEAR(Weekly_Prices[[#This Row],[Date]])&amp;"-"&amp;TEXT(WEEKNUM(Weekly_Prices[[#This Row],[Date]],2),"00")</f>
        <v>2008-37</v>
      </c>
    </row>
    <row r="277" spans="1:15" x14ac:dyDescent="0.35">
      <c r="A277" s="2">
        <v>39706</v>
      </c>
      <c r="B277" s="3">
        <v>112.51230999999999</v>
      </c>
      <c r="C277" s="4">
        <f t="shared" si="16"/>
        <v>-3.4541000000018585E-2</v>
      </c>
      <c r="D277" s="4">
        <f t="shared" si="14"/>
        <v>17.858986999999985</v>
      </c>
      <c r="E277" s="3">
        <v>50.35</v>
      </c>
      <c r="F277" s="3">
        <v>17.5</v>
      </c>
      <c r="G277" s="3">
        <v>124.143165</v>
      </c>
      <c r="H277" s="4">
        <f t="shared" si="17"/>
        <v>-5.3021000000001095E-2</v>
      </c>
      <c r="I277" s="4">
        <f t="shared" si="15"/>
        <v>27.697850999999986</v>
      </c>
      <c r="J277" s="3">
        <v>50.35</v>
      </c>
      <c r="K277" s="3">
        <v>17.5</v>
      </c>
      <c r="L277" s="13">
        <f>YEAR(Weekly_Prices[[#This Row],[Date]])</f>
        <v>2008</v>
      </c>
      <c r="M277" s="13">
        <f>MONTH(Weekly_Prices[[#This Row],[Date]])</f>
        <v>9</v>
      </c>
      <c r="N277" s="3" t="str">
        <f>TEXT(Weekly_Prices[[#This Row],[Date]],"MMMM")</f>
        <v>September</v>
      </c>
      <c r="O277" s="3" t="str">
        <f>YEAR(Weekly_Prices[[#This Row],[Date]])&amp;"-"&amp;TEXT(WEEKNUM(Weekly_Prices[[#This Row],[Date]],2),"00")</f>
        <v>2008-38</v>
      </c>
    </row>
    <row r="278" spans="1:15" x14ac:dyDescent="0.35">
      <c r="A278" s="2">
        <v>39713</v>
      </c>
      <c r="B278" s="3">
        <v>110.81019999999999</v>
      </c>
      <c r="C278" s="4">
        <f t="shared" si="16"/>
        <v>-1.7021099999999905</v>
      </c>
      <c r="D278" s="4">
        <f t="shared" si="14"/>
        <v>15.898153999999991</v>
      </c>
      <c r="E278" s="3">
        <v>50.35</v>
      </c>
      <c r="F278" s="3">
        <v>17.5</v>
      </c>
      <c r="G278" s="3">
        <v>122.609331</v>
      </c>
      <c r="H278" s="4">
        <f t="shared" si="17"/>
        <v>-1.5338339999999988</v>
      </c>
      <c r="I278" s="4">
        <f t="shared" si="15"/>
        <v>25.71326599999999</v>
      </c>
      <c r="J278" s="3">
        <v>50.35</v>
      </c>
      <c r="K278" s="3">
        <v>17.5</v>
      </c>
      <c r="L278" s="13">
        <f>YEAR(Weekly_Prices[[#This Row],[Date]])</f>
        <v>2008</v>
      </c>
      <c r="M278" s="13">
        <f>MONTH(Weekly_Prices[[#This Row],[Date]])</f>
        <v>9</v>
      </c>
      <c r="N278" s="3" t="str">
        <f>TEXT(Weekly_Prices[[#This Row],[Date]],"MMMM")</f>
        <v>September</v>
      </c>
      <c r="O278" s="3" t="str">
        <f>YEAR(Weekly_Prices[[#This Row],[Date]])&amp;"-"&amp;TEXT(WEEKNUM(Weekly_Prices[[#This Row],[Date]],2),"00")</f>
        <v>2008-39</v>
      </c>
    </row>
    <row r="279" spans="1:15" x14ac:dyDescent="0.35">
      <c r="A279" s="2">
        <v>39720</v>
      </c>
      <c r="B279" s="3">
        <v>109.84891</v>
      </c>
      <c r="C279" s="4">
        <f t="shared" si="16"/>
        <v>-0.9612899999999911</v>
      </c>
      <c r="D279" s="4">
        <f t="shared" si="14"/>
        <v>13.455577000000005</v>
      </c>
      <c r="E279" s="3">
        <v>50.35</v>
      </c>
      <c r="F279" s="3">
        <v>17.5</v>
      </c>
      <c r="G279" s="3">
        <v>121.64725299999999</v>
      </c>
      <c r="H279" s="4">
        <f t="shared" si="17"/>
        <v>-0.96207800000000532</v>
      </c>
      <c r="I279" s="4">
        <f t="shared" si="15"/>
        <v>23.133465999999984</v>
      </c>
      <c r="J279" s="3">
        <v>50.35</v>
      </c>
      <c r="K279" s="3">
        <v>17.5</v>
      </c>
      <c r="L279" s="13">
        <f>YEAR(Weekly_Prices[[#This Row],[Date]])</f>
        <v>2008</v>
      </c>
      <c r="M279" s="13">
        <f>MONTH(Weekly_Prices[[#This Row],[Date]])</f>
        <v>9</v>
      </c>
      <c r="N279" s="3" t="str">
        <f>TEXT(Weekly_Prices[[#This Row],[Date]],"MMMM")</f>
        <v>September</v>
      </c>
      <c r="O279" s="3" t="str">
        <f>YEAR(Weekly_Prices[[#This Row],[Date]])&amp;"-"&amp;TEXT(WEEKNUM(Weekly_Prices[[#This Row],[Date]],2),"00")</f>
        <v>2008-40</v>
      </c>
    </row>
    <row r="280" spans="1:15" x14ac:dyDescent="0.35">
      <c r="A280" s="2">
        <v>39727</v>
      </c>
      <c r="B280" s="3">
        <v>109.452068</v>
      </c>
      <c r="C280" s="4">
        <f t="shared" si="16"/>
        <v>-0.39684200000000658</v>
      </c>
      <c r="D280" s="4">
        <f t="shared" si="14"/>
        <v>12.313941</v>
      </c>
      <c r="E280" s="3">
        <v>50.35</v>
      </c>
      <c r="F280" s="3">
        <v>17.5</v>
      </c>
      <c r="G280" s="3">
        <v>121.13648599999999</v>
      </c>
      <c r="H280" s="4">
        <f t="shared" si="17"/>
        <v>-0.5107670000000013</v>
      </c>
      <c r="I280" s="4">
        <f t="shared" si="15"/>
        <v>22.036631</v>
      </c>
      <c r="J280" s="3">
        <v>50.35</v>
      </c>
      <c r="K280" s="3">
        <v>17.5</v>
      </c>
      <c r="L280" s="13">
        <f>YEAR(Weekly_Prices[[#This Row],[Date]])</f>
        <v>2008</v>
      </c>
      <c r="M280" s="13">
        <f>MONTH(Weekly_Prices[[#This Row],[Date]])</f>
        <v>10</v>
      </c>
      <c r="N280" s="3" t="str">
        <f>TEXT(Weekly_Prices[[#This Row],[Date]],"MMMM")</f>
        <v>October</v>
      </c>
      <c r="O280" s="3" t="str">
        <f>YEAR(Weekly_Prices[[#This Row],[Date]])&amp;"-"&amp;TEXT(WEEKNUM(Weekly_Prices[[#This Row],[Date]],2),"00")</f>
        <v>2008-41</v>
      </c>
    </row>
    <row r="281" spans="1:15" x14ac:dyDescent="0.35">
      <c r="A281" s="2">
        <v>39734</v>
      </c>
      <c r="B281" s="3">
        <v>107.03952900000002</v>
      </c>
      <c r="C281" s="4">
        <f t="shared" si="16"/>
        <v>-2.4125389999999811</v>
      </c>
      <c r="D281" s="4">
        <f t="shared" si="14"/>
        <v>9.8474280000000078</v>
      </c>
      <c r="E281" s="3">
        <v>50.35</v>
      </c>
      <c r="F281" s="3">
        <v>17.5</v>
      </c>
      <c r="G281" s="3">
        <v>118.42286</v>
      </c>
      <c r="H281" s="4">
        <f t="shared" si="17"/>
        <v>-2.7136259999999908</v>
      </c>
      <c r="I281" s="4">
        <f t="shared" si="15"/>
        <v>19.241449000000003</v>
      </c>
      <c r="J281" s="3">
        <v>50.35</v>
      </c>
      <c r="K281" s="3">
        <v>17.5</v>
      </c>
      <c r="L281" s="13">
        <f>YEAR(Weekly_Prices[[#This Row],[Date]])</f>
        <v>2008</v>
      </c>
      <c r="M281" s="13">
        <f>MONTH(Weekly_Prices[[#This Row],[Date]])</f>
        <v>10</v>
      </c>
      <c r="N281" s="3" t="str">
        <f>TEXT(Weekly_Prices[[#This Row],[Date]],"MMMM")</f>
        <v>October</v>
      </c>
      <c r="O281" s="3" t="str">
        <f>YEAR(Weekly_Prices[[#This Row],[Date]])&amp;"-"&amp;TEXT(WEEKNUM(Weekly_Prices[[#This Row],[Date]],2),"00")</f>
        <v>2008-42</v>
      </c>
    </row>
    <row r="282" spans="1:15" x14ac:dyDescent="0.35">
      <c r="A282" s="2">
        <v>39741</v>
      </c>
      <c r="B282" s="3">
        <v>102.658131</v>
      </c>
      <c r="C282" s="4">
        <f t="shared" si="16"/>
        <v>-4.3813980000000186</v>
      </c>
      <c r="D282" s="4">
        <f t="shared" si="14"/>
        <v>4.8522920000000056</v>
      </c>
      <c r="E282" s="3">
        <v>50.35</v>
      </c>
      <c r="F282" s="3">
        <v>17.5</v>
      </c>
      <c r="G282" s="3">
        <v>114.31017199999999</v>
      </c>
      <c r="H282" s="4">
        <f t="shared" si="17"/>
        <v>-4.1126880000000057</v>
      </c>
      <c r="I282" s="4">
        <f t="shared" si="15"/>
        <v>14.415286000000009</v>
      </c>
      <c r="J282" s="3">
        <v>50.35</v>
      </c>
      <c r="K282" s="3">
        <v>17.5</v>
      </c>
      <c r="L282" s="13">
        <f>YEAR(Weekly_Prices[[#This Row],[Date]])</f>
        <v>2008</v>
      </c>
      <c r="M282" s="13">
        <f>MONTH(Weekly_Prices[[#This Row],[Date]])</f>
        <v>10</v>
      </c>
      <c r="N282" s="3" t="str">
        <f>TEXT(Weekly_Prices[[#This Row],[Date]],"MMMM")</f>
        <v>October</v>
      </c>
      <c r="O282" s="3" t="str">
        <f>YEAR(Weekly_Prices[[#This Row],[Date]])&amp;"-"&amp;TEXT(WEEKNUM(Weekly_Prices[[#This Row],[Date]],2),"00")</f>
        <v>2008-43</v>
      </c>
    </row>
    <row r="283" spans="1:15" x14ac:dyDescent="0.35">
      <c r="A283" s="2">
        <v>39748</v>
      </c>
      <c r="B283" s="3">
        <v>98.622067999999999</v>
      </c>
      <c r="C283" s="4">
        <f t="shared" si="16"/>
        <v>-4.0360629999999986</v>
      </c>
      <c r="D283" s="4">
        <f t="shared" si="14"/>
        <v>0.35879200000000822</v>
      </c>
      <c r="E283" s="3">
        <v>50.35</v>
      </c>
      <c r="F283" s="3">
        <v>17.5</v>
      </c>
      <c r="G283" s="3">
        <v>111.010963</v>
      </c>
      <c r="H283" s="4">
        <f t="shared" si="17"/>
        <v>-3.2992089999999905</v>
      </c>
      <c r="I283" s="4">
        <f t="shared" si="15"/>
        <v>10.316539000000006</v>
      </c>
      <c r="J283" s="3">
        <v>50.35</v>
      </c>
      <c r="K283" s="3">
        <v>17.5</v>
      </c>
      <c r="L283" s="13">
        <f>YEAR(Weekly_Prices[[#This Row],[Date]])</f>
        <v>2008</v>
      </c>
      <c r="M283" s="13">
        <f>MONTH(Weekly_Prices[[#This Row],[Date]])</f>
        <v>10</v>
      </c>
      <c r="N283" s="3" t="str">
        <f>TEXT(Weekly_Prices[[#This Row],[Date]],"MMMM")</f>
        <v>October</v>
      </c>
      <c r="O283" s="3" t="str">
        <f>YEAR(Weekly_Prices[[#This Row],[Date]])&amp;"-"&amp;TEXT(WEEKNUM(Weekly_Prices[[#This Row],[Date]],2),"00")</f>
        <v>2008-44</v>
      </c>
    </row>
    <row r="284" spans="1:15" x14ac:dyDescent="0.35">
      <c r="A284" s="2">
        <v>39755</v>
      </c>
      <c r="B284" s="3">
        <v>97.399640999999988</v>
      </c>
      <c r="C284" s="4">
        <f t="shared" si="16"/>
        <v>-1.2224270000000104</v>
      </c>
      <c r="D284" s="4">
        <f t="shared" si="14"/>
        <v>-1.9652829999999994</v>
      </c>
      <c r="E284" s="3">
        <v>50.35</v>
      </c>
      <c r="F284" s="3">
        <v>17.5</v>
      </c>
      <c r="G284" s="3">
        <v>109.86699700000001</v>
      </c>
      <c r="H284" s="4">
        <f t="shared" si="17"/>
        <v>-1.1439659999999918</v>
      </c>
      <c r="I284" s="4">
        <f t="shared" si="15"/>
        <v>7.7066429999999997</v>
      </c>
      <c r="J284" s="3">
        <v>50.35</v>
      </c>
      <c r="K284" s="3">
        <v>17.5</v>
      </c>
      <c r="L284" s="13">
        <f>YEAR(Weekly_Prices[[#This Row],[Date]])</f>
        <v>2008</v>
      </c>
      <c r="M284" s="13">
        <f>MONTH(Weekly_Prices[[#This Row],[Date]])</f>
        <v>11</v>
      </c>
      <c r="N284" s="3" t="str">
        <f>TEXT(Weekly_Prices[[#This Row],[Date]],"MMMM")</f>
        <v>November</v>
      </c>
      <c r="O284" s="3" t="str">
        <f>YEAR(Weekly_Prices[[#This Row],[Date]])&amp;"-"&amp;TEXT(WEEKNUM(Weekly_Prices[[#This Row],[Date]],2),"00")</f>
        <v>2008-45</v>
      </c>
    </row>
    <row r="285" spans="1:15" x14ac:dyDescent="0.35">
      <c r="A285" s="2">
        <v>39762</v>
      </c>
      <c r="B285" s="3">
        <v>95.890529999999998</v>
      </c>
      <c r="C285" s="4">
        <f t="shared" si="16"/>
        <v>-1.5091109999999901</v>
      </c>
      <c r="D285" s="4">
        <f t="shared" si="14"/>
        <v>-4.8517629999999912</v>
      </c>
      <c r="E285" s="3">
        <v>50.35</v>
      </c>
      <c r="F285" s="3">
        <v>17.5</v>
      </c>
      <c r="G285" s="3">
        <v>109.12974300000002</v>
      </c>
      <c r="H285" s="4">
        <f t="shared" si="17"/>
        <v>-0.73725399999999297</v>
      </c>
      <c r="I285" s="4">
        <f t="shared" si="15"/>
        <v>4.9573260000000232</v>
      </c>
      <c r="J285" s="3">
        <v>50.35</v>
      </c>
      <c r="K285" s="3">
        <v>17.5</v>
      </c>
      <c r="L285" s="13">
        <f>YEAR(Weekly_Prices[[#This Row],[Date]])</f>
        <v>2008</v>
      </c>
      <c r="M285" s="13">
        <f>MONTH(Weekly_Prices[[#This Row],[Date]])</f>
        <v>11</v>
      </c>
      <c r="N285" s="3" t="str">
        <f>TEXT(Weekly_Prices[[#This Row],[Date]],"MMMM")</f>
        <v>November</v>
      </c>
      <c r="O285" s="3" t="str">
        <f>YEAR(Weekly_Prices[[#This Row],[Date]])&amp;"-"&amp;TEXT(WEEKNUM(Weekly_Prices[[#This Row],[Date]],2),"00")</f>
        <v>2008-46</v>
      </c>
    </row>
    <row r="286" spans="1:15" x14ac:dyDescent="0.35">
      <c r="A286" s="2">
        <v>39769</v>
      </c>
      <c r="B286" s="3">
        <v>94.832461000000009</v>
      </c>
      <c r="C286" s="4">
        <f t="shared" si="16"/>
        <v>-1.058068999999989</v>
      </c>
      <c r="D286" s="4">
        <f t="shared" si="14"/>
        <v>-6.6357330000000019</v>
      </c>
      <c r="E286" s="3">
        <v>50.35</v>
      </c>
      <c r="F286" s="3">
        <v>17.5</v>
      </c>
      <c r="G286" s="3">
        <v>108.72693900000002</v>
      </c>
      <c r="H286" s="4">
        <f t="shared" si="17"/>
        <v>-0.40280400000000327</v>
      </c>
      <c r="I286" s="4">
        <f t="shared" si="15"/>
        <v>3.4424610000000087</v>
      </c>
      <c r="J286" s="3">
        <v>50.35</v>
      </c>
      <c r="K286" s="3">
        <v>17.5</v>
      </c>
      <c r="L286" s="13">
        <f>YEAR(Weekly_Prices[[#This Row],[Date]])</f>
        <v>2008</v>
      </c>
      <c r="M286" s="13">
        <f>MONTH(Weekly_Prices[[#This Row],[Date]])</f>
        <v>11</v>
      </c>
      <c r="N286" s="3" t="str">
        <f>TEXT(Weekly_Prices[[#This Row],[Date]],"MMMM")</f>
        <v>November</v>
      </c>
      <c r="O286" s="3" t="str">
        <f>YEAR(Weekly_Prices[[#This Row],[Date]])&amp;"-"&amp;TEXT(WEEKNUM(Weekly_Prices[[#This Row],[Date]],2),"00")</f>
        <v>2008-47</v>
      </c>
    </row>
    <row r="287" spans="1:15" x14ac:dyDescent="0.35">
      <c r="A287" s="2">
        <v>39776</v>
      </c>
      <c r="B287" s="3">
        <v>92.787666000000002</v>
      </c>
      <c r="C287" s="4">
        <f t="shared" si="16"/>
        <v>-2.0447950000000077</v>
      </c>
      <c r="D287" s="4">
        <f t="shared" si="14"/>
        <v>-9.3420699999999925</v>
      </c>
      <c r="E287" s="3">
        <v>50.35</v>
      </c>
      <c r="F287" s="3">
        <v>17.5</v>
      </c>
      <c r="G287" s="3">
        <v>107.778352</v>
      </c>
      <c r="H287" s="4">
        <f t="shared" si="17"/>
        <v>-0.94858700000001761</v>
      </c>
      <c r="I287" s="4">
        <f t="shared" si="15"/>
        <v>1.5239779999999996</v>
      </c>
      <c r="J287" s="3">
        <v>50.35</v>
      </c>
      <c r="K287" s="3">
        <v>17.5</v>
      </c>
      <c r="L287" s="13">
        <f>YEAR(Weekly_Prices[[#This Row],[Date]])</f>
        <v>2008</v>
      </c>
      <c r="M287" s="13">
        <f>MONTH(Weekly_Prices[[#This Row],[Date]])</f>
        <v>11</v>
      </c>
      <c r="N287" s="3" t="str">
        <f>TEXT(Weekly_Prices[[#This Row],[Date]],"MMMM")</f>
        <v>November</v>
      </c>
      <c r="O287" s="3" t="str">
        <f>YEAR(Weekly_Prices[[#This Row],[Date]])&amp;"-"&amp;TEXT(WEEKNUM(Weekly_Prices[[#This Row],[Date]],2),"00")</f>
        <v>2008-48</v>
      </c>
    </row>
    <row r="288" spans="1:15" x14ac:dyDescent="0.35">
      <c r="A288" s="2">
        <v>39783</v>
      </c>
      <c r="B288" s="3">
        <v>91.470286000000002</v>
      </c>
      <c r="C288" s="4">
        <f t="shared" si="16"/>
        <v>-1.31738</v>
      </c>
      <c r="D288" s="4">
        <f t="shared" si="14"/>
        <v>-11.111840999999984</v>
      </c>
      <c r="E288" s="3">
        <v>52.35</v>
      </c>
      <c r="F288" s="3">
        <v>15</v>
      </c>
      <c r="G288" s="3">
        <v>106.56166999999999</v>
      </c>
      <c r="H288" s="4">
        <f t="shared" si="17"/>
        <v>-1.2166820000000058</v>
      </c>
      <c r="I288" s="4">
        <f t="shared" si="15"/>
        <v>-0.63044200000003059</v>
      </c>
      <c r="J288" s="3">
        <v>52.35</v>
      </c>
      <c r="K288" s="3">
        <v>15</v>
      </c>
      <c r="L288" s="13">
        <f>YEAR(Weekly_Prices[[#This Row],[Date]])</f>
        <v>2008</v>
      </c>
      <c r="M288" s="13">
        <f>MONTH(Weekly_Prices[[#This Row],[Date]])</f>
        <v>12</v>
      </c>
      <c r="N288" s="3" t="str">
        <f>TEXT(Weekly_Prices[[#This Row],[Date]],"MMMM")</f>
        <v>December</v>
      </c>
      <c r="O288" s="3" t="str">
        <f>YEAR(Weekly_Prices[[#This Row],[Date]])&amp;"-"&amp;TEXT(WEEKNUM(Weekly_Prices[[#This Row],[Date]],2),"00")</f>
        <v>2008-49</v>
      </c>
    </row>
    <row r="289" spans="1:15" x14ac:dyDescent="0.35">
      <c r="A289" s="2">
        <v>39790</v>
      </c>
      <c r="B289" s="3">
        <v>90.156317000000001</v>
      </c>
      <c r="C289" s="4">
        <f t="shared" si="16"/>
        <v>-1.3139690000000002</v>
      </c>
      <c r="D289" s="4">
        <f t="shared" si="14"/>
        <v>-12.510482999999994</v>
      </c>
      <c r="E289" s="3">
        <v>52.35</v>
      </c>
      <c r="F289" s="3">
        <v>15</v>
      </c>
      <c r="G289" s="3">
        <v>104.86512299999998</v>
      </c>
      <c r="H289" s="4">
        <f t="shared" si="17"/>
        <v>-1.6965470000000096</v>
      </c>
      <c r="I289" s="4">
        <f t="shared" si="15"/>
        <v>-2.6080840000000194</v>
      </c>
      <c r="J289" s="3">
        <v>52.35</v>
      </c>
      <c r="K289" s="3">
        <v>15</v>
      </c>
      <c r="L289" s="13">
        <f>YEAR(Weekly_Prices[[#This Row],[Date]])</f>
        <v>2008</v>
      </c>
      <c r="M289" s="13">
        <f>MONTH(Weekly_Prices[[#This Row],[Date]])</f>
        <v>12</v>
      </c>
      <c r="N289" s="3" t="str">
        <f>TEXT(Weekly_Prices[[#This Row],[Date]],"MMMM")</f>
        <v>December</v>
      </c>
      <c r="O289" s="3" t="str">
        <f>YEAR(Weekly_Prices[[#This Row],[Date]])&amp;"-"&amp;TEXT(WEEKNUM(Weekly_Prices[[#This Row],[Date]],2),"00")</f>
        <v>2008-50</v>
      </c>
    </row>
    <row r="290" spans="1:15" x14ac:dyDescent="0.35">
      <c r="A290" s="2">
        <v>39797</v>
      </c>
      <c r="B290" s="3">
        <v>89.065689000000006</v>
      </c>
      <c r="C290" s="4">
        <f t="shared" si="16"/>
        <v>-1.0906279999999953</v>
      </c>
      <c r="D290" s="4">
        <f t="shared" si="14"/>
        <v>-13.533571999999992</v>
      </c>
      <c r="E290" s="3">
        <v>52.35</v>
      </c>
      <c r="F290" s="3">
        <v>15</v>
      </c>
      <c r="G290" s="3">
        <v>101.240612</v>
      </c>
      <c r="H290" s="4">
        <f t="shared" si="17"/>
        <v>-3.6245109999999841</v>
      </c>
      <c r="I290" s="4">
        <f t="shared" si="15"/>
        <v>-6.3157740000000047</v>
      </c>
      <c r="J290" s="3">
        <v>52.35</v>
      </c>
      <c r="K290" s="3">
        <v>15</v>
      </c>
      <c r="L290" s="13">
        <f>YEAR(Weekly_Prices[[#This Row],[Date]])</f>
        <v>2008</v>
      </c>
      <c r="M290" s="13">
        <f>MONTH(Weekly_Prices[[#This Row],[Date]])</f>
        <v>12</v>
      </c>
      <c r="N290" s="3" t="str">
        <f>TEXT(Weekly_Prices[[#This Row],[Date]],"MMMM")</f>
        <v>December</v>
      </c>
      <c r="O290" s="3" t="str">
        <f>YEAR(Weekly_Prices[[#This Row],[Date]])&amp;"-"&amp;TEXT(WEEKNUM(Weekly_Prices[[#This Row],[Date]],2),"00")</f>
        <v>2008-51</v>
      </c>
    </row>
    <row r="291" spans="1:15" x14ac:dyDescent="0.35">
      <c r="A291" s="2">
        <v>39804</v>
      </c>
      <c r="B291" s="3">
        <v>88.014310000000009</v>
      </c>
      <c r="C291" s="4">
        <f t="shared" si="16"/>
        <v>-1.0513789999999972</v>
      </c>
      <c r="D291" s="4">
        <f t="shared" si="14"/>
        <v>-14.512661999999992</v>
      </c>
      <c r="E291" s="3">
        <v>52.35</v>
      </c>
      <c r="F291" s="3">
        <v>15</v>
      </c>
      <c r="G291" s="3">
        <v>99.937153000000009</v>
      </c>
      <c r="H291" s="4">
        <f t="shared" si="17"/>
        <v>-1.3034589999999895</v>
      </c>
      <c r="I291" s="4">
        <f t="shared" si="15"/>
        <v>-7.5670070000000038</v>
      </c>
      <c r="J291" s="3">
        <v>52.35</v>
      </c>
      <c r="K291" s="3">
        <v>15</v>
      </c>
      <c r="L291" s="13">
        <f>YEAR(Weekly_Prices[[#This Row],[Date]])</f>
        <v>2008</v>
      </c>
      <c r="M291" s="13">
        <f>MONTH(Weekly_Prices[[#This Row],[Date]])</f>
        <v>12</v>
      </c>
      <c r="N291" s="3" t="str">
        <f>TEXT(Weekly_Prices[[#This Row],[Date]],"MMMM")</f>
        <v>December</v>
      </c>
      <c r="O291" s="3" t="str">
        <f>YEAR(Weekly_Prices[[#This Row],[Date]])&amp;"-"&amp;TEXT(WEEKNUM(Weekly_Prices[[#This Row],[Date]],2),"00")</f>
        <v>2008-52</v>
      </c>
    </row>
    <row r="292" spans="1:15" x14ac:dyDescent="0.35">
      <c r="A292" s="2">
        <v>39811</v>
      </c>
      <c r="B292" s="3">
        <v>87.344305000000006</v>
      </c>
      <c r="C292" s="4">
        <f t="shared" si="16"/>
        <v>-0.67000500000000329</v>
      </c>
      <c r="D292" s="4">
        <f t="shared" si="14"/>
        <v>-15.318023999999994</v>
      </c>
      <c r="E292" s="3">
        <v>52.35</v>
      </c>
      <c r="F292" s="3">
        <v>15</v>
      </c>
      <c r="G292" s="3">
        <v>99.17337999999998</v>
      </c>
      <c r="H292" s="4">
        <f t="shared" si="17"/>
        <v>-0.7637730000000289</v>
      </c>
      <c r="I292" s="4">
        <f t="shared" si="15"/>
        <v>-8.4323090000000178</v>
      </c>
      <c r="J292" s="3">
        <v>52.35</v>
      </c>
      <c r="K292" s="3">
        <v>15</v>
      </c>
      <c r="L292" s="13">
        <f>YEAR(Weekly_Prices[[#This Row],[Date]])</f>
        <v>2008</v>
      </c>
      <c r="M292" s="13">
        <f>MONTH(Weekly_Prices[[#This Row],[Date]])</f>
        <v>12</v>
      </c>
      <c r="N292" s="3" t="str">
        <f>TEXT(Weekly_Prices[[#This Row],[Date]],"MMMM")</f>
        <v>December</v>
      </c>
      <c r="O292" s="3" t="str">
        <f>YEAR(Weekly_Prices[[#This Row],[Date]])&amp;"-"&amp;TEXT(WEEKNUM(Weekly_Prices[[#This Row],[Date]],2),"00")</f>
        <v>2008-53</v>
      </c>
    </row>
    <row r="293" spans="1:15" x14ac:dyDescent="0.35">
      <c r="A293" s="2">
        <v>39818</v>
      </c>
      <c r="B293" s="3">
        <v>85.422568999999996</v>
      </c>
      <c r="C293" s="4">
        <f t="shared" si="16"/>
        <v>-1.9217360000000099</v>
      </c>
      <c r="D293" s="4">
        <f t="shared" si="14"/>
        <v>-17.947905000000006</v>
      </c>
      <c r="E293" s="3">
        <v>52.35</v>
      </c>
      <c r="F293" s="3">
        <v>15</v>
      </c>
      <c r="G293" s="3">
        <v>97.570595000000012</v>
      </c>
      <c r="H293" s="4">
        <f t="shared" si="17"/>
        <v>-1.6027849999999688</v>
      </c>
      <c r="I293" s="4">
        <f t="shared" si="15"/>
        <v>-10.723938999999987</v>
      </c>
      <c r="J293" s="3">
        <v>52.35</v>
      </c>
      <c r="K293" s="3">
        <v>15</v>
      </c>
      <c r="L293" s="13">
        <f>YEAR(Weekly_Prices[[#This Row],[Date]])</f>
        <v>2009</v>
      </c>
      <c r="M293" s="13">
        <f>MONTH(Weekly_Prices[[#This Row],[Date]])</f>
        <v>1</v>
      </c>
      <c r="N293" s="3" t="str">
        <f>TEXT(Weekly_Prices[[#This Row],[Date]],"MMMM")</f>
        <v>January</v>
      </c>
      <c r="O293" s="3" t="str">
        <f>YEAR(Weekly_Prices[[#This Row],[Date]])&amp;"-"&amp;TEXT(WEEKNUM(Weekly_Prices[[#This Row],[Date]],2),"00")</f>
        <v>2009-02</v>
      </c>
    </row>
    <row r="294" spans="1:15" x14ac:dyDescent="0.35">
      <c r="A294" s="2">
        <v>39825</v>
      </c>
      <c r="B294" s="3">
        <v>86.018714000000003</v>
      </c>
      <c r="C294" s="4">
        <f t="shared" si="16"/>
        <v>0.59614500000000703</v>
      </c>
      <c r="D294" s="4">
        <f t="shared" si="14"/>
        <v>-17.803950999999984</v>
      </c>
      <c r="E294" s="3">
        <v>52.35</v>
      </c>
      <c r="F294" s="3">
        <v>15</v>
      </c>
      <c r="G294" s="3">
        <v>98.316420999999991</v>
      </c>
      <c r="H294" s="4">
        <f t="shared" si="17"/>
        <v>0.74582599999997967</v>
      </c>
      <c r="I294" s="4">
        <f t="shared" si="15"/>
        <v>-10.452903000000006</v>
      </c>
      <c r="J294" s="3">
        <v>52.35</v>
      </c>
      <c r="K294" s="3">
        <v>15</v>
      </c>
      <c r="L294" s="13">
        <f>YEAR(Weekly_Prices[[#This Row],[Date]])</f>
        <v>2009</v>
      </c>
      <c r="M294" s="13">
        <f>MONTH(Weekly_Prices[[#This Row],[Date]])</f>
        <v>1</v>
      </c>
      <c r="N294" s="3" t="str">
        <f>TEXT(Weekly_Prices[[#This Row],[Date]],"MMMM")</f>
        <v>January</v>
      </c>
      <c r="O294" s="3" t="str">
        <f>YEAR(Weekly_Prices[[#This Row],[Date]])&amp;"-"&amp;TEXT(WEEKNUM(Weekly_Prices[[#This Row],[Date]],2),"00")</f>
        <v>2009-03</v>
      </c>
    </row>
    <row r="295" spans="1:15" x14ac:dyDescent="0.35">
      <c r="A295" s="2">
        <v>39832</v>
      </c>
      <c r="B295" s="3">
        <v>86.194496000000015</v>
      </c>
      <c r="C295" s="4">
        <f t="shared" si="16"/>
        <v>0.17578200000001232</v>
      </c>
      <c r="D295" s="4">
        <f t="shared" si="14"/>
        <v>-18.029019999999974</v>
      </c>
      <c r="E295" s="3">
        <v>52.35</v>
      </c>
      <c r="F295" s="3">
        <v>15</v>
      </c>
      <c r="G295" s="3">
        <v>98.448597000000007</v>
      </c>
      <c r="H295" s="4">
        <f t="shared" si="17"/>
        <v>0.13217600000001539</v>
      </c>
      <c r="I295" s="4">
        <f t="shared" si="15"/>
        <v>-10.640946</v>
      </c>
      <c r="J295" s="3">
        <v>52.35</v>
      </c>
      <c r="K295" s="3">
        <v>15</v>
      </c>
      <c r="L295" s="13">
        <f>YEAR(Weekly_Prices[[#This Row],[Date]])</f>
        <v>2009</v>
      </c>
      <c r="M295" s="13">
        <f>MONTH(Weekly_Prices[[#This Row],[Date]])</f>
        <v>1</v>
      </c>
      <c r="N295" s="3" t="str">
        <f>TEXT(Weekly_Prices[[#This Row],[Date]],"MMMM")</f>
        <v>January</v>
      </c>
      <c r="O295" s="3" t="str">
        <f>YEAR(Weekly_Prices[[#This Row],[Date]])&amp;"-"&amp;TEXT(WEEKNUM(Weekly_Prices[[#This Row],[Date]],2),"00")</f>
        <v>2009-04</v>
      </c>
    </row>
    <row r="296" spans="1:15" x14ac:dyDescent="0.35">
      <c r="A296" s="2">
        <v>39839</v>
      </c>
      <c r="B296" s="3">
        <v>87.417686000000003</v>
      </c>
      <c r="C296" s="4">
        <f t="shared" si="16"/>
        <v>1.2231899999999882</v>
      </c>
      <c r="D296" s="4">
        <f t="shared" si="14"/>
        <v>-16.807052000000013</v>
      </c>
      <c r="E296" s="3">
        <v>52.35</v>
      </c>
      <c r="F296" s="3">
        <v>15</v>
      </c>
      <c r="G296" s="3">
        <v>99.385249999999999</v>
      </c>
      <c r="H296" s="4">
        <f t="shared" si="17"/>
        <v>0.93665299999999263</v>
      </c>
      <c r="I296" s="4">
        <f t="shared" si="15"/>
        <v>-9.7217340000000121</v>
      </c>
      <c r="J296" s="3">
        <v>52.35</v>
      </c>
      <c r="K296" s="3">
        <v>15</v>
      </c>
      <c r="L296" s="13">
        <f>YEAR(Weekly_Prices[[#This Row],[Date]])</f>
        <v>2009</v>
      </c>
      <c r="M296" s="13">
        <f>MONTH(Weekly_Prices[[#This Row],[Date]])</f>
        <v>1</v>
      </c>
      <c r="N296" s="3" t="str">
        <f>TEXT(Weekly_Prices[[#This Row],[Date]],"MMMM")</f>
        <v>January</v>
      </c>
      <c r="O296" s="3" t="str">
        <f>YEAR(Weekly_Prices[[#This Row],[Date]])&amp;"-"&amp;TEXT(WEEKNUM(Weekly_Prices[[#This Row],[Date]],2),"00")</f>
        <v>2009-05</v>
      </c>
    </row>
    <row r="297" spans="1:15" x14ac:dyDescent="0.35">
      <c r="A297" s="2">
        <v>39846</v>
      </c>
      <c r="B297" s="3">
        <v>88.160800999999992</v>
      </c>
      <c r="C297" s="4">
        <f t="shared" si="16"/>
        <v>0.74311499999998887</v>
      </c>
      <c r="D297" s="4">
        <f t="shared" si="14"/>
        <v>-15.865985999999992</v>
      </c>
      <c r="E297" s="3">
        <v>52.35</v>
      </c>
      <c r="F297" s="3">
        <v>15</v>
      </c>
      <c r="G297" s="3">
        <v>99.821377999999996</v>
      </c>
      <c r="H297" s="4">
        <f t="shared" si="17"/>
        <v>0.43612799999999652</v>
      </c>
      <c r="I297" s="4">
        <f t="shared" si="15"/>
        <v>-9.1663170000000207</v>
      </c>
      <c r="J297" s="3">
        <v>52.35</v>
      </c>
      <c r="K297" s="3">
        <v>15</v>
      </c>
      <c r="L297" s="13">
        <f>YEAR(Weekly_Prices[[#This Row],[Date]])</f>
        <v>2009</v>
      </c>
      <c r="M297" s="13">
        <f>MONTH(Weekly_Prices[[#This Row],[Date]])</f>
        <v>2</v>
      </c>
      <c r="N297" s="3" t="str">
        <f>TEXT(Weekly_Prices[[#This Row],[Date]],"MMMM")</f>
        <v>February</v>
      </c>
      <c r="O297" s="3" t="str">
        <f>YEAR(Weekly_Prices[[#This Row],[Date]])&amp;"-"&amp;TEXT(WEEKNUM(Weekly_Prices[[#This Row],[Date]],2),"00")</f>
        <v>2009-06</v>
      </c>
    </row>
    <row r="298" spans="1:15" x14ac:dyDescent="0.35">
      <c r="A298" s="2">
        <v>39853</v>
      </c>
      <c r="B298" s="3">
        <v>89.276794999999993</v>
      </c>
      <c r="C298" s="4">
        <f t="shared" si="16"/>
        <v>1.1159940000000006</v>
      </c>
      <c r="D298" s="4">
        <f t="shared" si="14"/>
        <v>-14.393406999999996</v>
      </c>
      <c r="E298" s="3">
        <v>52.35</v>
      </c>
      <c r="F298" s="3">
        <v>15</v>
      </c>
      <c r="G298" s="3">
        <v>100.31308300000001</v>
      </c>
      <c r="H298" s="4">
        <f t="shared" si="17"/>
        <v>0.49170500000001027</v>
      </c>
      <c r="I298" s="4">
        <f t="shared" si="15"/>
        <v>-8.5495290000000068</v>
      </c>
      <c r="J298" s="3">
        <v>52.35</v>
      </c>
      <c r="K298" s="3">
        <v>15</v>
      </c>
      <c r="L298" s="13">
        <f>YEAR(Weekly_Prices[[#This Row],[Date]])</f>
        <v>2009</v>
      </c>
      <c r="M298" s="13">
        <f>MONTH(Weekly_Prices[[#This Row],[Date]])</f>
        <v>2</v>
      </c>
      <c r="N298" s="3" t="str">
        <f>TEXT(Weekly_Prices[[#This Row],[Date]],"MMMM")</f>
        <v>February</v>
      </c>
      <c r="O298" s="3" t="str">
        <f>YEAR(Weekly_Prices[[#This Row],[Date]])&amp;"-"&amp;TEXT(WEEKNUM(Weekly_Prices[[#This Row],[Date]],2),"00")</f>
        <v>2009-07</v>
      </c>
    </row>
    <row r="299" spans="1:15" x14ac:dyDescent="0.35">
      <c r="A299" s="2">
        <v>39860</v>
      </c>
      <c r="B299" s="3">
        <v>90.120513000000003</v>
      </c>
      <c r="C299" s="4">
        <f t="shared" si="16"/>
        <v>0.84371800000000974</v>
      </c>
      <c r="D299" s="4">
        <f t="shared" si="14"/>
        <v>-13.574783999999994</v>
      </c>
      <c r="E299" s="3">
        <v>52.35</v>
      </c>
      <c r="F299" s="3">
        <v>15</v>
      </c>
      <c r="G299" s="3">
        <v>100.858645</v>
      </c>
      <c r="H299" s="4">
        <f t="shared" si="17"/>
        <v>0.54556199999998967</v>
      </c>
      <c r="I299" s="4">
        <f t="shared" si="15"/>
        <v>-8.1296840000000117</v>
      </c>
      <c r="J299" s="3">
        <v>52.35</v>
      </c>
      <c r="K299" s="3">
        <v>15</v>
      </c>
      <c r="L299" s="13">
        <f>YEAR(Weekly_Prices[[#This Row],[Date]])</f>
        <v>2009</v>
      </c>
      <c r="M299" s="13">
        <f>MONTH(Weekly_Prices[[#This Row],[Date]])</f>
        <v>2</v>
      </c>
      <c r="N299" s="3" t="str">
        <f>TEXT(Weekly_Prices[[#This Row],[Date]],"MMMM")</f>
        <v>February</v>
      </c>
      <c r="O299" s="3" t="str">
        <f>YEAR(Weekly_Prices[[#This Row],[Date]])&amp;"-"&amp;TEXT(WEEKNUM(Weekly_Prices[[#This Row],[Date]],2),"00")</f>
        <v>2009-08</v>
      </c>
    </row>
    <row r="300" spans="1:15" x14ac:dyDescent="0.35">
      <c r="A300" s="2">
        <v>39867</v>
      </c>
      <c r="B300" s="3">
        <v>90.331889000000018</v>
      </c>
      <c r="C300" s="4">
        <f t="shared" si="16"/>
        <v>0.21137600000001555</v>
      </c>
      <c r="D300" s="4">
        <f t="shared" si="14"/>
        <v>-14.316384999999983</v>
      </c>
      <c r="E300" s="3">
        <v>52.35</v>
      </c>
      <c r="F300" s="3">
        <v>15</v>
      </c>
      <c r="G300" s="3">
        <v>100.81457</v>
      </c>
      <c r="H300" s="4">
        <f t="shared" si="17"/>
        <v>-4.4074999999992315E-2</v>
      </c>
      <c r="I300" s="4">
        <f t="shared" si="15"/>
        <v>-9.3949029999999993</v>
      </c>
      <c r="J300" s="3">
        <v>52.35</v>
      </c>
      <c r="K300" s="3">
        <v>15</v>
      </c>
      <c r="L300" s="13">
        <f>YEAR(Weekly_Prices[[#This Row],[Date]])</f>
        <v>2009</v>
      </c>
      <c r="M300" s="13">
        <f>MONTH(Weekly_Prices[[#This Row],[Date]])</f>
        <v>2</v>
      </c>
      <c r="N300" s="3" t="str">
        <f>TEXT(Weekly_Prices[[#This Row],[Date]],"MMMM")</f>
        <v>February</v>
      </c>
      <c r="O300" s="3" t="str">
        <f>YEAR(Weekly_Prices[[#This Row],[Date]])&amp;"-"&amp;TEXT(WEEKNUM(Weekly_Prices[[#This Row],[Date]],2),"00")</f>
        <v>2009-09</v>
      </c>
    </row>
    <row r="301" spans="1:15" x14ac:dyDescent="0.35">
      <c r="A301" s="2">
        <v>39874</v>
      </c>
      <c r="B301" s="3">
        <v>90.28252599999999</v>
      </c>
      <c r="C301" s="4">
        <f t="shared" si="16"/>
        <v>-4.9363000000028023E-2</v>
      </c>
      <c r="D301" s="4">
        <f t="shared" si="14"/>
        <v>-14.955726999999996</v>
      </c>
      <c r="E301" s="3">
        <v>52.35</v>
      </c>
      <c r="F301" s="3">
        <v>15</v>
      </c>
      <c r="G301" s="3">
        <v>100.64411299999999</v>
      </c>
      <c r="H301" s="4">
        <f t="shared" si="17"/>
        <v>-0.17045700000001318</v>
      </c>
      <c r="I301" s="4">
        <f t="shared" si="15"/>
        <v>-10.259479000000013</v>
      </c>
      <c r="J301" s="3">
        <v>52.35</v>
      </c>
      <c r="K301" s="3">
        <v>15</v>
      </c>
      <c r="L301" s="13">
        <f>YEAR(Weekly_Prices[[#This Row],[Date]])</f>
        <v>2009</v>
      </c>
      <c r="M301" s="13">
        <f>MONTH(Weekly_Prices[[#This Row],[Date]])</f>
        <v>3</v>
      </c>
      <c r="N301" s="3" t="str">
        <f>TEXT(Weekly_Prices[[#This Row],[Date]],"MMMM")</f>
        <v>March</v>
      </c>
      <c r="O301" s="3" t="str">
        <f>YEAR(Weekly_Prices[[#This Row],[Date]])&amp;"-"&amp;TEXT(WEEKNUM(Weekly_Prices[[#This Row],[Date]],2),"00")</f>
        <v>2009-10</v>
      </c>
    </row>
    <row r="302" spans="1:15" x14ac:dyDescent="0.35">
      <c r="A302" s="2">
        <v>39881</v>
      </c>
      <c r="B302" s="3">
        <v>90.153572000000011</v>
      </c>
      <c r="C302" s="4">
        <f t="shared" si="16"/>
        <v>-0.12895399999997892</v>
      </c>
      <c r="D302" s="4">
        <f t="shared" si="14"/>
        <v>-15.80371599999998</v>
      </c>
      <c r="E302" s="3">
        <v>52.35</v>
      </c>
      <c r="F302" s="3">
        <v>15</v>
      </c>
      <c r="G302" s="3">
        <v>100.02847</v>
      </c>
      <c r="H302" s="4">
        <f t="shared" si="17"/>
        <v>-0.6156429999999915</v>
      </c>
      <c r="I302" s="4">
        <f t="shared" si="15"/>
        <v>-12.199823000000009</v>
      </c>
      <c r="J302" s="3">
        <v>52.35</v>
      </c>
      <c r="K302" s="3">
        <v>15</v>
      </c>
      <c r="L302" s="13">
        <f>YEAR(Weekly_Prices[[#This Row],[Date]])</f>
        <v>2009</v>
      </c>
      <c r="M302" s="13">
        <f>MONTH(Weekly_Prices[[#This Row],[Date]])</f>
        <v>3</v>
      </c>
      <c r="N302" s="3" t="str">
        <f>TEXT(Weekly_Prices[[#This Row],[Date]],"MMMM")</f>
        <v>March</v>
      </c>
      <c r="O302" s="3" t="str">
        <f>YEAR(Weekly_Prices[[#This Row],[Date]])&amp;"-"&amp;TEXT(WEEKNUM(Weekly_Prices[[#This Row],[Date]],2),"00")</f>
        <v>2009-11</v>
      </c>
    </row>
    <row r="303" spans="1:15" x14ac:dyDescent="0.35">
      <c r="A303" s="2">
        <v>39888</v>
      </c>
      <c r="B303" s="3">
        <v>90.158703999999986</v>
      </c>
      <c r="C303" s="4">
        <f t="shared" si="16"/>
        <v>5.1319999999748234E-3</v>
      </c>
      <c r="D303" s="4">
        <f t="shared" si="14"/>
        <v>-16.255827999999994</v>
      </c>
      <c r="E303" s="3">
        <v>52.35</v>
      </c>
      <c r="F303" s="3">
        <v>15</v>
      </c>
      <c r="G303" s="3">
        <v>99.821476000000004</v>
      </c>
      <c r="H303" s="4">
        <f t="shared" si="17"/>
        <v>-0.20699399999999457</v>
      </c>
      <c r="I303" s="4">
        <f t="shared" si="15"/>
        <v>-13.26025700000001</v>
      </c>
      <c r="J303" s="3">
        <v>52.35</v>
      </c>
      <c r="K303" s="3">
        <v>15</v>
      </c>
      <c r="L303" s="13">
        <f>YEAR(Weekly_Prices[[#This Row],[Date]])</f>
        <v>2009</v>
      </c>
      <c r="M303" s="13">
        <f>MONTH(Weekly_Prices[[#This Row],[Date]])</f>
        <v>3</v>
      </c>
      <c r="N303" s="3" t="str">
        <f>TEXT(Weekly_Prices[[#This Row],[Date]],"MMMM")</f>
        <v>March</v>
      </c>
      <c r="O303" s="3" t="str">
        <f>YEAR(Weekly_Prices[[#This Row],[Date]])&amp;"-"&amp;TEXT(WEEKNUM(Weekly_Prices[[#This Row],[Date]],2),"00")</f>
        <v>2009-12</v>
      </c>
    </row>
    <row r="304" spans="1:15" x14ac:dyDescent="0.35">
      <c r="A304" s="2">
        <v>39895</v>
      </c>
      <c r="B304" s="3">
        <v>90.164739000000012</v>
      </c>
      <c r="C304" s="4">
        <f t="shared" si="16"/>
        <v>6.0350000000255477E-3</v>
      </c>
      <c r="D304" s="4">
        <f t="shared" si="14"/>
        <v>-16.739962999999989</v>
      </c>
      <c r="E304" s="3">
        <v>52.35</v>
      </c>
      <c r="F304" s="3">
        <v>15</v>
      </c>
      <c r="G304" s="3">
        <v>99.520951000000011</v>
      </c>
      <c r="H304" s="4">
        <f t="shared" si="17"/>
        <v>-0.30052499999999327</v>
      </c>
      <c r="I304" s="4">
        <f t="shared" si="15"/>
        <v>-14.880113999999992</v>
      </c>
      <c r="J304" s="3">
        <v>52.35</v>
      </c>
      <c r="K304" s="3">
        <v>15</v>
      </c>
      <c r="L304" s="13">
        <f>YEAR(Weekly_Prices[[#This Row],[Date]])</f>
        <v>2009</v>
      </c>
      <c r="M304" s="13">
        <f>MONTH(Weekly_Prices[[#This Row],[Date]])</f>
        <v>3</v>
      </c>
      <c r="N304" s="3" t="str">
        <f>TEXT(Weekly_Prices[[#This Row],[Date]],"MMMM")</f>
        <v>March</v>
      </c>
      <c r="O304" s="3" t="str">
        <f>YEAR(Weekly_Prices[[#This Row],[Date]])&amp;"-"&amp;TEXT(WEEKNUM(Weekly_Prices[[#This Row],[Date]],2),"00")</f>
        <v>2009-13</v>
      </c>
    </row>
    <row r="305" spans="1:15" x14ac:dyDescent="0.35">
      <c r="A305" s="2">
        <v>39902</v>
      </c>
      <c r="B305" s="3">
        <v>91.345055000000002</v>
      </c>
      <c r="C305" s="4">
        <f t="shared" si="16"/>
        <v>1.1803159999999906</v>
      </c>
      <c r="D305" s="4">
        <f t="shared" si="14"/>
        <v>-15.755874999999989</v>
      </c>
      <c r="E305" s="3">
        <v>52.35</v>
      </c>
      <c r="F305" s="3">
        <v>15</v>
      </c>
      <c r="G305" s="3">
        <v>99.975093000000001</v>
      </c>
      <c r="H305" s="4">
        <f t="shared" si="17"/>
        <v>0.45414199999999028</v>
      </c>
      <c r="I305" s="4">
        <f t="shared" si="15"/>
        <v>-14.811284999999998</v>
      </c>
      <c r="J305" s="3">
        <v>52.35</v>
      </c>
      <c r="K305" s="3">
        <v>15</v>
      </c>
      <c r="L305" s="13">
        <f>YEAR(Weekly_Prices[[#This Row],[Date]])</f>
        <v>2009</v>
      </c>
      <c r="M305" s="13">
        <f>MONTH(Weekly_Prices[[#This Row],[Date]])</f>
        <v>3</v>
      </c>
      <c r="N305" s="3" t="str">
        <f>TEXT(Weekly_Prices[[#This Row],[Date]],"MMMM")</f>
        <v>March</v>
      </c>
      <c r="O305" s="3" t="str">
        <f>YEAR(Weekly_Prices[[#This Row],[Date]])&amp;"-"&amp;TEXT(WEEKNUM(Weekly_Prices[[#This Row],[Date]],2),"00")</f>
        <v>2009-14</v>
      </c>
    </row>
    <row r="306" spans="1:15" x14ac:dyDescent="0.35">
      <c r="A306" s="2">
        <v>39909</v>
      </c>
      <c r="B306" s="3">
        <v>93.717652999999999</v>
      </c>
      <c r="C306" s="4">
        <f t="shared" si="16"/>
        <v>2.3725979999999964</v>
      </c>
      <c r="D306" s="4">
        <f t="shared" si="14"/>
        <v>-13.519042000000027</v>
      </c>
      <c r="E306" s="3">
        <v>54.19</v>
      </c>
      <c r="F306" s="3">
        <v>15</v>
      </c>
      <c r="G306" s="3">
        <v>102.143905</v>
      </c>
      <c r="H306" s="4">
        <f t="shared" si="17"/>
        <v>2.1688120000000026</v>
      </c>
      <c r="I306" s="4">
        <f t="shared" si="15"/>
        <v>-13.326022000000009</v>
      </c>
      <c r="J306" s="3">
        <v>54.19</v>
      </c>
      <c r="K306" s="3">
        <v>15</v>
      </c>
      <c r="L306" s="13">
        <f>YEAR(Weekly_Prices[[#This Row],[Date]])</f>
        <v>2009</v>
      </c>
      <c r="M306" s="13">
        <f>MONTH(Weekly_Prices[[#This Row],[Date]])</f>
        <v>4</v>
      </c>
      <c r="N306" s="3" t="str">
        <f>TEXT(Weekly_Prices[[#This Row],[Date]],"MMMM")</f>
        <v>April</v>
      </c>
      <c r="O306" s="3" t="str">
        <f>YEAR(Weekly_Prices[[#This Row],[Date]])&amp;"-"&amp;TEXT(WEEKNUM(Weekly_Prices[[#This Row],[Date]],2),"00")</f>
        <v>2009-15</v>
      </c>
    </row>
    <row r="307" spans="1:15" x14ac:dyDescent="0.35">
      <c r="A307" s="2">
        <v>39916</v>
      </c>
      <c r="B307" s="3">
        <v>94.108026999999993</v>
      </c>
      <c r="C307" s="4">
        <f t="shared" si="16"/>
        <v>0.39037399999999423</v>
      </c>
      <c r="D307" s="4">
        <f t="shared" si="14"/>
        <v>-13.504843000000008</v>
      </c>
      <c r="E307" s="3">
        <v>54.19</v>
      </c>
      <c r="F307" s="3">
        <v>15</v>
      </c>
      <c r="G307" s="3">
        <v>102.436117</v>
      </c>
      <c r="H307" s="4">
        <f t="shared" si="17"/>
        <v>0.29221199999999214</v>
      </c>
      <c r="I307" s="4">
        <f t="shared" si="15"/>
        <v>-14.071050000000014</v>
      </c>
      <c r="J307" s="3">
        <v>54.19</v>
      </c>
      <c r="K307" s="3">
        <v>15</v>
      </c>
      <c r="L307" s="13">
        <f>YEAR(Weekly_Prices[[#This Row],[Date]])</f>
        <v>2009</v>
      </c>
      <c r="M307" s="13">
        <f>MONTH(Weekly_Prices[[#This Row],[Date]])</f>
        <v>4</v>
      </c>
      <c r="N307" s="3" t="str">
        <f>TEXT(Weekly_Prices[[#This Row],[Date]],"MMMM")</f>
        <v>April</v>
      </c>
      <c r="O307" s="3" t="str">
        <f>YEAR(Weekly_Prices[[#This Row],[Date]])&amp;"-"&amp;TEXT(WEEKNUM(Weekly_Prices[[#This Row],[Date]],2),"00")</f>
        <v>2009-16</v>
      </c>
    </row>
    <row r="308" spans="1:15" x14ac:dyDescent="0.35">
      <c r="A308" s="2">
        <v>39923</v>
      </c>
      <c r="B308" s="3">
        <v>94.623217999999994</v>
      </c>
      <c r="C308" s="4">
        <f t="shared" si="16"/>
        <v>0.51519100000000151</v>
      </c>
      <c r="D308" s="4">
        <f t="shared" si="14"/>
        <v>-13.947820000000007</v>
      </c>
      <c r="E308" s="3">
        <v>54.19</v>
      </c>
      <c r="F308" s="3">
        <v>15</v>
      </c>
      <c r="G308" s="3">
        <v>102.706221</v>
      </c>
      <c r="H308" s="4">
        <f t="shared" si="17"/>
        <v>0.27010400000000345</v>
      </c>
      <c r="I308" s="4">
        <f t="shared" si="15"/>
        <v>-15.350644000000003</v>
      </c>
      <c r="J308" s="3">
        <v>54.19</v>
      </c>
      <c r="K308" s="3">
        <v>15</v>
      </c>
      <c r="L308" s="13">
        <f>YEAR(Weekly_Prices[[#This Row],[Date]])</f>
        <v>2009</v>
      </c>
      <c r="M308" s="13">
        <f>MONTH(Weekly_Prices[[#This Row],[Date]])</f>
        <v>4</v>
      </c>
      <c r="N308" s="3" t="str">
        <f>TEXT(Weekly_Prices[[#This Row],[Date]],"MMMM")</f>
        <v>April</v>
      </c>
      <c r="O308" s="3" t="str">
        <f>YEAR(Weekly_Prices[[#This Row],[Date]])&amp;"-"&amp;TEXT(WEEKNUM(Weekly_Prices[[#This Row],[Date]],2),"00")</f>
        <v>2009-17</v>
      </c>
    </row>
    <row r="309" spans="1:15" x14ac:dyDescent="0.35">
      <c r="A309" s="2">
        <v>39930</v>
      </c>
      <c r="B309" s="3">
        <v>95.133962000000011</v>
      </c>
      <c r="C309" s="4">
        <f t="shared" si="16"/>
        <v>0.51074400000001674</v>
      </c>
      <c r="D309" s="4">
        <f t="shared" si="14"/>
        <v>-14.365630999999979</v>
      </c>
      <c r="E309" s="3">
        <v>54.19</v>
      </c>
      <c r="F309" s="3">
        <v>15</v>
      </c>
      <c r="G309" s="3">
        <v>102.829212</v>
      </c>
      <c r="H309" s="4">
        <f t="shared" si="17"/>
        <v>0.12299099999999896</v>
      </c>
      <c r="I309" s="4">
        <f t="shared" si="15"/>
        <v>-16.269791000000012</v>
      </c>
      <c r="J309" s="3">
        <v>54.19</v>
      </c>
      <c r="K309" s="3">
        <v>15</v>
      </c>
      <c r="L309" s="13">
        <f>YEAR(Weekly_Prices[[#This Row],[Date]])</f>
        <v>2009</v>
      </c>
      <c r="M309" s="13">
        <f>MONTH(Weekly_Prices[[#This Row],[Date]])</f>
        <v>4</v>
      </c>
      <c r="N309" s="3" t="str">
        <f>TEXT(Weekly_Prices[[#This Row],[Date]],"MMMM")</f>
        <v>April</v>
      </c>
      <c r="O309" s="3" t="str">
        <f>YEAR(Weekly_Prices[[#This Row],[Date]])&amp;"-"&amp;TEXT(WEEKNUM(Weekly_Prices[[#This Row],[Date]],2),"00")</f>
        <v>2009-18</v>
      </c>
    </row>
    <row r="310" spans="1:15" x14ac:dyDescent="0.35">
      <c r="A310" s="2">
        <v>39937</v>
      </c>
      <c r="B310" s="3">
        <v>95.595408000000006</v>
      </c>
      <c r="C310" s="4">
        <f t="shared" si="16"/>
        <v>0.46144599999999514</v>
      </c>
      <c r="D310" s="4">
        <f t="shared" si="14"/>
        <v>-14.702114999999992</v>
      </c>
      <c r="E310" s="3">
        <v>54.19</v>
      </c>
      <c r="F310" s="3">
        <v>15</v>
      </c>
      <c r="G310" s="3">
        <v>102.79798900000002</v>
      </c>
      <c r="H310" s="4">
        <f t="shared" si="17"/>
        <v>-3.1222999999982903E-2</v>
      </c>
      <c r="I310" s="4">
        <f t="shared" si="15"/>
        <v>-17.570374000000001</v>
      </c>
      <c r="J310" s="3">
        <v>54.19</v>
      </c>
      <c r="K310" s="3">
        <v>15</v>
      </c>
      <c r="L310" s="13">
        <f>YEAR(Weekly_Prices[[#This Row],[Date]])</f>
        <v>2009</v>
      </c>
      <c r="M310" s="13">
        <f>MONTH(Weekly_Prices[[#This Row],[Date]])</f>
        <v>5</v>
      </c>
      <c r="N310" s="3" t="str">
        <f>TEXT(Weekly_Prices[[#This Row],[Date]],"MMMM")</f>
        <v>May</v>
      </c>
      <c r="O310" s="3" t="str">
        <f>YEAR(Weekly_Prices[[#This Row],[Date]])&amp;"-"&amp;TEXT(WEEKNUM(Weekly_Prices[[#This Row],[Date]],2),"00")</f>
        <v>2009-19</v>
      </c>
    </row>
    <row r="311" spans="1:15" x14ac:dyDescent="0.35">
      <c r="A311" s="2">
        <v>39944</v>
      </c>
      <c r="B311" s="3">
        <v>96.586976000000007</v>
      </c>
      <c r="C311" s="4">
        <f t="shared" si="16"/>
        <v>0.99156800000000089</v>
      </c>
      <c r="D311" s="4">
        <f t="shared" ref="D311:D374" si="18">B311-B259</f>
        <v>-14.455208999999996</v>
      </c>
      <c r="E311" s="3">
        <v>54.19</v>
      </c>
      <c r="F311" s="3">
        <v>15</v>
      </c>
      <c r="G311" s="3">
        <v>103.09914000000001</v>
      </c>
      <c r="H311" s="4">
        <f t="shared" si="17"/>
        <v>0.30115099999999018</v>
      </c>
      <c r="I311" s="4">
        <f t="shared" ref="I311:I374" si="19">G311-G259</f>
        <v>-18.386013000000005</v>
      </c>
      <c r="J311" s="3">
        <v>54.19</v>
      </c>
      <c r="K311" s="3">
        <v>15</v>
      </c>
      <c r="L311" s="13">
        <f>YEAR(Weekly_Prices[[#This Row],[Date]])</f>
        <v>2009</v>
      </c>
      <c r="M311" s="13">
        <f>MONTH(Weekly_Prices[[#This Row],[Date]])</f>
        <v>5</v>
      </c>
      <c r="N311" s="3" t="str">
        <f>TEXT(Weekly_Prices[[#This Row],[Date]],"MMMM")</f>
        <v>May</v>
      </c>
      <c r="O311" s="3" t="str">
        <f>YEAR(Weekly_Prices[[#This Row],[Date]])&amp;"-"&amp;TEXT(WEEKNUM(Weekly_Prices[[#This Row],[Date]],2),"00")</f>
        <v>2009-20</v>
      </c>
    </row>
    <row r="312" spans="1:15" x14ac:dyDescent="0.35">
      <c r="A312" s="2">
        <v>39951</v>
      </c>
      <c r="B312" s="3">
        <v>97.544747999999998</v>
      </c>
      <c r="C312" s="4">
        <f t="shared" si="16"/>
        <v>0.95777199999999141</v>
      </c>
      <c r="D312" s="4">
        <f t="shared" si="18"/>
        <v>-15.414759000000004</v>
      </c>
      <c r="E312" s="3">
        <v>54.19</v>
      </c>
      <c r="F312" s="3">
        <v>15</v>
      </c>
      <c r="G312" s="3">
        <v>103.36646500000001</v>
      </c>
      <c r="H312" s="4">
        <f t="shared" si="17"/>
        <v>0.26732499999999959</v>
      </c>
      <c r="I312" s="4">
        <f t="shared" si="19"/>
        <v>-21.136018000000007</v>
      </c>
      <c r="J312" s="3">
        <v>54.19</v>
      </c>
      <c r="K312" s="3">
        <v>15</v>
      </c>
      <c r="L312" s="13">
        <f>YEAR(Weekly_Prices[[#This Row],[Date]])</f>
        <v>2009</v>
      </c>
      <c r="M312" s="13">
        <f>MONTH(Weekly_Prices[[#This Row],[Date]])</f>
        <v>5</v>
      </c>
      <c r="N312" s="3" t="str">
        <f>TEXT(Weekly_Prices[[#This Row],[Date]],"MMMM")</f>
        <v>May</v>
      </c>
      <c r="O312" s="3" t="str">
        <f>YEAR(Weekly_Prices[[#This Row],[Date]])&amp;"-"&amp;TEXT(WEEKNUM(Weekly_Prices[[#This Row],[Date]],2),"00")</f>
        <v>2009-21</v>
      </c>
    </row>
    <row r="313" spans="1:15" x14ac:dyDescent="0.35">
      <c r="A313" s="2">
        <v>39958</v>
      </c>
      <c r="B313" s="3">
        <v>98.899267000000009</v>
      </c>
      <c r="C313" s="4">
        <f t="shared" si="16"/>
        <v>1.3545190000000105</v>
      </c>
      <c r="D313" s="4">
        <f t="shared" si="18"/>
        <v>-15.887371000000002</v>
      </c>
      <c r="E313" s="3">
        <v>54.19</v>
      </c>
      <c r="F313" s="3">
        <v>15</v>
      </c>
      <c r="G313" s="3">
        <v>103.54596100000001</v>
      </c>
      <c r="H313" s="4">
        <f t="shared" si="17"/>
        <v>0.17949600000000032</v>
      </c>
      <c r="I313" s="4">
        <f t="shared" si="19"/>
        <v>-23.668306999999999</v>
      </c>
      <c r="J313" s="3">
        <v>54.19</v>
      </c>
      <c r="K313" s="3">
        <v>15</v>
      </c>
      <c r="L313" s="13">
        <f>YEAR(Weekly_Prices[[#This Row],[Date]])</f>
        <v>2009</v>
      </c>
      <c r="M313" s="13">
        <f>MONTH(Weekly_Prices[[#This Row],[Date]])</f>
        <v>5</v>
      </c>
      <c r="N313" s="3" t="str">
        <f>TEXT(Weekly_Prices[[#This Row],[Date]],"MMMM")</f>
        <v>May</v>
      </c>
      <c r="O313" s="3" t="str">
        <f>YEAR(Weekly_Prices[[#This Row],[Date]])&amp;"-"&amp;TEXT(WEEKNUM(Weekly_Prices[[#This Row],[Date]],2),"00")</f>
        <v>2009-22</v>
      </c>
    </row>
    <row r="314" spans="1:15" x14ac:dyDescent="0.35">
      <c r="A314" s="2">
        <v>39965</v>
      </c>
      <c r="B314" s="3">
        <v>99.385001999999986</v>
      </c>
      <c r="C314" s="4">
        <f t="shared" si="16"/>
        <v>0.48573499999997694</v>
      </c>
      <c r="D314" s="4">
        <f t="shared" si="18"/>
        <v>-16.641899000000009</v>
      </c>
      <c r="E314" s="3">
        <v>54.19</v>
      </c>
      <c r="F314" s="3">
        <v>15</v>
      </c>
      <c r="G314" s="3">
        <v>103.552087</v>
      </c>
      <c r="H314" s="4">
        <f t="shared" si="17"/>
        <v>6.1259999999947468E-3</v>
      </c>
      <c r="I314" s="4">
        <f t="shared" si="19"/>
        <v>-25.270916999999997</v>
      </c>
      <c r="J314" s="3">
        <v>54.19</v>
      </c>
      <c r="K314" s="3">
        <v>15</v>
      </c>
      <c r="L314" s="13">
        <f>YEAR(Weekly_Prices[[#This Row],[Date]])</f>
        <v>2009</v>
      </c>
      <c r="M314" s="13">
        <f>MONTH(Weekly_Prices[[#This Row],[Date]])</f>
        <v>6</v>
      </c>
      <c r="N314" s="3" t="str">
        <f>TEXT(Weekly_Prices[[#This Row],[Date]],"MMMM")</f>
        <v>June</v>
      </c>
      <c r="O314" s="3" t="str">
        <f>YEAR(Weekly_Prices[[#This Row],[Date]])&amp;"-"&amp;TEXT(WEEKNUM(Weekly_Prices[[#This Row],[Date]],2),"00")</f>
        <v>2009-23</v>
      </c>
    </row>
    <row r="315" spans="1:15" x14ac:dyDescent="0.35">
      <c r="A315" s="2">
        <v>39972</v>
      </c>
      <c r="B315" s="3">
        <v>100.58954800000001</v>
      </c>
      <c r="C315" s="4">
        <f t="shared" si="16"/>
        <v>1.2045460000000219</v>
      </c>
      <c r="D315" s="4">
        <f t="shared" si="18"/>
        <v>-16.267594999999986</v>
      </c>
      <c r="E315" s="3">
        <v>54.19</v>
      </c>
      <c r="F315" s="3">
        <v>15</v>
      </c>
      <c r="G315" s="3">
        <v>103.77838700000001</v>
      </c>
      <c r="H315" s="4">
        <f t="shared" si="17"/>
        <v>0.22630000000000905</v>
      </c>
      <c r="I315" s="4">
        <f t="shared" si="19"/>
        <v>-25.902736999999973</v>
      </c>
      <c r="J315" s="3">
        <v>54.19</v>
      </c>
      <c r="K315" s="3">
        <v>15</v>
      </c>
      <c r="L315" s="13">
        <f>YEAR(Weekly_Prices[[#This Row],[Date]])</f>
        <v>2009</v>
      </c>
      <c r="M315" s="13">
        <f>MONTH(Weekly_Prices[[#This Row],[Date]])</f>
        <v>6</v>
      </c>
      <c r="N315" s="3" t="str">
        <f>TEXT(Weekly_Prices[[#This Row],[Date]],"MMMM")</f>
        <v>June</v>
      </c>
      <c r="O315" s="3" t="str">
        <f>YEAR(Weekly_Prices[[#This Row],[Date]])&amp;"-"&amp;TEXT(WEEKNUM(Weekly_Prices[[#This Row],[Date]],2),"00")</f>
        <v>2009-24</v>
      </c>
    </row>
    <row r="316" spans="1:15" x14ac:dyDescent="0.35">
      <c r="A316" s="2">
        <v>39979</v>
      </c>
      <c r="B316" s="3">
        <v>101.97936300000001</v>
      </c>
      <c r="C316" s="4">
        <f t="shared" si="16"/>
        <v>1.3898149999999987</v>
      </c>
      <c r="D316" s="4">
        <f t="shared" si="18"/>
        <v>-15.713721000000007</v>
      </c>
      <c r="E316" s="3">
        <v>54.19</v>
      </c>
      <c r="F316" s="3">
        <v>15</v>
      </c>
      <c r="G316" s="3">
        <v>104.50103899999999</v>
      </c>
      <c r="H316" s="4">
        <f t="shared" si="17"/>
        <v>0.72265199999998231</v>
      </c>
      <c r="I316" s="4">
        <f t="shared" si="19"/>
        <v>-26.161046999999996</v>
      </c>
      <c r="J316" s="3">
        <v>54.19</v>
      </c>
      <c r="K316" s="3">
        <v>15</v>
      </c>
      <c r="L316" s="13">
        <f>YEAR(Weekly_Prices[[#This Row],[Date]])</f>
        <v>2009</v>
      </c>
      <c r="M316" s="13">
        <f>MONTH(Weekly_Prices[[#This Row],[Date]])</f>
        <v>6</v>
      </c>
      <c r="N316" s="3" t="str">
        <f>TEXT(Weekly_Prices[[#This Row],[Date]],"MMMM")</f>
        <v>June</v>
      </c>
      <c r="O316" s="3" t="str">
        <f>YEAR(Weekly_Prices[[#This Row],[Date]])&amp;"-"&amp;TEXT(WEEKNUM(Weekly_Prices[[#This Row],[Date]],2),"00")</f>
        <v>2009-25</v>
      </c>
    </row>
    <row r="317" spans="1:15" x14ac:dyDescent="0.35">
      <c r="A317" s="2">
        <v>39986</v>
      </c>
      <c r="B317" s="3">
        <v>102.80786200000001</v>
      </c>
      <c r="C317" s="4">
        <f t="shared" si="16"/>
        <v>0.82849900000000787</v>
      </c>
      <c r="D317" s="4">
        <f t="shared" si="18"/>
        <v>-15.63167399999999</v>
      </c>
      <c r="E317" s="3">
        <v>54.19</v>
      </c>
      <c r="F317" s="3">
        <v>15</v>
      </c>
      <c r="G317" s="3">
        <v>104.91693100000001</v>
      </c>
      <c r="H317" s="4">
        <f t="shared" si="17"/>
        <v>0.4158920000000137</v>
      </c>
      <c r="I317" s="4">
        <f t="shared" si="19"/>
        <v>-26.533416000000017</v>
      </c>
      <c r="J317" s="3">
        <v>54.19</v>
      </c>
      <c r="K317" s="3">
        <v>15</v>
      </c>
      <c r="L317" s="13">
        <f>YEAR(Weekly_Prices[[#This Row],[Date]])</f>
        <v>2009</v>
      </c>
      <c r="M317" s="13">
        <f>MONTH(Weekly_Prices[[#This Row],[Date]])</f>
        <v>6</v>
      </c>
      <c r="N317" s="3" t="str">
        <f>TEXT(Weekly_Prices[[#This Row],[Date]],"MMMM")</f>
        <v>June</v>
      </c>
      <c r="O317" s="3" t="str">
        <f>YEAR(Weekly_Prices[[#This Row],[Date]])&amp;"-"&amp;TEXT(WEEKNUM(Weekly_Prices[[#This Row],[Date]],2),"00")</f>
        <v>2009-26</v>
      </c>
    </row>
    <row r="318" spans="1:15" x14ac:dyDescent="0.35">
      <c r="A318" s="2">
        <v>39993</v>
      </c>
      <c r="B318" s="3">
        <v>103.302665</v>
      </c>
      <c r="C318" s="4">
        <f t="shared" si="16"/>
        <v>0.49480299999999033</v>
      </c>
      <c r="D318" s="4">
        <f t="shared" si="18"/>
        <v>-15.542182000000011</v>
      </c>
      <c r="E318" s="3">
        <v>54.19</v>
      </c>
      <c r="F318" s="3">
        <v>15</v>
      </c>
      <c r="G318" s="3">
        <v>105.052808</v>
      </c>
      <c r="H318" s="4">
        <f t="shared" si="17"/>
        <v>0.13587699999999359</v>
      </c>
      <c r="I318" s="4">
        <f t="shared" si="19"/>
        <v>-26.978117999999995</v>
      </c>
      <c r="J318" s="3">
        <v>54.19</v>
      </c>
      <c r="K318" s="3">
        <v>15</v>
      </c>
      <c r="L318" s="13">
        <f>YEAR(Weekly_Prices[[#This Row],[Date]])</f>
        <v>2009</v>
      </c>
      <c r="M318" s="13">
        <f>MONTH(Weekly_Prices[[#This Row],[Date]])</f>
        <v>6</v>
      </c>
      <c r="N318" s="3" t="str">
        <f>TEXT(Weekly_Prices[[#This Row],[Date]],"MMMM")</f>
        <v>June</v>
      </c>
      <c r="O318" s="3" t="str">
        <f>YEAR(Weekly_Prices[[#This Row],[Date]])&amp;"-"&amp;TEXT(WEEKNUM(Weekly_Prices[[#This Row],[Date]],2),"00")</f>
        <v>2009-27</v>
      </c>
    </row>
    <row r="319" spans="1:15" x14ac:dyDescent="0.35">
      <c r="A319" s="2">
        <v>40000</v>
      </c>
      <c r="B319" s="3">
        <v>103.566712</v>
      </c>
      <c r="C319" s="4">
        <f t="shared" si="16"/>
        <v>0.26404699999999082</v>
      </c>
      <c r="D319" s="4">
        <f t="shared" si="18"/>
        <v>-15.709698000000003</v>
      </c>
      <c r="E319" s="3">
        <v>54.19</v>
      </c>
      <c r="F319" s="3">
        <v>15</v>
      </c>
      <c r="G319" s="3">
        <v>105.10804300000001</v>
      </c>
      <c r="H319" s="4">
        <f t="shared" si="17"/>
        <v>5.5235000000010359E-2</v>
      </c>
      <c r="I319" s="4">
        <f t="shared" si="19"/>
        <v>-27.444618999999989</v>
      </c>
      <c r="J319" s="3">
        <v>54.19</v>
      </c>
      <c r="K319" s="3">
        <v>15</v>
      </c>
      <c r="L319" s="13">
        <f>YEAR(Weekly_Prices[[#This Row],[Date]])</f>
        <v>2009</v>
      </c>
      <c r="M319" s="13">
        <f>MONTH(Weekly_Prices[[#This Row],[Date]])</f>
        <v>7</v>
      </c>
      <c r="N319" s="3" t="str">
        <f>TEXT(Weekly_Prices[[#This Row],[Date]],"MMMM")</f>
        <v>July</v>
      </c>
      <c r="O319" s="3" t="str">
        <f>YEAR(Weekly_Prices[[#This Row],[Date]])&amp;"-"&amp;TEXT(WEEKNUM(Weekly_Prices[[#This Row],[Date]],2),"00")</f>
        <v>2009-28</v>
      </c>
    </row>
    <row r="320" spans="1:15" x14ac:dyDescent="0.35">
      <c r="A320" s="2">
        <v>40007</v>
      </c>
      <c r="B320" s="3">
        <v>102.784542</v>
      </c>
      <c r="C320" s="4">
        <f t="shared" si="16"/>
        <v>-0.78216999999999359</v>
      </c>
      <c r="D320" s="4">
        <f t="shared" si="18"/>
        <v>-16.653497000000002</v>
      </c>
      <c r="E320" s="3">
        <v>54.19</v>
      </c>
      <c r="F320" s="3">
        <v>15</v>
      </c>
      <c r="G320" s="3">
        <v>104.043972</v>
      </c>
      <c r="H320" s="4">
        <f t="shared" si="17"/>
        <v>-1.0640710000000126</v>
      </c>
      <c r="I320" s="4">
        <f t="shared" si="19"/>
        <v>-28.828080999999997</v>
      </c>
      <c r="J320" s="3">
        <v>54.19</v>
      </c>
      <c r="K320" s="3">
        <v>15</v>
      </c>
      <c r="L320" s="13">
        <f>YEAR(Weekly_Prices[[#This Row],[Date]])</f>
        <v>2009</v>
      </c>
      <c r="M320" s="13">
        <f>MONTH(Weekly_Prices[[#This Row],[Date]])</f>
        <v>7</v>
      </c>
      <c r="N320" s="3" t="str">
        <f>TEXT(Weekly_Prices[[#This Row],[Date]],"MMMM")</f>
        <v>July</v>
      </c>
      <c r="O320" s="3" t="str">
        <f>YEAR(Weekly_Prices[[#This Row],[Date]])&amp;"-"&amp;TEXT(WEEKNUM(Weekly_Prices[[#This Row],[Date]],2),"00")</f>
        <v>2009-29</v>
      </c>
    </row>
    <row r="321" spans="1:15" x14ac:dyDescent="0.35">
      <c r="A321" s="2">
        <v>40014</v>
      </c>
      <c r="B321" s="3">
        <v>102.219436</v>
      </c>
      <c r="C321" s="4">
        <f t="shared" si="16"/>
        <v>-0.56510600000000011</v>
      </c>
      <c r="D321" s="4">
        <f t="shared" si="18"/>
        <v>-17.181674999999998</v>
      </c>
      <c r="E321" s="3">
        <v>54.19</v>
      </c>
      <c r="F321" s="3">
        <v>15</v>
      </c>
      <c r="G321" s="3">
        <v>102.99478300000001</v>
      </c>
      <c r="H321" s="4">
        <f t="shared" si="17"/>
        <v>-1.0491889999999842</v>
      </c>
      <c r="I321" s="4">
        <f t="shared" si="19"/>
        <v>-29.89312799999999</v>
      </c>
      <c r="J321" s="3">
        <v>54.19</v>
      </c>
      <c r="K321" s="3">
        <v>15</v>
      </c>
      <c r="L321" s="13">
        <f>YEAR(Weekly_Prices[[#This Row],[Date]])</f>
        <v>2009</v>
      </c>
      <c r="M321" s="13">
        <f>MONTH(Weekly_Prices[[#This Row],[Date]])</f>
        <v>7</v>
      </c>
      <c r="N321" s="3" t="str">
        <f>TEXT(Weekly_Prices[[#This Row],[Date]],"MMMM")</f>
        <v>July</v>
      </c>
      <c r="O321" s="3" t="str">
        <f>YEAR(Weekly_Prices[[#This Row],[Date]])&amp;"-"&amp;TEXT(WEEKNUM(Weekly_Prices[[#This Row],[Date]],2),"00")</f>
        <v>2009-30</v>
      </c>
    </row>
    <row r="322" spans="1:15" x14ac:dyDescent="0.35">
      <c r="A322" s="2">
        <v>40021</v>
      </c>
      <c r="B322" s="3">
        <v>102.17393200000001</v>
      </c>
      <c r="C322" s="4">
        <f t="shared" si="16"/>
        <v>-4.5503999999993994E-2</v>
      </c>
      <c r="D322" s="4">
        <f t="shared" si="18"/>
        <v>-14.737207999999981</v>
      </c>
      <c r="E322" s="3">
        <v>54.19</v>
      </c>
      <c r="F322" s="3">
        <v>15</v>
      </c>
      <c r="G322" s="3">
        <v>102.90580000000001</v>
      </c>
      <c r="H322" s="4">
        <f t="shared" si="17"/>
        <v>-8.8982999999998924E-2</v>
      </c>
      <c r="I322" s="4">
        <f t="shared" si="19"/>
        <v>-27.804741999999962</v>
      </c>
      <c r="J322" s="3">
        <v>54.19</v>
      </c>
      <c r="K322" s="3">
        <v>15</v>
      </c>
      <c r="L322" s="13">
        <f>YEAR(Weekly_Prices[[#This Row],[Date]])</f>
        <v>2009</v>
      </c>
      <c r="M322" s="13">
        <f>MONTH(Weekly_Prices[[#This Row],[Date]])</f>
        <v>7</v>
      </c>
      <c r="N322" s="3" t="str">
        <f>TEXT(Weekly_Prices[[#This Row],[Date]],"MMMM")</f>
        <v>July</v>
      </c>
      <c r="O322" s="3" t="str">
        <f>YEAR(Weekly_Prices[[#This Row],[Date]])&amp;"-"&amp;TEXT(WEEKNUM(Weekly_Prices[[#This Row],[Date]],2),"00")</f>
        <v>2009-31</v>
      </c>
    </row>
    <row r="323" spans="1:15" x14ac:dyDescent="0.35">
      <c r="A323" s="2">
        <v>40028</v>
      </c>
      <c r="B323" s="3">
        <v>102.35533099999999</v>
      </c>
      <c r="C323" s="4">
        <f t="shared" ref="C323:C386" si="20">B323-B322</f>
        <v>0.18139899999998477</v>
      </c>
      <c r="D323" s="4">
        <f t="shared" si="18"/>
        <v>-12.704884000000007</v>
      </c>
      <c r="E323" s="3">
        <v>54.19</v>
      </c>
      <c r="F323" s="3">
        <v>15</v>
      </c>
      <c r="G323" s="3">
        <v>103.20272199999999</v>
      </c>
      <c r="H323" s="4">
        <f t="shared" ref="H323:H386" si="21">G323-G322</f>
        <v>0.29692199999998081</v>
      </c>
      <c r="I323" s="4">
        <f t="shared" si="19"/>
        <v>-24.990900000000011</v>
      </c>
      <c r="J323" s="3">
        <v>54.19</v>
      </c>
      <c r="K323" s="3">
        <v>15</v>
      </c>
      <c r="L323" s="13">
        <f>YEAR(Weekly_Prices[[#This Row],[Date]])</f>
        <v>2009</v>
      </c>
      <c r="M323" s="13">
        <f>MONTH(Weekly_Prices[[#This Row],[Date]])</f>
        <v>8</v>
      </c>
      <c r="N323" s="3" t="str">
        <f>TEXT(Weekly_Prices[[#This Row],[Date]],"MMMM")</f>
        <v>August</v>
      </c>
      <c r="O323" s="3" t="str">
        <f>YEAR(Weekly_Prices[[#This Row],[Date]])&amp;"-"&amp;TEXT(WEEKNUM(Weekly_Prices[[#This Row],[Date]],2),"00")</f>
        <v>2009-32</v>
      </c>
    </row>
    <row r="324" spans="1:15" x14ac:dyDescent="0.35">
      <c r="A324" s="2">
        <v>40035</v>
      </c>
      <c r="B324" s="3">
        <v>103.011629</v>
      </c>
      <c r="C324" s="4">
        <f t="shared" si="20"/>
        <v>0.65629800000000671</v>
      </c>
      <c r="D324" s="4">
        <f t="shared" si="18"/>
        <v>-10.910883999999996</v>
      </c>
      <c r="E324" s="3">
        <v>54.19</v>
      </c>
      <c r="F324" s="3">
        <v>15</v>
      </c>
      <c r="G324" s="3">
        <v>103.79442800000001</v>
      </c>
      <c r="H324" s="4">
        <f t="shared" si="21"/>
        <v>0.59170600000001627</v>
      </c>
      <c r="I324" s="4">
        <f t="shared" si="19"/>
        <v>-22.401650000000004</v>
      </c>
      <c r="J324" s="3">
        <v>54.19</v>
      </c>
      <c r="K324" s="3">
        <v>15</v>
      </c>
      <c r="L324" s="13">
        <f>YEAR(Weekly_Prices[[#This Row],[Date]])</f>
        <v>2009</v>
      </c>
      <c r="M324" s="13">
        <f>MONTH(Weekly_Prices[[#This Row],[Date]])</f>
        <v>8</v>
      </c>
      <c r="N324" s="3" t="str">
        <f>TEXT(Weekly_Prices[[#This Row],[Date]],"MMMM")</f>
        <v>August</v>
      </c>
      <c r="O324" s="3" t="str">
        <f>YEAR(Weekly_Prices[[#This Row],[Date]])&amp;"-"&amp;TEXT(WEEKNUM(Weekly_Prices[[#This Row],[Date]],2),"00")</f>
        <v>2009-33</v>
      </c>
    </row>
    <row r="325" spans="1:15" x14ac:dyDescent="0.35">
      <c r="A325" s="2">
        <v>40042</v>
      </c>
      <c r="B325" s="3">
        <v>103.955395</v>
      </c>
      <c r="C325" s="4">
        <f t="shared" si="20"/>
        <v>0.94376599999999655</v>
      </c>
      <c r="D325" s="4">
        <f t="shared" si="18"/>
        <v>-8.2596490000000102</v>
      </c>
      <c r="E325" s="3">
        <v>54.19</v>
      </c>
      <c r="F325" s="3">
        <v>15</v>
      </c>
      <c r="G325" s="3">
        <v>104.449727</v>
      </c>
      <c r="H325" s="4">
        <f t="shared" si="21"/>
        <v>0.6552989999999852</v>
      </c>
      <c r="I325" s="4">
        <f t="shared" si="19"/>
        <v>-19.647343000000021</v>
      </c>
      <c r="J325" s="3">
        <v>54.19</v>
      </c>
      <c r="K325" s="3">
        <v>15</v>
      </c>
      <c r="L325" s="13">
        <f>YEAR(Weekly_Prices[[#This Row],[Date]])</f>
        <v>2009</v>
      </c>
      <c r="M325" s="13">
        <f>MONTH(Weekly_Prices[[#This Row],[Date]])</f>
        <v>8</v>
      </c>
      <c r="N325" s="3" t="str">
        <f>TEXT(Weekly_Prices[[#This Row],[Date]],"MMMM")</f>
        <v>August</v>
      </c>
      <c r="O325" s="3" t="str">
        <f>YEAR(Weekly_Prices[[#This Row],[Date]])&amp;"-"&amp;TEXT(WEEKNUM(Weekly_Prices[[#This Row],[Date]],2),"00")</f>
        <v>2009-34</v>
      </c>
    </row>
    <row r="326" spans="1:15" x14ac:dyDescent="0.35">
      <c r="A326" s="2">
        <v>40049</v>
      </c>
      <c r="B326" s="3">
        <v>104.69857999999999</v>
      </c>
      <c r="C326" s="4">
        <f t="shared" si="20"/>
        <v>0.74318499999999688</v>
      </c>
      <c r="D326" s="4">
        <f t="shared" si="18"/>
        <v>-7.3239810000000176</v>
      </c>
      <c r="E326" s="3">
        <v>54.19</v>
      </c>
      <c r="F326" s="3">
        <v>15</v>
      </c>
      <c r="G326" s="3">
        <v>105.109871</v>
      </c>
      <c r="H326" s="4">
        <f t="shared" si="21"/>
        <v>0.66014400000000251</v>
      </c>
      <c r="I326" s="4">
        <f t="shared" si="19"/>
        <v>-18.625952000000012</v>
      </c>
      <c r="J326" s="3">
        <v>54.19</v>
      </c>
      <c r="K326" s="3">
        <v>15</v>
      </c>
      <c r="L326" s="13">
        <f>YEAR(Weekly_Prices[[#This Row],[Date]])</f>
        <v>2009</v>
      </c>
      <c r="M326" s="13">
        <f>MONTH(Weekly_Prices[[#This Row],[Date]])</f>
        <v>8</v>
      </c>
      <c r="N326" s="3" t="str">
        <f>TEXT(Weekly_Prices[[#This Row],[Date]],"MMMM")</f>
        <v>August</v>
      </c>
      <c r="O326" s="3" t="str">
        <f>YEAR(Weekly_Prices[[#This Row],[Date]])&amp;"-"&amp;TEXT(WEEKNUM(Weekly_Prices[[#This Row],[Date]],2),"00")</f>
        <v>2009-35</v>
      </c>
    </row>
    <row r="327" spans="1:15" x14ac:dyDescent="0.35">
      <c r="A327" s="2">
        <v>40056</v>
      </c>
      <c r="B327" s="3">
        <v>105.10995600000001</v>
      </c>
      <c r="C327" s="4">
        <f t="shared" si="20"/>
        <v>0.41137600000001839</v>
      </c>
      <c r="D327" s="4">
        <f t="shared" si="18"/>
        <v>-7.0878019999999964</v>
      </c>
      <c r="E327" s="3">
        <v>54.19</v>
      </c>
      <c r="F327" s="3">
        <v>15</v>
      </c>
      <c r="G327" s="3">
        <v>105.50102799999999</v>
      </c>
      <c r="H327" s="4">
        <f t="shared" si="21"/>
        <v>0.39115699999999265</v>
      </c>
      <c r="I327" s="4">
        <f t="shared" si="19"/>
        <v>-18.385074000000031</v>
      </c>
      <c r="J327" s="3">
        <v>54.19</v>
      </c>
      <c r="K327" s="3">
        <v>15</v>
      </c>
      <c r="L327" s="13">
        <f>YEAR(Weekly_Prices[[#This Row],[Date]])</f>
        <v>2009</v>
      </c>
      <c r="M327" s="13">
        <f>MONTH(Weekly_Prices[[#This Row],[Date]])</f>
        <v>8</v>
      </c>
      <c r="N327" s="3" t="str">
        <f>TEXT(Weekly_Prices[[#This Row],[Date]],"MMMM")</f>
        <v>August</v>
      </c>
      <c r="O327" s="3" t="str">
        <f>YEAR(Weekly_Prices[[#This Row],[Date]])&amp;"-"&amp;TEXT(WEEKNUM(Weekly_Prices[[#This Row],[Date]],2),"00")</f>
        <v>2009-36</v>
      </c>
    </row>
    <row r="328" spans="1:15" x14ac:dyDescent="0.35">
      <c r="A328" s="2">
        <v>40063</v>
      </c>
      <c r="B328" s="3">
        <v>106.850234</v>
      </c>
      <c r="C328" s="4">
        <f t="shared" si="20"/>
        <v>1.7402779999999893</v>
      </c>
      <c r="D328" s="4">
        <f t="shared" si="18"/>
        <v>-5.6966170000000034</v>
      </c>
      <c r="E328" s="3">
        <v>56.19</v>
      </c>
      <c r="F328" s="3">
        <v>15</v>
      </c>
      <c r="G328" s="3">
        <v>107.30015999999999</v>
      </c>
      <c r="H328" s="4">
        <f t="shared" si="21"/>
        <v>1.7991320000000002</v>
      </c>
      <c r="I328" s="4">
        <f t="shared" si="19"/>
        <v>-16.896026000000006</v>
      </c>
      <c r="J328" s="3">
        <v>56.19</v>
      </c>
      <c r="K328" s="3">
        <v>15</v>
      </c>
      <c r="L328" s="13">
        <f>YEAR(Weekly_Prices[[#This Row],[Date]])</f>
        <v>2009</v>
      </c>
      <c r="M328" s="13">
        <f>MONTH(Weekly_Prices[[#This Row],[Date]])</f>
        <v>9</v>
      </c>
      <c r="N328" s="3" t="str">
        <f>TEXT(Weekly_Prices[[#This Row],[Date]],"MMMM")</f>
        <v>September</v>
      </c>
      <c r="O328" s="3" t="str">
        <f>YEAR(Weekly_Prices[[#This Row],[Date]])&amp;"-"&amp;TEXT(WEEKNUM(Weekly_Prices[[#This Row],[Date]],2),"00")</f>
        <v>2009-37</v>
      </c>
    </row>
    <row r="329" spans="1:15" x14ac:dyDescent="0.35">
      <c r="A329" s="2">
        <v>40070</v>
      </c>
      <c r="B329" s="3">
        <v>106.431934</v>
      </c>
      <c r="C329" s="4">
        <f t="shared" si="20"/>
        <v>-0.41830000000000211</v>
      </c>
      <c r="D329" s="4">
        <f t="shared" si="18"/>
        <v>-6.0803759999999869</v>
      </c>
      <c r="E329" s="3">
        <v>56.19</v>
      </c>
      <c r="F329" s="3">
        <v>15</v>
      </c>
      <c r="G329" s="3">
        <v>107.08787800000002</v>
      </c>
      <c r="H329" s="4">
        <f t="shared" si="21"/>
        <v>-0.21228199999997344</v>
      </c>
      <c r="I329" s="4">
        <f t="shared" si="19"/>
        <v>-17.055286999999979</v>
      </c>
      <c r="J329" s="3">
        <v>56.19</v>
      </c>
      <c r="K329" s="3">
        <v>15</v>
      </c>
      <c r="L329" s="13">
        <f>YEAR(Weekly_Prices[[#This Row],[Date]])</f>
        <v>2009</v>
      </c>
      <c r="M329" s="13">
        <f>MONTH(Weekly_Prices[[#This Row],[Date]])</f>
        <v>9</v>
      </c>
      <c r="N329" s="3" t="str">
        <f>TEXT(Weekly_Prices[[#This Row],[Date]],"MMMM")</f>
        <v>September</v>
      </c>
      <c r="O329" s="3" t="str">
        <f>YEAR(Weekly_Prices[[#This Row],[Date]])&amp;"-"&amp;TEXT(WEEKNUM(Weekly_Prices[[#This Row],[Date]],2),"00")</f>
        <v>2009-38</v>
      </c>
    </row>
    <row r="330" spans="1:15" x14ac:dyDescent="0.35">
      <c r="A330" s="2">
        <v>40077</v>
      </c>
      <c r="B330" s="3">
        <v>105.95612400000002</v>
      </c>
      <c r="C330" s="4">
        <f t="shared" si="20"/>
        <v>-0.47580999999998141</v>
      </c>
      <c r="D330" s="4">
        <f t="shared" si="18"/>
        <v>-4.8540759999999779</v>
      </c>
      <c r="E330" s="3">
        <v>56.19</v>
      </c>
      <c r="F330" s="3">
        <v>15</v>
      </c>
      <c r="G330" s="3">
        <v>106.79198000000001</v>
      </c>
      <c r="H330" s="4">
        <f t="shared" si="21"/>
        <v>-0.29589800000000821</v>
      </c>
      <c r="I330" s="4">
        <f t="shared" si="19"/>
        <v>-15.817350999999988</v>
      </c>
      <c r="J330" s="3">
        <v>56.19</v>
      </c>
      <c r="K330" s="3">
        <v>15</v>
      </c>
      <c r="L330" s="13">
        <f>YEAR(Weekly_Prices[[#This Row],[Date]])</f>
        <v>2009</v>
      </c>
      <c r="M330" s="13">
        <f>MONTH(Weekly_Prices[[#This Row],[Date]])</f>
        <v>9</v>
      </c>
      <c r="N330" s="3" t="str">
        <f>TEXT(Weekly_Prices[[#This Row],[Date]],"MMMM")</f>
        <v>September</v>
      </c>
      <c r="O330" s="3" t="str">
        <f>YEAR(Weekly_Prices[[#This Row],[Date]])&amp;"-"&amp;TEXT(WEEKNUM(Weekly_Prices[[#This Row],[Date]],2),"00")</f>
        <v>2009-39</v>
      </c>
    </row>
    <row r="331" spans="1:15" x14ac:dyDescent="0.35">
      <c r="A331" s="2">
        <v>40084</v>
      </c>
      <c r="B331" s="3">
        <v>105.43691600000001</v>
      </c>
      <c r="C331" s="4">
        <f t="shared" si="20"/>
        <v>-0.51920800000000611</v>
      </c>
      <c r="D331" s="4">
        <f t="shared" si="18"/>
        <v>-4.4119939999999929</v>
      </c>
      <c r="E331" s="3">
        <v>56.19</v>
      </c>
      <c r="F331" s="3">
        <v>15</v>
      </c>
      <c r="G331" s="3">
        <v>106.391081</v>
      </c>
      <c r="H331" s="4">
        <f t="shared" si="21"/>
        <v>-0.40089900000000966</v>
      </c>
      <c r="I331" s="4">
        <f t="shared" si="19"/>
        <v>-15.256171999999992</v>
      </c>
      <c r="J331" s="3">
        <v>56.19</v>
      </c>
      <c r="K331" s="3">
        <v>15</v>
      </c>
      <c r="L331" s="13">
        <f>YEAR(Weekly_Prices[[#This Row],[Date]])</f>
        <v>2009</v>
      </c>
      <c r="M331" s="13">
        <f>MONTH(Weekly_Prices[[#This Row],[Date]])</f>
        <v>9</v>
      </c>
      <c r="N331" s="3" t="str">
        <f>TEXT(Weekly_Prices[[#This Row],[Date]],"MMMM")</f>
        <v>September</v>
      </c>
      <c r="O331" s="3" t="str">
        <f>YEAR(Weekly_Prices[[#This Row],[Date]])&amp;"-"&amp;TEXT(WEEKNUM(Weekly_Prices[[#This Row],[Date]],2),"00")</f>
        <v>2009-40</v>
      </c>
    </row>
    <row r="332" spans="1:15" x14ac:dyDescent="0.35">
      <c r="A332" s="2">
        <v>40091</v>
      </c>
      <c r="B332" s="3">
        <v>104.867458</v>
      </c>
      <c r="C332" s="4">
        <f t="shared" si="20"/>
        <v>-0.56945800000001157</v>
      </c>
      <c r="D332" s="4">
        <f t="shared" si="18"/>
        <v>-4.5846099999999979</v>
      </c>
      <c r="E332" s="3">
        <v>56.19</v>
      </c>
      <c r="F332" s="3">
        <v>15</v>
      </c>
      <c r="G332" s="3">
        <v>105.847508</v>
      </c>
      <c r="H332" s="4">
        <f t="shared" si="21"/>
        <v>-0.54357299999999498</v>
      </c>
      <c r="I332" s="4">
        <f t="shared" si="19"/>
        <v>-15.288977999999986</v>
      </c>
      <c r="J332" s="3">
        <v>56.19</v>
      </c>
      <c r="K332" s="3">
        <v>15</v>
      </c>
      <c r="L332" s="13">
        <f>YEAR(Weekly_Prices[[#This Row],[Date]])</f>
        <v>2009</v>
      </c>
      <c r="M332" s="13">
        <f>MONTH(Weekly_Prices[[#This Row],[Date]])</f>
        <v>10</v>
      </c>
      <c r="N332" s="3" t="str">
        <f>TEXT(Weekly_Prices[[#This Row],[Date]],"MMMM")</f>
        <v>October</v>
      </c>
      <c r="O332" s="3" t="str">
        <f>YEAR(Weekly_Prices[[#This Row],[Date]])&amp;"-"&amp;TEXT(WEEKNUM(Weekly_Prices[[#This Row],[Date]],2),"00")</f>
        <v>2009-41</v>
      </c>
    </row>
    <row r="333" spans="1:15" x14ac:dyDescent="0.35">
      <c r="A333" s="2">
        <v>40098</v>
      </c>
      <c r="B333" s="3">
        <v>104.71270100000001</v>
      </c>
      <c r="C333" s="4">
        <f t="shared" si="20"/>
        <v>-0.15475699999998938</v>
      </c>
      <c r="D333" s="4">
        <f t="shared" si="18"/>
        <v>-2.3268280000000061</v>
      </c>
      <c r="E333" s="3">
        <v>56.19</v>
      </c>
      <c r="F333" s="3">
        <v>15</v>
      </c>
      <c r="G333" s="3">
        <v>105.68810999999999</v>
      </c>
      <c r="H333" s="4">
        <f t="shared" si="21"/>
        <v>-0.15939800000001014</v>
      </c>
      <c r="I333" s="4">
        <f t="shared" si="19"/>
        <v>-12.734750000000005</v>
      </c>
      <c r="J333" s="3">
        <v>56.19</v>
      </c>
      <c r="K333" s="3">
        <v>15</v>
      </c>
      <c r="L333" s="13">
        <f>YEAR(Weekly_Prices[[#This Row],[Date]])</f>
        <v>2009</v>
      </c>
      <c r="M333" s="13">
        <f>MONTH(Weekly_Prices[[#This Row],[Date]])</f>
        <v>10</v>
      </c>
      <c r="N333" s="3" t="str">
        <f>TEXT(Weekly_Prices[[#This Row],[Date]],"MMMM")</f>
        <v>October</v>
      </c>
      <c r="O333" s="3" t="str">
        <f>YEAR(Weekly_Prices[[#This Row],[Date]])&amp;"-"&amp;TEXT(WEEKNUM(Weekly_Prices[[#This Row],[Date]],2),"00")</f>
        <v>2009-42</v>
      </c>
    </row>
    <row r="334" spans="1:15" x14ac:dyDescent="0.35">
      <c r="A334" s="2">
        <v>40105</v>
      </c>
      <c r="B334" s="3">
        <v>105.08438200000001</v>
      </c>
      <c r="C334" s="4">
        <f t="shared" si="20"/>
        <v>0.37168099999999527</v>
      </c>
      <c r="D334" s="4">
        <f t="shared" si="18"/>
        <v>2.4262510000000077</v>
      </c>
      <c r="E334" s="3">
        <v>56.19</v>
      </c>
      <c r="F334" s="3">
        <v>15</v>
      </c>
      <c r="G334" s="3">
        <v>106.27989399999998</v>
      </c>
      <c r="H334" s="4">
        <f t="shared" si="21"/>
        <v>0.59178399999998987</v>
      </c>
      <c r="I334" s="4">
        <f t="shared" si="19"/>
        <v>-8.0302780000000098</v>
      </c>
      <c r="J334" s="3">
        <v>56.19</v>
      </c>
      <c r="K334" s="3">
        <v>15</v>
      </c>
      <c r="L334" s="13">
        <f>YEAR(Weekly_Prices[[#This Row],[Date]])</f>
        <v>2009</v>
      </c>
      <c r="M334" s="13">
        <f>MONTH(Weekly_Prices[[#This Row],[Date]])</f>
        <v>10</v>
      </c>
      <c r="N334" s="3" t="str">
        <f>TEXT(Weekly_Prices[[#This Row],[Date]],"MMMM")</f>
        <v>October</v>
      </c>
      <c r="O334" s="3" t="str">
        <f>YEAR(Weekly_Prices[[#This Row],[Date]])&amp;"-"&amp;TEXT(WEEKNUM(Weekly_Prices[[#This Row],[Date]],2),"00")</f>
        <v>2009-43</v>
      </c>
    </row>
    <row r="335" spans="1:15" x14ac:dyDescent="0.35">
      <c r="A335" s="2">
        <v>40112</v>
      </c>
      <c r="B335" s="3">
        <v>106.75587300000001</v>
      </c>
      <c r="C335" s="4">
        <f t="shared" si="20"/>
        <v>1.6714910000000032</v>
      </c>
      <c r="D335" s="4">
        <f t="shared" si="18"/>
        <v>8.1338050000000095</v>
      </c>
      <c r="E335" s="3">
        <v>56.19</v>
      </c>
      <c r="F335" s="3">
        <v>15</v>
      </c>
      <c r="G335" s="3">
        <v>107.778406</v>
      </c>
      <c r="H335" s="4">
        <f t="shared" si="21"/>
        <v>1.4985120000000194</v>
      </c>
      <c r="I335" s="4">
        <f t="shared" si="19"/>
        <v>-3.2325569999999999</v>
      </c>
      <c r="J335" s="3">
        <v>56.19</v>
      </c>
      <c r="K335" s="3">
        <v>15</v>
      </c>
      <c r="L335" s="13">
        <f>YEAR(Weekly_Prices[[#This Row],[Date]])</f>
        <v>2009</v>
      </c>
      <c r="M335" s="13">
        <f>MONTH(Weekly_Prices[[#This Row],[Date]])</f>
        <v>10</v>
      </c>
      <c r="N335" s="3" t="str">
        <f>TEXT(Weekly_Prices[[#This Row],[Date]],"MMMM")</f>
        <v>October</v>
      </c>
      <c r="O335" s="3" t="str">
        <f>YEAR(Weekly_Prices[[#This Row],[Date]])&amp;"-"&amp;TEXT(WEEKNUM(Weekly_Prices[[#This Row],[Date]],2),"00")</f>
        <v>2009-44</v>
      </c>
    </row>
    <row r="336" spans="1:15" x14ac:dyDescent="0.35">
      <c r="A336" s="2">
        <v>40119</v>
      </c>
      <c r="B336" s="3">
        <v>107.43145800000001</v>
      </c>
      <c r="C336" s="4">
        <f t="shared" si="20"/>
        <v>0.6755849999999981</v>
      </c>
      <c r="D336" s="4">
        <f t="shared" si="18"/>
        <v>10.031817000000018</v>
      </c>
      <c r="E336" s="3">
        <v>56.19</v>
      </c>
      <c r="F336" s="3">
        <v>15</v>
      </c>
      <c r="G336" s="3">
        <v>108.510193</v>
      </c>
      <c r="H336" s="4">
        <f t="shared" si="21"/>
        <v>0.73178699999999708</v>
      </c>
      <c r="I336" s="4">
        <f t="shared" si="19"/>
        <v>-1.356804000000011</v>
      </c>
      <c r="J336" s="3">
        <v>56.19</v>
      </c>
      <c r="K336" s="3">
        <v>15</v>
      </c>
      <c r="L336" s="13">
        <f>YEAR(Weekly_Prices[[#This Row],[Date]])</f>
        <v>2009</v>
      </c>
      <c r="M336" s="13">
        <f>MONTH(Weekly_Prices[[#This Row],[Date]])</f>
        <v>11</v>
      </c>
      <c r="N336" s="3" t="str">
        <f>TEXT(Weekly_Prices[[#This Row],[Date]],"MMMM")</f>
        <v>November</v>
      </c>
      <c r="O336" s="3" t="str">
        <f>YEAR(Weekly_Prices[[#This Row],[Date]])&amp;"-"&amp;TEXT(WEEKNUM(Weekly_Prices[[#This Row],[Date]],2),"00")</f>
        <v>2009-45</v>
      </c>
    </row>
    <row r="337" spans="1:15" x14ac:dyDescent="0.35">
      <c r="A337" s="2">
        <v>40126</v>
      </c>
      <c r="B337" s="3">
        <v>108.10007800000001</v>
      </c>
      <c r="C337" s="4">
        <f t="shared" si="20"/>
        <v>0.66862000000000421</v>
      </c>
      <c r="D337" s="4">
        <f t="shared" si="18"/>
        <v>12.209548000000012</v>
      </c>
      <c r="E337" s="3">
        <v>56.19</v>
      </c>
      <c r="F337" s="3">
        <v>15</v>
      </c>
      <c r="G337" s="3">
        <v>109.351895</v>
      </c>
      <c r="H337" s="4">
        <f t="shared" si="21"/>
        <v>0.84170199999999795</v>
      </c>
      <c r="I337" s="4">
        <f t="shared" si="19"/>
        <v>0.22215199999997992</v>
      </c>
      <c r="J337" s="3">
        <v>56.19</v>
      </c>
      <c r="K337" s="3">
        <v>15</v>
      </c>
      <c r="L337" s="13">
        <f>YEAR(Weekly_Prices[[#This Row],[Date]])</f>
        <v>2009</v>
      </c>
      <c r="M337" s="13">
        <f>MONTH(Weekly_Prices[[#This Row],[Date]])</f>
        <v>11</v>
      </c>
      <c r="N337" s="3" t="str">
        <f>TEXT(Weekly_Prices[[#This Row],[Date]],"MMMM")</f>
        <v>November</v>
      </c>
      <c r="O337" s="3" t="str">
        <f>YEAR(Weekly_Prices[[#This Row],[Date]])&amp;"-"&amp;TEXT(WEEKNUM(Weekly_Prices[[#This Row],[Date]],2),"00")</f>
        <v>2009-46</v>
      </c>
    </row>
    <row r="338" spans="1:15" x14ac:dyDescent="0.35">
      <c r="A338" s="2">
        <v>40133</v>
      </c>
      <c r="B338" s="3">
        <v>108.483895</v>
      </c>
      <c r="C338" s="4">
        <f t="shared" si="20"/>
        <v>0.38381699999999341</v>
      </c>
      <c r="D338" s="4">
        <f t="shared" si="18"/>
        <v>13.651433999999995</v>
      </c>
      <c r="E338" s="3">
        <v>56.19</v>
      </c>
      <c r="F338" s="3">
        <v>15</v>
      </c>
      <c r="G338" s="3">
        <v>109.64535600000001</v>
      </c>
      <c r="H338" s="4">
        <f t="shared" si="21"/>
        <v>0.29346100000000774</v>
      </c>
      <c r="I338" s="4">
        <f t="shared" si="19"/>
        <v>0.91841699999999094</v>
      </c>
      <c r="J338" s="3">
        <v>56.19</v>
      </c>
      <c r="K338" s="3">
        <v>15</v>
      </c>
      <c r="L338" s="13">
        <f>YEAR(Weekly_Prices[[#This Row],[Date]])</f>
        <v>2009</v>
      </c>
      <c r="M338" s="13">
        <f>MONTH(Weekly_Prices[[#This Row],[Date]])</f>
        <v>11</v>
      </c>
      <c r="N338" s="3" t="str">
        <f>TEXT(Weekly_Prices[[#This Row],[Date]],"MMMM")</f>
        <v>November</v>
      </c>
      <c r="O338" s="3" t="str">
        <f>YEAR(Weekly_Prices[[#This Row],[Date]])&amp;"-"&amp;TEXT(WEEKNUM(Weekly_Prices[[#This Row],[Date]],2),"00")</f>
        <v>2009-47</v>
      </c>
    </row>
    <row r="339" spans="1:15" x14ac:dyDescent="0.35">
      <c r="A339" s="2">
        <v>40140</v>
      </c>
      <c r="B339" s="3">
        <v>108.73341000000001</v>
      </c>
      <c r="C339" s="4">
        <f t="shared" si="20"/>
        <v>0.24951500000000237</v>
      </c>
      <c r="D339" s="4">
        <f t="shared" si="18"/>
        <v>15.945744000000005</v>
      </c>
      <c r="E339" s="3">
        <v>56.19</v>
      </c>
      <c r="F339" s="3">
        <v>15</v>
      </c>
      <c r="G339" s="3">
        <v>109.871875</v>
      </c>
      <c r="H339" s="4">
        <f t="shared" si="21"/>
        <v>0.22651899999999614</v>
      </c>
      <c r="I339" s="4">
        <f t="shared" si="19"/>
        <v>2.0935230000000047</v>
      </c>
      <c r="J339" s="3">
        <v>56.19</v>
      </c>
      <c r="K339" s="3">
        <v>15</v>
      </c>
      <c r="L339" s="13">
        <f>YEAR(Weekly_Prices[[#This Row],[Date]])</f>
        <v>2009</v>
      </c>
      <c r="M339" s="13">
        <f>MONTH(Weekly_Prices[[#This Row],[Date]])</f>
        <v>11</v>
      </c>
      <c r="N339" s="3" t="str">
        <f>TEXT(Weekly_Prices[[#This Row],[Date]],"MMMM")</f>
        <v>November</v>
      </c>
      <c r="O339" s="3" t="str">
        <f>YEAR(Weekly_Prices[[#This Row],[Date]])&amp;"-"&amp;TEXT(WEEKNUM(Weekly_Prices[[#This Row],[Date]],2),"00")</f>
        <v>2009-48</v>
      </c>
    </row>
    <row r="340" spans="1:15" x14ac:dyDescent="0.35">
      <c r="A340" s="2">
        <v>40147</v>
      </c>
      <c r="B340" s="3">
        <v>108.79216099999999</v>
      </c>
      <c r="C340" s="4">
        <f t="shared" si="20"/>
        <v>5.8750999999986675E-2</v>
      </c>
      <c r="D340" s="4">
        <f t="shared" si="18"/>
        <v>17.321874999999991</v>
      </c>
      <c r="E340" s="3">
        <v>56.19</v>
      </c>
      <c r="F340" s="3">
        <v>15</v>
      </c>
      <c r="G340" s="3">
        <v>109.98578800000001</v>
      </c>
      <c r="H340" s="4">
        <f t="shared" si="21"/>
        <v>0.11391300000001081</v>
      </c>
      <c r="I340" s="4">
        <f t="shared" si="19"/>
        <v>3.4241180000000213</v>
      </c>
      <c r="J340" s="3">
        <v>56.19</v>
      </c>
      <c r="K340" s="3">
        <v>15</v>
      </c>
      <c r="L340" s="13">
        <f>YEAR(Weekly_Prices[[#This Row],[Date]])</f>
        <v>2009</v>
      </c>
      <c r="M340" s="13">
        <f>MONTH(Weekly_Prices[[#This Row],[Date]])</f>
        <v>11</v>
      </c>
      <c r="N340" s="3" t="str">
        <f>TEXT(Weekly_Prices[[#This Row],[Date]],"MMMM")</f>
        <v>November</v>
      </c>
      <c r="O340" s="3" t="str">
        <f>YEAR(Weekly_Prices[[#This Row],[Date]])&amp;"-"&amp;TEXT(WEEKNUM(Weekly_Prices[[#This Row],[Date]],2),"00")</f>
        <v>2009-49</v>
      </c>
    </row>
    <row r="341" spans="1:15" x14ac:dyDescent="0.35">
      <c r="A341" s="2">
        <v>40154</v>
      </c>
      <c r="B341" s="3">
        <v>108.637429</v>
      </c>
      <c r="C341" s="4">
        <f t="shared" si="20"/>
        <v>-0.15473199999999565</v>
      </c>
      <c r="D341" s="4">
        <f t="shared" si="18"/>
        <v>18.481111999999996</v>
      </c>
      <c r="E341" s="3">
        <v>56.19</v>
      </c>
      <c r="F341" s="3">
        <v>15</v>
      </c>
      <c r="G341" s="3">
        <v>109.871982</v>
      </c>
      <c r="H341" s="4">
        <f t="shared" si="21"/>
        <v>-0.11380600000001095</v>
      </c>
      <c r="I341" s="4">
        <f t="shared" si="19"/>
        <v>5.0068590000000199</v>
      </c>
      <c r="J341" s="3">
        <v>56.19</v>
      </c>
      <c r="K341" s="3">
        <v>15</v>
      </c>
      <c r="L341" s="13">
        <f>YEAR(Weekly_Prices[[#This Row],[Date]])</f>
        <v>2009</v>
      </c>
      <c r="M341" s="13">
        <f>MONTH(Weekly_Prices[[#This Row],[Date]])</f>
        <v>12</v>
      </c>
      <c r="N341" s="3" t="str">
        <f>TEXT(Weekly_Prices[[#This Row],[Date]],"MMMM")</f>
        <v>December</v>
      </c>
      <c r="O341" s="3" t="str">
        <f>YEAR(Weekly_Prices[[#This Row],[Date]])&amp;"-"&amp;TEXT(WEEKNUM(Weekly_Prices[[#This Row],[Date]],2),"00")</f>
        <v>2009-50</v>
      </c>
    </row>
    <row r="342" spans="1:15" x14ac:dyDescent="0.35">
      <c r="A342" s="2">
        <v>40161</v>
      </c>
      <c r="B342" s="3">
        <v>108.49736899999999</v>
      </c>
      <c r="C342" s="4">
        <f t="shared" si="20"/>
        <v>-0.1400600000000054</v>
      </c>
      <c r="D342" s="4">
        <f t="shared" si="18"/>
        <v>19.431679999999986</v>
      </c>
      <c r="E342" s="3">
        <v>56.19</v>
      </c>
      <c r="F342" s="3">
        <v>15</v>
      </c>
      <c r="G342" s="3">
        <v>109.568286</v>
      </c>
      <c r="H342" s="4">
        <f t="shared" si="21"/>
        <v>-0.30369600000000219</v>
      </c>
      <c r="I342" s="4">
        <f t="shared" si="19"/>
        <v>8.3276740000000018</v>
      </c>
      <c r="J342" s="3">
        <v>56.19</v>
      </c>
      <c r="K342" s="3">
        <v>15</v>
      </c>
      <c r="L342" s="13">
        <f>YEAR(Weekly_Prices[[#This Row],[Date]])</f>
        <v>2009</v>
      </c>
      <c r="M342" s="13">
        <f>MONTH(Weekly_Prices[[#This Row],[Date]])</f>
        <v>12</v>
      </c>
      <c r="N342" s="3" t="str">
        <f>TEXT(Weekly_Prices[[#This Row],[Date]],"MMMM")</f>
        <v>December</v>
      </c>
      <c r="O342" s="3" t="str">
        <f>YEAR(Weekly_Prices[[#This Row],[Date]])&amp;"-"&amp;TEXT(WEEKNUM(Weekly_Prices[[#This Row],[Date]],2),"00")</f>
        <v>2009-51</v>
      </c>
    </row>
    <row r="343" spans="1:15" x14ac:dyDescent="0.35">
      <c r="A343" s="2">
        <v>40168</v>
      </c>
      <c r="B343" s="3">
        <v>107.466071</v>
      </c>
      <c r="C343" s="4">
        <f t="shared" si="20"/>
        <v>-1.0312979999999925</v>
      </c>
      <c r="D343" s="4">
        <f t="shared" si="18"/>
        <v>19.451760999999991</v>
      </c>
      <c r="E343" s="3">
        <v>56.19</v>
      </c>
      <c r="F343" s="3">
        <v>15</v>
      </c>
      <c r="G343" s="3">
        <v>109.126373</v>
      </c>
      <c r="H343" s="4">
        <f t="shared" si="21"/>
        <v>-0.44191299999999956</v>
      </c>
      <c r="I343" s="4">
        <f t="shared" si="19"/>
        <v>9.1892199999999917</v>
      </c>
      <c r="J343" s="3">
        <v>56.19</v>
      </c>
      <c r="K343" s="3">
        <v>15</v>
      </c>
      <c r="L343" s="13">
        <f>YEAR(Weekly_Prices[[#This Row],[Date]])</f>
        <v>2009</v>
      </c>
      <c r="M343" s="13">
        <f>MONTH(Weekly_Prices[[#This Row],[Date]])</f>
        <v>12</v>
      </c>
      <c r="N343" s="3" t="str">
        <f>TEXT(Weekly_Prices[[#This Row],[Date]],"MMMM")</f>
        <v>December</v>
      </c>
      <c r="O343" s="3" t="str">
        <f>YEAR(Weekly_Prices[[#This Row],[Date]])&amp;"-"&amp;TEXT(WEEKNUM(Weekly_Prices[[#This Row],[Date]],2),"00")</f>
        <v>2009-52</v>
      </c>
    </row>
    <row r="344" spans="1:15" x14ac:dyDescent="0.35">
      <c r="A344" s="2">
        <v>40175</v>
      </c>
      <c r="B344" s="3">
        <v>107.44304199999999</v>
      </c>
      <c r="C344" s="4">
        <f t="shared" si="20"/>
        <v>-2.3029000000008182E-2</v>
      </c>
      <c r="D344" s="4">
        <f t="shared" si="18"/>
        <v>20.098736999999986</v>
      </c>
      <c r="E344" s="3">
        <v>56.19</v>
      </c>
      <c r="F344" s="3">
        <v>15</v>
      </c>
      <c r="G344" s="3">
        <v>109.171881</v>
      </c>
      <c r="H344" s="4">
        <f t="shared" si="21"/>
        <v>4.5507999999998106E-2</v>
      </c>
      <c r="I344" s="4">
        <f t="shared" si="19"/>
        <v>9.9985010000000187</v>
      </c>
      <c r="J344" s="3">
        <v>56.19</v>
      </c>
      <c r="K344" s="3">
        <v>15</v>
      </c>
      <c r="L344" s="13">
        <f>YEAR(Weekly_Prices[[#This Row],[Date]])</f>
        <v>2009</v>
      </c>
      <c r="M344" s="13">
        <f>MONTH(Weekly_Prices[[#This Row],[Date]])</f>
        <v>12</v>
      </c>
      <c r="N344" s="3" t="str">
        <f>TEXT(Weekly_Prices[[#This Row],[Date]],"MMMM")</f>
        <v>December</v>
      </c>
      <c r="O344" s="3" t="str">
        <f>YEAR(Weekly_Prices[[#This Row],[Date]])&amp;"-"&amp;TEXT(WEEKNUM(Weekly_Prices[[#This Row],[Date]],2),"00")</f>
        <v>2009-53</v>
      </c>
    </row>
    <row r="345" spans="1:15" x14ac:dyDescent="0.35">
      <c r="A345" s="2">
        <v>40182</v>
      </c>
      <c r="B345" s="3">
        <v>109.34044399999999</v>
      </c>
      <c r="C345" s="4">
        <f t="shared" si="20"/>
        <v>1.8974019999999996</v>
      </c>
      <c r="D345" s="4">
        <f t="shared" si="18"/>
        <v>23.917874999999995</v>
      </c>
      <c r="E345" s="3">
        <v>56.19</v>
      </c>
      <c r="F345" s="3">
        <v>17.5</v>
      </c>
      <c r="G345" s="3">
        <v>111.075737</v>
      </c>
      <c r="H345" s="4">
        <f t="shared" si="21"/>
        <v>1.9038560000000047</v>
      </c>
      <c r="I345" s="4">
        <f t="shared" si="19"/>
        <v>13.505141999999992</v>
      </c>
      <c r="J345" s="3">
        <v>56.19</v>
      </c>
      <c r="K345" s="3">
        <v>17.5</v>
      </c>
      <c r="L345" s="13">
        <f>YEAR(Weekly_Prices[[#This Row],[Date]])</f>
        <v>2010</v>
      </c>
      <c r="M345" s="13">
        <f>MONTH(Weekly_Prices[[#This Row],[Date]])</f>
        <v>1</v>
      </c>
      <c r="N345" s="3" t="str">
        <f>TEXT(Weekly_Prices[[#This Row],[Date]],"MMMM")</f>
        <v>January</v>
      </c>
      <c r="O345" s="3" t="str">
        <f>YEAR(Weekly_Prices[[#This Row],[Date]])&amp;"-"&amp;TEXT(WEEKNUM(Weekly_Prices[[#This Row],[Date]],2),"00")</f>
        <v>2010-02</v>
      </c>
    </row>
    <row r="346" spans="1:15" x14ac:dyDescent="0.35">
      <c r="A346" s="2">
        <v>40189</v>
      </c>
      <c r="B346" s="3">
        <v>110.72232100000001</v>
      </c>
      <c r="C346" s="4">
        <f t="shared" si="20"/>
        <v>1.3818770000000171</v>
      </c>
      <c r="D346" s="4">
        <f t="shared" si="18"/>
        <v>24.703607000000005</v>
      </c>
      <c r="E346" s="3">
        <v>56.19</v>
      </c>
      <c r="F346" s="3">
        <v>17.5</v>
      </c>
      <c r="G346" s="3">
        <v>112.593144</v>
      </c>
      <c r="H346" s="4">
        <f t="shared" si="21"/>
        <v>1.5174069999999915</v>
      </c>
      <c r="I346" s="4">
        <f t="shared" si="19"/>
        <v>14.276723000000004</v>
      </c>
      <c r="J346" s="3">
        <v>56.19</v>
      </c>
      <c r="K346" s="3">
        <v>17.5</v>
      </c>
      <c r="L346" s="13">
        <f>YEAR(Weekly_Prices[[#This Row],[Date]])</f>
        <v>2010</v>
      </c>
      <c r="M346" s="13">
        <f>MONTH(Weekly_Prices[[#This Row],[Date]])</f>
        <v>1</v>
      </c>
      <c r="N346" s="3" t="str">
        <f>TEXT(Weekly_Prices[[#This Row],[Date]],"MMMM")</f>
        <v>January</v>
      </c>
      <c r="O346" s="3" t="str">
        <f>YEAR(Weekly_Prices[[#This Row],[Date]])&amp;"-"&amp;TEXT(WEEKNUM(Weekly_Prices[[#This Row],[Date]],2),"00")</f>
        <v>2010-03</v>
      </c>
    </row>
    <row r="347" spans="1:15" x14ac:dyDescent="0.35">
      <c r="A347" s="2">
        <v>40196</v>
      </c>
      <c r="B347" s="3">
        <v>111.601865</v>
      </c>
      <c r="C347" s="4">
        <f t="shared" si="20"/>
        <v>0.87954399999999566</v>
      </c>
      <c r="D347" s="4">
        <f t="shared" si="18"/>
        <v>25.407368999999989</v>
      </c>
      <c r="E347" s="3">
        <v>56.19</v>
      </c>
      <c r="F347" s="3">
        <v>17.5</v>
      </c>
      <c r="G347" s="3">
        <v>113.38911099999999</v>
      </c>
      <c r="H347" s="4">
        <f t="shared" si="21"/>
        <v>0.79596699999999032</v>
      </c>
      <c r="I347" s="4">
        <f t="shared" si="19"/>
        <v>14.940513999999979</v>
      </c>
      <c r="J347" s="3">
        <v>56.19</v>
      </c>
      <c r="K347" s="3">
        <v>17.5</v>
      </c>
      <c r="L347" s="13">
        <f>YEAR(Weekly_Prices[[#This Row],[Date]])</f>
        <v>2010</v>
      </c>
      <c r="M347" s="13">
        <f>MONTH(Weekly_Prices[[#This Row],[Date]])</f>
        <v>1</v>
      </c>
      <c r="N347" s="3" t="str">
        <f>TEXT(Weekly_Prices[[#This Row],[Date]],"MMMM")</f>
        <v>January</v>
      </c>
      <c r="O347" s="3" t="str">
        <f>YEAR(Weekly_Prices[[#This Row],[Date]])&amp;"-"&amp;TEXT(WEEKNUM(Weekly_Prices[[#This Row],[Date]],2),"00")</f>
        <v>2010-04</v>
      </c>
    </row>
    <row r="348" spans="1:15" x14ac:dyDescent="0.35">
      <c r="A348" s="2">
        <v>40203</v>
      </c>
      <c r="B348" s="3">
        <v>111.86565400000002</v>
      </c>
      <c r="C348" s="4">
        <f t="shared" si="20"/>
        <v>0.26378900000001693</v>
      </c>
      <c r="D348" s="4">
        <f t="shared" si="18"/>
        <v>24.447968000000017</v>
      </c>
      <c r="E348" s="3">
        <v>56.19</v>
      </c>
      <c r="F348" s="3">
        <v>17.5</v>
      </c>
      <c r="G348" s="3">
        <v>113.711136</v>
      </c>
      <c r="H348" s="4">
        <f t="shared" si="21"/>
        <v>0.32202500000001066</v>
      </c>
      <c r="I348" s="4">
        <f t="shared" si="19"/>
        <v>14.325885999999997</v>
      </c>
      <c r="J348" s="3">
        <v>56.19</v>
      </c>
      <c r="K348" s="3">
        <v>17.5</v>
      </c>
      <c r="L348" s="13">
        <f>YEAR(Weekly_Prices[[#This Row],[Date]])</f>
        <v>2010</v>
      </c>
      <c r="M348" s="13">
        <f>MONTH(Weekly_Prices[[#This Row],[Date]])</f>
        <v>1</v>
      </c>
      <c r="N348" s="3" t="str">
        <f>TEXT(Weekly_Prices[[#This Row],[Date]],"MMMM")</f>
        <v>January</v>
      </c>
      <c r="O348" s="3" t="str">
        <f>YEAR(Weekly_Prices[[#This Row],[Date]])&amp;"-"&amp;TEXT(WEEKNUM(Weekly_Prices[[#This Row],[Date]],2),"00")</f>
        <v>2010-05</v>
      </c>
    </row>
    <row r="349" spans="1:15" x14ac:dyDescent="0.35">
      <c r="A349" s="2">
        <v>40210</v>
      </c>
      <c r="B349" s="3">
        <v>111.90562199999999</v>
      </c>
      <c r="C349" s="4">
        <f t="shared" si="20"/>
        <v>3.9967999999973358E-2</v>
      </c>
      <c r="D349" s="4">
        <f t="shared" si="18"/>
        <v>23.744821000000002</v>
      </c>
      <c r="E349" s="3">
        <v>56.19</v>
      </c>
      <c r="F349" s="3">
        <v>17.5</v>
      </c>
      <c r="G349" s="3">
        <v>113.74896400000002</v>
      </c>
      <c r="H349" s="4">
        <f t="shared" si="21"/>
        <v>3.7828000000018847E-2</v>
      </c>
      <c r="I349" s="4">
        <f t="shared" si="19"/>
        <v>13.927586000000019</v>
      </c>
      <c r="J349" s="3">
        <v>56.19</v>
      </c>
      <c r="K349" s="3">
        <v>17.5</v>
      </c>
      <c r="L349" s="13">
        <f>YEAR(Weekly_Prices[[#This Row],[Date]])</f>
        <v>2010</v>
      </c>
      <c r="M349" s="13">
        <f>MONTH(Weekly_Prices[[#This Row],[Date]])</f>
        <v>2</v>
      </c>
      <c r="N349" s="3" t="str">
        <f>TEXT(Weekly_Prices[[#This Row],[Date]],"MMMM")</f>
        <v>February</v>
      </c>
      <c r="O349" s="3" t="str">
        <f>YEAR(Weekly_Prices[[#This Row],[Date]])&amp;"-"&amp;TEXT(WEEKNUM(Weekly_Prices[[#This Row],[Date]],2),"00")</f>
        <v>2010-06</v>
      </c>
    </row>
    <row r="350" spans="1:15" x14ac:dyDescent="0.35">
      <c r="A350" s="2">
        <v>40217</v>
      </c>
      <c r="B350" s="3">
        <v>111.95014099999999</v>
      </c>
      <c r="C350" s="4">
        <f t="shared" si="20"/>
        <v>4.451899999999398E-2</v>
      </c>
      <c r="D350" s="4">
        <f t="shared" si="18"/>
        <v>22.673345999999995</v>
      </c>
      <c r="E350" s="3">
        <v>56.19</v>
      </c>
      <c r="F350" s="3">
        <v>17.5</v>
      </c>
      <c r="G350" s="3">
        <v>113.790274</v>
      </c>
      <c r="H350" s="4">
        <f t="shared" si="21"/>
        <v>4.1309999999981528E-2</v>
      </c>
      <c r="I350" s="4">
        <f t="shared" si="19"/>
        <v>13.477190999999991</v>
      </c>
      <c r="J350" s="3">
        <v>56.19</v>
      </c>
      <c r="K350" s="3">
        <v>17.5</v>
      </c>
      <c r="L350" s="13">
        <f>YEAR(Weekly_Prices[[#This Row],[Date]])</f>
        <v>2010</v>
      </c>
      <c r="M350" s="13">
        <f>MONTH(Weekly_Prices[[#This Row],[Date]])</f>
        <v>2</v>
      </c>
      <c r="N350" s="3" t="str">
        <f>TEXT(Weekly_Prices[[#This Row],[Date]],"MMMM")</f>
        <v>February</v>
      </c>
      <c r="O350" s="3" t="str">
        <f>YEAR(Weekly_Prices[[#This Row],[Date]])&amp;"-"&amp;TEXT(WEEKNUM(Weekly_Prices[[#This Row],[Date]],2),"00")</f>
        <v>2010-07</v>
      </c>
    </row>
    <row r="351" spans="1:15" x14ac:dyDescent="0.35">
      <c r="A351" s="2">
        <v>40224</v>
      </c>
      <c r="B351" s="3">
        <v>111.892903</v>
      </c>
      <c r="C351" s="4">
        <f t="shared" si="20"/>
        <v>-5.7237999999983913E-2</v>
      </c>
      <c r="D351" s="4">
        <f t="shared" si="18"/>
        <v>21.772390000000001</v>
      </c>
      <c r="E351" s="3">
        <v>56.19</v>
      </c>
      <c r="F351" s="3">
        <v>17.5</v>
      </c>
      <c r="G351" s="3">
        <v>113.67892399999999</v>
      </c>
      <c r="H351" s="4">
        <f t="shared" si="21"/>
        <v>-0.11135000000000161</v>
      </c>
      <c r="I351" s="4">
        <f t="shared" si="19"/>
        <v>12.820278999999999</v>
      </c>
      <c r="J351" s="3">
        <v>56.19</v>
      </c>
      <c r="K351" s="3">
        <v>17.5</v>
      </c>
      <c r="L351" s="13">
        <f>YEAR(Weekly_Prices[[#This Row],[Date]])</f>
        <v>2010</v>
      </c>
      <c r="M351" s="13">
        <f>MONTH(Weekly_Prices[[#This Row],[Date]])</f>
        <v>2</v>
      </c>
      <c r="N351" s="3" t="str">
        <f>TEXT(Weekly_Prices[[#This Row],[Date]],"MMMM")</f>
        <v>February</v>
      </c>
      <c r="O351" s="3" t="str">
        <f>YEAR(Weekly_Prices[[#This Row],[Date]])&amp;"-"&amp;TEXT(WEEKNUM(Weekly_Prices[[#This Row],[Date]],2),"00")</f>
        <v>2010-08</v>
      </c>
    </row>
    <row r="352" spans="1:15" x14ac:dyDescent="0.35">
      <c r="A352" s="2">
        <v>40231</v>
      </c>
      <c r="B352" s="3">
        <v>111.56485600000001</v>
      </c>
      <c r="C352" s="4">
        <f t="shared" si="20"/>
        <v>-0.32804699999999798</v>
      </c>
      <c r="D352" s="4">
        <f t="shared" si="18"/>
        <v>21.232966999999988</v>
      </c>
      <c r="E352" s="3">
        <v>56.19</v>
      </c>
      <c r="F352" s="3">
        <v>17.5</v>
      </c>
      <c r="G352" s="3">
        <v>112.75824700000001</v>
      </c>
      <c r="H352" s="4">
        <f t="shared" si="21"/>
        <v>-0.92067699999998354</v>
      </c>
      <c r="I352" s="4">
        <f t="shared" si="19"/>
        <v>11.943677000000008</v>
      </c>
      <c r="J352" s="3">
        <v>56.19</v>
      </c>
      <c r="K352" s="3">
        <v>17.5</v>
      </c>
      <c r="L352" s="13">
        <f>YEAR(Weekly_Prices[[#This Row],[Date]])</f>
        <v>2010</v>
      </c>
      <c r="M352" s="13">
        <f>MONTH(Weekly_Prices[[#This Row],[Date]])</f>
        <v>2</v>
      </c>
      <c r="N352" s="3" t="str">
        <f>TEXT(Weekly_Prices[[#This Row],[Date]],"MMMM")</f>
        <v>February</v>
      </c>
      <c r="O352" s="3" t="str">
        <f>YEAR(Weekly_Prices[[#This Row],[Date]])&amp;"-"&amp;TEXT(WEEKNUM(Weekly_Prices[[#This Row],[Date]],2),"00")</f>
        <v>2010-09</v>
      </c>
    </row>
    <row r="353" spans="1:15" x14ac:dyDescent="0.35">
      <c r="A353" s="2">
        <v>40238</v>
      </c>
      <c r="B353" s="3">
        <v>112.41734299999999</v>
      </c>
      <c r="C353" s="4">
        <f t="shared" si="20"/>
        <v>0.85248699999998223</v>
      </c>
      <c r="D353" s="4">
        <f t="shared" si="18"/>
        <v>22.134816999999998</v>
      </c>
      <c r="E353" s="3">
        <v>56.19</v>
      </c>
      <c r="F353" s="3">
        <v>17.5</v>
      </c>
      <c r="G353" s="3">
        <v>113.407348</v>
      </c>
      <c r="H353" s="4">
        <f t="shared" si="21"/>
        <v>0.64910099999998749</v>
      </c>
      <c r="I353" s="4">
        <f t="shared" si="19"/>
        <v>12.763235000000009</v>
      </c>
      <c r="J353" s="3">
        <v>56.19</v>
      </c>
      <c r="K353" s="3">
        <v>17.5</v>
      </c>
      <c r="L353" s="13">
        <f>YEAR(Weekly_Prices[[#This Row],[Date]])</f>
        <v>2010</v>
      </c>
      <c r="M353" s="13">
        <f>MONTH(Weekly_Prices[[#This Row],[Date]])</f>
        <v>3</v>
      </c>
      <c r="N353" s="3" t="str">
        <f>TEXT(Weekly_Prices[[#This Row],[Date]],"MMMM")</f>
        <v>March</v>
      </c>
      <c r="O353" s="3" t="str">
        <f>YEAR(Weekly_Prices[[#This Row],[Date]])&amp;"-"&amp;TEXT(WEEKNUM(Weekly_Prices[[#This Row],[Date]],2),"00")</f>
        <v>2010-10</v>
      </c>
    </row>
    <row r="354" spans="1:15" x14ac:dyDescent="0.35">
      <c r="A354" s="2">
        <v>40245</v>
      </c>
      <c r="B354" s="3">
        <v>113.71174400000002</v>
      </c>
      <c r="C354" s="4">
        <f t="shared" si="20"/>
        <v>1.2944010000000361</v>
      </c>
      <c r="D354" s="4">
        <f t="shared" si="18"/>
        <v>23.558172000000013</v>
      </c>
      <c r="E354" s="3">
        <v>56.19</v>
      </c>
      <c r="F354" s="3">
        <v>17.5</v>
      </c>
      <c r="G354" s="3">
        <v>114.683616</v>
      </c>
      <c r="H354" s="4">
        <f t="shared" si="21"/>
        <v>1.2762680000000017</v>
      </c>
      <c r="I354" s="4">
        <f t="shared" si="19"/>
        <v>14.655146000000002</v>
      </c>
      <c r="J354" s="3">
        <v>56.19</v>
      </c>
      <c r="K354" s="3">
        <v>17.5</v>
      </c>
      <c r="L354" s="13">
        <f>YEAR(Weekly_Prices[[#This Row],[Date]])</f>
        <v>2010</v>
      </c>
      <c r="M354" s="13">
        <f>MONTH(Weekly_Prices[[#This Row],[Date]])</f>
        <v>3</v>
      </c>
      <c r="N354" s="3" t="str">
        <f>TEXT(Weekly_Prices[[#This Row],[Date]],"MMMM")</f>
        <v>March</v>
      </c>
      <c r="O354" s="3" t="str">
        <f>YEAR(Weekly_Prices[[#This Row],[Date]])&amp;"-"&amp;TEXT(WEEKNUM(Weekly_Prices[[#This Row],[Date]],2),"00")</f>
        <v>2010-11</v>
      </c>
    </row>
    <row r="355" spans="1:15" x14ac:dyDescent="0.35">
      <c r="A355" s="2">
        <v>40252</v>
      </c>
      <c r="B355" s="3">
        <v>115.458187</v>
      </c>
      <c r="C355" s="4">
        <f t="shared" si="20"/>
        <v>1.7464429999999709</v>
      </c>
      <c r="D355" s="4">
        <f t="shared" si="18"/>
        <v>25.299483000000009</v>
      </c>
      <c r="E355" s="3">
        <v>56.19</v>
      </c>
      <c r="F355" s="3">
        <v>17.5</v>
      </c>
      <c r="G355" s="3">
        <v>116.20988199999999</v>
      </c>
      <c r="H355" s="4">
        <f t="shared" si="21"/>
        <v>1.5262659999999926</v>
      </c>
      <c r="I355" s="4">
        <f t="shared" si="19"/>
        <v>16.388405999999989</v>
      </c>
      <c r="J355" s="3">
        <v>56.19</v>
      </c>
      <c r="K355" s="3">
        <v>17.5</v>
      </c>
      <c r="L355" s="13">
        <f>YEAR(Weekly_Prices[[#This Row],[Date]])</f>
        <v>2010</v>
      </c>
      <c r="M355" s="13">
        <f>MONTH(Weekly_Prices[[#This Row],[Date]])</f>
        <v>3</v>
      </c>
      <c r="N355" s="3" t="str">
        <f>TEXT(Weekly_Prices[[#This Row],[Date]],"MMMM")</f>
        <v>March</v>
      </c>
      <c r="O355" s="3" t="str">
        <f>YEAR(Weekly_Prices[[#This Row],[Date]])&amp;"-"&amp;TEXT(WEEKNUM(Weekly_Prices[[#This Row],[Date]],2),"00")</f>
        <v>2010-12</v>
      </c>
    </row>
    <row r="356" spans="1:15" x14ac:dyDescent="0.35">
      <c r="A356" s="2">
        <v>40259</v>
      </c>
      <c r="B356" s="3">
        <v>116.590958</v>
      </c>
      <c r="C356" s="4">
        <f t="shared" si="20"/>
        <v>1.1327710000000053</v>
      </c>
      <c r="D356" s="4">
        <f t="shared" si="18"/>
        <v>26.426218999999989</v>
      </c>
      <c r="E356" s="3">
        <v>56.19</v>
      </c>
      <c r="F356" s="3">
        <v>17.5</v>
      </c>
      <c r="G356" s="3">
        <v>117.282988</v>
      </c>
      <c r="H356" s="4">
        <f t="shared" si="21"/>
        <v>1.0731060000000099</v>
      </c>
      <c r="I356" s="4">
        <f t="shared" si="19"/>
        <v>17.762036999999992</v>
      </c>
      <c r="J356" s="3">
        <v>56.19</v>
      </c>
      <c r="K356" s="3">
        <v>17.5</v>
      </c>
      <c r="L356" s="13">
        <f>YEAR(Weekly_Prices[[#This Row],[Date]])</f>
        <v>2010</v>
      </c>
      <c r="M356" s="13">
        <f>MONTH(Weekly_Prices[[#This Row],[Date]])</f>
        <v>3</v>
      </c>
      <c r="N356" s="3" t="str">
        <f>TEXT(Weekly_Prices[[#This Row],[Date]],"MMMM")</f>
        <v>March</v>
      </c>
      <c r="O356" s="3" t="str">
        <f>YEAR(Weekly_Prices[[#This Row],[Date]])&amp;"-"&amp;TEXT(WEEKNUM(Weekly_Prices[[#This Row],[Date]],2),"00")</f>
        <v>2010-13</v>
      </c>
    </row>
    <row r="357" spans="1:15" x14ac:dyDescent="0.35">
      <c r="A357" s="2">
        <v>40266</v>
      </c>
      <c r="B357" s="3">
        <v>117.28185100000002</v>
      </c>
      <c r="C357" s="4">
        <f t="shared" si="20"/>
        <v>0.69089300000001685</v>
      </c>
      <c r="D357" s="4">
        <f t="shared" si="18"/>
        <v>25.936796000000015</v>
      </c>
      <c r="E357" s="3">
        <v>56.19</v>
      </c>
      <c r="F357" s="3">
        <v>17.5</v>
      </c>
      <c r="G357" s="3">
        <v>118.206566</v>
      </c>
      <c r="H357" s="4">
        <f t="shared" si="21"/>
        <v>0.92357799999999202</v>
      </c>
      <c r="I357" s="4">
        <f t="shared" si="19"/>
        <v>18.231472999999994</v>
      </c>
      <c r="J357" s="3">
        <v>56.19</v>
      </c>
      <c r="K357" s="3">
        <v>17.5</v>
      </c>
      <c r="L357" s="13">
        <f>YEAR(Weekly_Prices[[#This Row],[Date]])</f>
        <v>2010</v>
      </c>
      <c r="M357" s="13">
        <f>MONTH(Weekly_Prices[[#This Row],[Date]])</f>
        <v>3</v>
      </c>
      <c r="N357" s="3" t="str">
        <f>TEXT(Weekly_Prices[[#This Row],[Date]],"MMMM")</f>
        <v>March</v>
      </c>
      <c r="O357" s="3" t="str">
        <f>YEAR(Weekly_Prices[[#This Row],[Date]])&amp;"-"&amp;TEXT(WEEKNUM(Weekly_Prices[[#This Row],[Date]],2),"00")</f>
        <v>2010-14</v>
      </c>
    </row>
    <row r="358" spans="1:15" x14ac:dyDescent="0.35">
      <c r="A358" s="2">
        <v>40273</v>
      </c>
      <c r="B358" s="3">
        <v>119.286053</v>
      </c>
      <c r="C358" s="4">
        <f t="shared" si="20"/>
        <v>2.0042019999999781</v>
      </c>
      <c r="D358" s="4">
        <f t="shared" si="18"/>
        <v>25.568399999999997</v>
      </c>
      <c r="E358" s="3">
        <v>57.19</v>
      </c>
      <c r="F358" s="3">
        <v>17.5</v>
      </c>
      <c r="G358" s="3">
        <v>120.08948700000001</v>
      </c>
      <c r="H358" s="4">
        <f t="shared" si="21"/>
        <v>1.8829210000000103</v>
      </c>
      <c r="I358" s="4">
        <f t="shared" si="19"/>
        <v>17.945582000000002</v>
      </c>
      <c r="J358" s="3">
        <v>57.19</v>
      </c>
      <c r="K358" s="3">
        <v>17.5</v>
      </c>
      <c r="L358" s="13">
        <f>YEAR(Weekly_Prices[[#This Row],[Date]])</f>
        <v>2010</v>
      </c>
      <c r="M358" s="13">
        <f>MONTH(Weekly_Prices[[#This Row],[Date]])</f>
        <v>4</v>
      </c>
      <c r="N358" s="3" t="str">
        <f>TEXT(Weekly_Prices[[#This Row],[Date]],"MMMM")</f>
        <v>April</v>
      </c>
      <c r="O358" s="3" t="str">
        <f>YEAR(Weekly_Prices[[#This Row],[Date]])&amp;"-"&amp;TEXT(WEEKNUM(Weekly_Prices[[#This Row],[Date]],2),"00")</f>
        <v>2010-15</v>
      </c>
    </row>
    <row r="359" spans="1:15" x14ac:dyDescent="0.35">
      <c r="A359" s="2">
        <v>40280</v>
      </c>
      <c r="B359" s="3">
        <v>119.94229500000002</v>
      </c>
      <c r="C359" s="4">
        <f t="shared" si="20"/>
        <v>0.6562420000000202</v>
      </c>
      <c r="D359" s="4">
        <f t="shared" si="18"/>
        <v>25.834268000000023</v>
      </c>
      <c r="E359" s="3">
        <v>57.19</v>
      </c>
      <c r="F359" s="3">
        <v>17.5</v>
      </c>
      <c r="G359" s="3">
        <v>121.11309399999999</v>
      </c>
      <c r="H359" s="4">
        <f t="shared" si="21"/>
        <v>1.0236069999999842</v>
      </c>
      <c r="I359" s="4">
        <f t="shared" si="19"/>
        <v>18.676976999999994</v>
      </c>
      <c r="J359" s="3">
        <v>57.19</v>
      </c>
      <c r="K359" s="3">
        <v>17.5</v>
      </c>
      <c r="L359" s="13">
        <f>YEAR(Weekly_Prices[[#This Row],[Date]])</f>
        <v>2010</v>
      </c>
      <c r="M359" s="13">
        <f>MONTH(Weekly_Prices[[#This Row],[Date]])</f>
        <v>4</v>
      </c>
      <c r="N359" s="3" t="str">
        <f>TEXT(Weekly_Prices[[#This Row],[Date]],"MMMM")</f>
        <v>April</v>
      </c>
      <c r="O359" s="3" t="str">
        <f>YEAR(Weekly_Prices[[#This Row],[Date]])&amp;"-"&amp;TEXT(WEEKNUM(Weekly_Prices[[#This Row],[Date]],2),"00")</f>
        <v>2010-16</v>
      </c>
    </row>
    <row r="360" spans="1:15" x14ac:dyDescent="0.35">
      <c r="A360" s="2">
        <v>40287</v>
      </c>
      <c r="B360" s="3">
        <v>120.554956</v>
      </c>
      <c r="C360" s="4">
        <f t="shared" si="20"/>
        <v>0.61266099999998858</v>
      </c>
      <c r="D360" s="4">
        <f t="shared" si="18"/>
        <v>25.93173800000001</v>
      </c>
      <c r="E360" s="3">
        <v>57.19</v>
      </c>
      <c r="F360" s="3">
        <v>17.5</v>
      </c>
      <c r="G360" s="3">
        <v>121.743392</v>
      </c>
      <c r="H360" s="4">
        <f t="shared" si="21"/>
        <v>0.63029800000001046</v>
      </c>
      <c r="I360" s="4">
        <f t="shared" si="19"/>
        <v>19.037171000000001</v>
      </c>
      <c r="J360" s="3">
        <v>57.19</v>
      </c>
      <c r="K360" s="3">
        <v>17.5</v>
      </c>
      <c r="L360" s="13">
        <f>YEAR(Weekly_Prices[[#This Row],[Date]])</f>
        <v>2010</v>
      </c>
      <c r="M360" s="13">
        <f>MONTH(Weekly_Prices[[#This Row],[Date]])</f>
        <v>4</v>
      </c>
      <c r="N360" s="3" t="str">
        <f>TEXT(Weekly_Prices[[#This Row],[Date]],"MMMM")</f>
        <v>April</v>
      </c>
      <c r="O360" s="3" t="str">
        <f>YEAR(Weekly_Prices[[#This Row],[Date]])&amp;"-"&amp;TEXT(WEEKNUM(Weekly_Prices[[#This Row],[Date]],2),"00")</f>
        <v>2010-17</v>
      </c>
    </row>
    <row r="361" spans="1:15" x14ac:dyDescent="0.35">
      <c r="A361" s="2">
        <v>40294</v>
      </c>
      <c r="B361" s="3">
        <v>120.987002</v>
      </c>
      <c r="C361" s="4">
        <f t="shared" si="20"/>
        <v>0.43204599999999971</v>
      </c>
      <c r="D361" s="4">
        <f t="shared" si="18"/>
        <v>25.853039999999993</v>
      </c>
      <c r="E361" s="3">
        <v>57.19</v>
      </c>
      <c r="F361" s="3">
        <v>17.5</v>
      </c>
      <c r="G361" s="3">
        <v>122.30851200000001</v>
      </c>
      <c r="H361" s="4">
        <f t="shared" si="21"/>
        <v>0.56512000000000739</v>
      </c>
      <c r="I361" s="4">
        <f t="shared" si="19"/>
        <v>19.479300000000009</v>
      </c>
      <c r="J361" s="3">
        <v>57.19</v>
      </c>
      <c r="K361" s="3">
        <v>17.5</v>
      </c>
      <c r="L361" s="13">
        <f>YEAR(Weekly_Prices[[#This Row],[Date]])</f>
        <v>2010</v>
      </c>
      <c r="M361" s="13">
        <f>MONTH(Weekly_Prices[[#This Row],[Date]])</f>
        <v>4</v>
      </c>
      <c r="N361" s="3" t="str">
        <f>TEXT(Weekly_Prices[[#This Row],[Date]],"MMMM")</f>
        <v>April</v>
      </c>
      <c r="O361" s="3" t="str">
        <f>YEAR(Weekly_Prices[[#This Row],[Date]])&amp;"-"&amp;TEXT(WEEKNUM(Weekly_Prices[[#This Row],[Date]],2),"00")</f>
        <v>2010-18</v>
      </c>
    </row>
    <row r="362" spans="1:15" x14ac:dyDescent="0.35">
      <c r="A362" s="2">
        <v>40301</v>
      </c>
      <c r="B362" s="3">
        <v>121.18373300000002</v>
      </c>
      <c r="C362" s="4">
        <f t="shared" si="20"/>
        <v>0.19673100000001398</v>
      </c>
      <c r="D362" s="4">
        <f t="shared" si="18"/>
        <v>25.588325000000012</v>
      </c>
      <c r="E362" s="3">
        <v>57.19</v>
      </c>
      <c r="F362" s="3">
        <v>17.5</v>
      </c>
      <c r="G362" s="3">
        <v>122.681623</v>
      </c>
      <c r="H362" s="4">
        <f t="shared" si="21"/>
        <v>0.37311099999999442</v>
      </c>
      <c r="I362" s="4">
        <f t="shared" si="19"/>
        <v>19.883633999999986</v>
      </c>
      <c r="J362" s="3">
        <v>57.19</v>
      </c>
      <c r="K362" s="3">
        <v>17.5</v>
      </c>
      <c r="L362" s="13">
        <f>YEAR(Weekly_Prices[[#This Row],[Date]])</f>
        <v>2010</v>
      </c>
      <c r="M362" s="13">
        <f>MONTH(Weekly_Prices[[#This Row],[Date]])</f>
        <v>5</v>
      </c>
      <c r="N362" s="3" t="str">
        <f>TEXT(Weekly_Prices[[#This Row],[Date]],"MMMM")</f>
        <v>May</v>
      </c>
      <c r="O362" s="3" t="str">
        <f>YEAR(Weekly_Prices[[#This Row],[Date]])&amp;"-"&amp;TEXT(WEEKNUM(Weekly_Prices[[#This Row],[Date]],2),"00")</f>
        <v>2010-19</v>
      </c>
    </row>
    <row r="363" spans="1:15" x14ac:dyDescent="0.35">
      <c r="A363" s="2">
        <v>40308</v>
      </c>
      <c r="B363" s="3">
        <v>121.310311</v>
      </c>
      <c r="C363" s="4">
        <f t="shared" si="20"/>
        <v>0.12657799999998076</v>
      </c>
      <c r="D363" s="4">
        <f t="shared" si="18"/>
        <v>24.723334999999992</v>
      </c>
      <c r="E363" s="3">
        <v>57.19</v>
      </c>
      <c r="F363" s="3">
        <v>17.5</v>
      </c>
      <c r="G363" s="3">
        <v>122.81698899999998</v>
      </c>
      <c r="H363" s="4">
        <f t="shared" si="21"/>
        <v>0.13536599999997634</v>
      </c>
      <c r="I363" s="4">
        <f t="shared" si="19"/>
        <v>19.717848999999973</v>
      </c>
      <c r="J363" s="3">
        <v>57.19</v>
      </c>
      <c r="K363" s="3">
        <v>17.5</v>
      </c>
      <c r="L363" s="13">
        <f>YEAR(Weekly_Prices[[#This Row],[Date]])</f>
        <v>2010</v>
      </c>
      <c r="M363" s="13">
        <f>MONTH(Weekly_Prices[[#This Row],[Date]])</f>
        <v>5</v>
      </c>
      <c r="N363" s="3" t="str">
        <f>TEXT(Weekly_Prices[[#This Row],[Date]],"MMMM")</f>
        <v>May</v>
      </c>
      <c r="O363" s="3" t="str">
        <f>YEAR(Weekly_Prices[[#This Row],[Date]])&amp;"-"&amp;TEXT(WEEKNUM(Weekly_Prices[[#This Row],[Date]],2),"00")</f>
        <v>2010-20</v>
      </c>
    </row>
    <row r="364" spans="1:15" x14ac:dyDescent="0.35">
      <c r="A364" s="2">
        <v>40315</v>
      </c>
      <c r="B364" s="3">
        <v>121.30394699999999</v>
      </c>
      <c r="C364" s="4">
        <f t="shared" si="20"/>
        <v>-6.3640000000049213E-3</v>
      </c>
      <c r="D364" s="4">
        <f t="shared" si="18"/>
        <v>23.759198999999995</v>
      </c>
      <c r="E364" s="3">
        <v>57.19</v>
      </c>
      <c r="F364" s="3">
        <v>17.5</v>
      </c>
      <c r="G364" s="3">
        <v>122.83394299999999</v>
      </c>
      <c r="H364" s="4">
        <f t="shared" si="21"/>
        <v>1.695400000001257E-2</v>
      </c>
      <c r="I364" s="4">
        <f t="shared" si="19"/>
        <v>19.467477999999986</v>
      </c>
      <c r="J364" s="3">
        <v>57.19</v>
      </c>
      <c r="K364" s="3">
        <v>17.5</v>
      </c>
      <c r="L364" s="13">
        <f>YEAR(Weekly_Prices[[#This Row],[Date]])</f>
        <v>2010</v>
      </c>
      <c r="M364" s="13">
        <f>MONTH(Weekly_Prices[[#This Row],[Date]])</f>
        <v>5</v>
      </c>
      <c r="N364" s="3" t="str">
        <f>TEXT(Weekly_Prices[[#This Row],[Date]],"MMMM")</f>
        <v>May</v>
      </c>
      <c r="O364" s="3" t="str">
        <f>YEAR(Weekly_Prices[[#This Row],[Date]])&amp;"-"&amp;TEXT(WEEKNUM(Weekly_Prices[[#This Row],[Date]],2),"00")</f>
        <v>2010-21</v>
      </c>
    </row>
    <row r="365" spans="1:15" x14ac:dyDescent="0.35">
      <c r="A365" s="2">
        <v>40322</v>
      </c>
      <c r="B365" s="3">
        <v>119.92543199999999</v>
      </c>
      <c r="C365" s="4">
        <f t="shared" si="20"/>
        <v>-1.3785150000000073</v>
      </c>
      <c r="D365" s="4">
        <f t="shared" si="18"/>
        <v>21.026164999999978</v>
      </c>
      <c r="E365" s="3">
        <v>57.19</v>
      </c>
      <c r="F365" s="3">
        <v>17.5</v>
      </c>
      <c r="G365" s="3">
        <v>121.92259700000001</v>
      </c>
      <c r="H365" s="4">
        <f t="shared" si="21"/>
        <v>-0.91134599999998045</v>
      </c>
      <c r="I365" s="4">
        <f t="shared" si="19"/>
        <v>18.376636000000005</v>
      </c>
      <c r="J365" s="3">
        <v>57.19</v>
      </c>
      <c r="K365" s="3">
        <v>17.5</v>
      </c>
      <c r="L365" s="13">
        <f>YEAR(Weekly_Prices[[#This Row],[Date]])</f>
        <v>2010</v>
      </c>
      <c r="M365" s="13">
        <f>MONTH(Weekly_Prices[[#This Row],[Date]])</f>
        <v>5</v>
      </c>
      <c r="N365" s="3" t="str">
        <f>TEXT(Weekly_Prices[[#This Row],[Date]],"MMMM")</f>
        <v>May</v>
      </c>
      <c r="O365" s="3" t="str">
        <f>YEAR(Weekly_Prices[[#This Row],[Date]])&amp;"-"&amp;TEXT(WEEKNUM(Weekly_Prices[[#This Row],[Date]],2),"00")</f>
        <v>2010-22</v>
      </c>
    </row>
    <row r="366" spans="1:15" x14ac:dyDescent="0.35">
      <c r="A366" s="2">
        <v>40329</v>
      </c>
      <c r="B366" s="3">
        <v>118.542993</v>
      </c>
      <c r="C366" s="4">
        <f t="shared" si="20"/>
        <v>-1.3824389999999909</v>
      </c>
      <c r="D366" s="4">
        <f t="shared" si="18"/>
        <v>19.15799100000001</v>
      </c>
      <c r="E366" s="3">
        <v>57.19</v>
      </c>
      <c r="F366" s="3">
        <v>17.5</v>
      </c>
      <c r="G366" s="3">
        <v>120.75644499999999</v>
      </c>
      <c r="H366" s="4">
        <f t="shared" si="21"/>
        <v>-1.1661520000000252</v>
      </c>
      <c r="I366" s="4">
        <f t="shared" si="19"/>
        <v>17.204357999999985</v>
      </c>
      <c r="J366" s="3">
        <v>57.19</v>
      </c>
      <c r="K366" s="3">
        <v>17.5</v>
      </c>
      <c r="L366" s="13">
        <f>YEAR(Weekly_Prices[[#This Row],[Date]])</f>
        <v>2010</v>
      </c>
      <c r="M366" s="13">
        <f>MONTH(Weekly_Prices[[#This Row],[Date]])</f>
        <v>5</v>
      </c>
      <c r="N366" s="3" t="str">
        <f>TEXT(Weekly_Prices[[#This Row],[Date]],"MMMM")</f>
        <v>May</v>
      </c>
      <c r="O366" s="3" t="str">
        <f>YEAR(Weekly_Prices[[#This Row],[Date]])&amp;"-"&amp;TEXT(WEEKNUM(Weekly_Prices[[#This Row],[Date]],2),"00")</f>
        <v>2010-23</v>
      </c>
    </row>
    <row r="367" spans="1:15" x14ac:dyDescent="0.35">
      <c r="A367" s="2">
        <v>40336</v>
      </c>
      <c r="B367" s="3">
        <v>118.204835</v>
      </c>
      <c r="C367" s="4">
        <f t="shared" si="20"/>
        <v>-0.33815799999999285</v>
      </c>
      <c r="D367" s="4">
        <f t="shared" si="18"/>
        <v>17.615286999999995</v>
      </c>
      <c r="E367" s="3">
        <v>57.19</v>
      </c>
      <c r="F367" s="3">
        <v>17.5</v>
      </c>
      <c r="G367" s="3">
        <v>120.39722499999999</v>
      </c>
      <c r="H367" s="4">
        <f t="shared" si="21"/>
        <v>-0.35921999999999343</v>
      </c>
      <c r="I367" s="4">
        <f t="shared" si="19"/>
        <v>16.618837999999982</v>
      </c>
      <c r="J367" s="3">
        <v>57.19</v>
      </c>
      <c r="K367" s="3">
        <v>17.5</v>
      </c>
      <c r="L367" s="13">
        <f>YEAR(Weekly_Prices[[#This Row],[Date]])</f>
        <v>2010</v>
      </c>
      <c r="M367" s="13">
        <f>MONTH(Weekly_Prices[[#This Row],[Date]])</f>
        <v>6</v>
      </c>
      <c r="N367" s="3" t="str">
        <f>TEXT(Weekly_Prices[[#This Row],[Date]],"MMMM")</f>
        <v>June</v>
      </c>
      <c r="O367" s="3" t="str">
        <f>YEAR(Weekly_Prices[[#This Row],[Date]])&amp;"-"&amp;TEXT(WEEKNUM(Weekly_Prices[[#This Row],[Date]],2),"00")</f>
        <v>2010-24</v>
      </c>
    </row>
    <row r="368" spans="1:15" x14ac:dyDescent="0.35">
      <c r="A368" s="2">
        <v>40343</v>
      </c>
      <c r="B368" s="3">
        <v>117.86583200000001</v>
      </c>
      <c r="C368" s="4">
        <f t="shared" si="20"/>
        <v>-0.33900299999999106</v>
      </c>
      <c r="D368" s="4">
        <f t="shared" si="18"/>
        <v>15.886469000000005</v>
      </c>
      <c r="E368" s="3">
        <v>57.19</v>
      </c>
      <c r="F368" s="3">
        <v>17.5</v>
      </c>
      <c r="G368" s="3">
        <v>120.207196</v>
      </c>
      <c r="H368" s="4">
        <f t="shared" si="21"/>
        <v>-0.19002899999999556</v>
      </c>
      <c r="I368" s="4">
        <f t="shared" si="19"/>
        <v>15.706157000000005</v>
      </c>
      <c r="J368" s="3">
        <v>57.19</v>
      </c>
      <c r="K368" s="3">
        <v>17.5</v>
      </c>
      <c r="L368" s="13">
        <f>YEAR(Weekly_Prices[[#This Row],[Date]])</f>
        <v>2010</v>
      </c>
      <c r="M368" s="13">
        <f>MONTH(Weekly_Prices[[#This Row],[Date]])</f>
        <v>6</v>
      </c>
      <c r="N368" s="3" t="str">
        <f>TEXT(Weekly_Prices[[#This Row],[Date]],"MMMM")</f>
        <v>June</v>
      </c>
      <c r="O368" s="3" t="str">
        <f>YEAR(Weekly_Prices[[#This Row],[Date]])&amp;"-"&amp;TEXT(WEEKNUM(Weekly_Prices[[#This Row],[Date]],2),"00")</f>
        <v>2010-25</v>
      </c>
    </row>
    <row r="369" spans="1:15" x14ac:dyDescent="0.35">
      <c r="A369" s="2">
        <v>40350</v>
      </c>
      <c r="B369" s="3">
        <v>117.80199100000002</v>
      </c>
      <c r="C369" s="4">
        <f t="shared" si="20"/>
        <v>-6.3840999999996484E-2</v>
      </c>
      <c r="D369" s="4">
        <f t="shared" si="18"/>
        <v>14.994129000000001</v>
      </c>
      <c r="E369" s="3">
        <v>57.19</v>
      </c>
      <c r="F369" s="3">
        <v>17.5</v>
      </c>
      <c r="G369" s="3">
        <v>120.388271</v>
      </c>
      <c r="H369" s="4">
        <f t="shared" si="21"/>
        <v>0.18107500000000698</v>
      </c>
      <c r="I369" s="4">
        <f t="shared" si="19"/>
        <v>15.471339999999998</v>
      </c>
      <c r="J369" s="3">
        <v>57.19</v>
      </c>
      <c r="K369" s="3">
        <v>17.5</v>
      </c>
      <c r="L369" s="13">
        <f>YEAR(Weekly_Prices[[#This Row],[Date]])</f>
        <v>2010</v>
      </c>
      <c r="M369" s="13">
        <f>MONTH(Weekly_Prices[[#This Row],[Date]])</f>
        <v>6</v>
      </c>
      <c r="N369" s="3" t="str">
        <f>TEXT(Weekly_Prices[[#This Row],[Date]],"MMMM")</f>
        <v>June</v>
      </c>
      <c r="O369" s="3" t="str">
        <f>YEAR(Weekly_Prices[[#This Row],[Date]])&amp;"-"&amp;TEXT(WEEKNUM(Weekly_Prices[[#This Row],[Date]],2),"00")</f>
        <v>2010-26</v>
      </c>
    </row>
    <row r="370" spans="1:15" x14ac:dyDescent="0.35">
      <c r="A370" s="2">
        <v>40357</v>
      </c>
      <c r="B370" s="3">
        <v>117.877241</v>
      </c>
      <c r="C370" s="4">
        <f t="shared" si="20"/>
        <v>7.524999999998272E-2</v>
      </c>
      <c r="D370" s="4">
        <f t="shared" si="18"/>
        <v>14.574575999999993</v>
      </c>
      <c r="E370" s="3">
        <v>57.19</v>
      </c>
      <c r="F370" s="3">
        <v>17.5</v>
      </c>
      <c r="G370" s="3">
        <v>120.37993700000001</v>
      </c>
      <c r="H370" s="4">
        <f t="shared" si="21"/>
        <v>-8.3339999999907377E-3</v>
      </c>
      <c r="I370" s="4">
        <f t="shared" si="19"/>
        <v>15.327129000000014</v>
      </c>
      <c r="J370" s="3">
        <v>57.19</v>
      </c>
      <c r="K370" s="3">
        <v>17.5</v>
      </c>
      <c r="L370" s="13">
        <f>YEAR(Weekly_Prices[[#This Row],[Date]])</f>
        <v>2010</v>
      </c>
      <c r="M370" s="13">
        <f>MONTH(Weekly_Prices[[#This Row],[Date]])</f>
        <v>6</v>
      </c>
      <c r="N370" s="3" t="str">
        <f>TEXT(Weekly_Prices[[#This Row],[Date]],"MMMM")</f>
        <v>June</v>
      </c>
      <c r="O370" s="3" t="str">
        <f>YEAR(Weekly_Prices[[#This Row],[Date]])&amp;"-"&amp;TEXT(WEEKNUM(Weekly_Prices[[#This Row],[Date]],2),"00")</f>
        <v>2010-27</v>
      </c>
    </row>
    <row r="371" spans="1:15" x14ac:dyDescent="0.35">
      <c r="A371" s="2">
        <v>40364</v>
      </c>
      <c r="B371" s="3">
        <v>117.90912900000001</v>
      </c>
      <c r="C371" s="4">
        <f t="shared" si="20"/>
        <v>3.1888000000009242E-2</v>
      </c>
      <c r="D371" s="4">
        <f t="shared" si="18"/>
        <v>14.342417000000012</v>
      </c>
      <c r="E371" s="3">
        <v>57.19</v>
      </c>
      <c r="F371" s="3">
        <v>17.5</v>
      </c>
      <c r="G371" s="3">
        <v>120.43722799999999</v>
      </c>
      <c r="H371" s="4">
        <f t="shared" si="21"/>
        <v>5.7290999999977998E-2</v>
      </c>
      <c r="I371" s="4">
        <f t="shared" si="19"/>
        <v>15.329184999999981</v>
      </c>
      <c r="J371" s="3">
        <v>57.19</v>
      </c>
      <c r="K371" s="3">
        <v>17.5</v>
      </c>
      <c r="L371" s="13">
        <f>YEAR(Weekly_Prices[[#This Row],[Date]])</f>
        <v>2010</v>
      </c>
      <c r="M371" s="13">
        <f>MONTH(Weekly_Prices[[#This Row],[Date]])</f>
        <v>7</v>
      </c>
      <c r="N371" s="3" t="str">
        <f>TEXT(Weekly_Prices[[#This Row],[Date]],"MMMM")</f>
        <v>July</v>
      </c>
      <c r="O371" s="3" t="str">
        <f>YEAR(Weekly_Prices[[#This Row],[Date]])&amp;"-"&amp;TEXT(WEEKNUM(Weekly_Prices[[#This Row],[Date]],2),"00")</f>
        <v>2010-28</v>
      </c>
    </row>
    <row r="372" spans="1:15" x14ac:dyDescent="0.35">
      <c r="A372" s="2">
        <v>40371</v>
      </c>
      <c r="B372" s="3">
        <v>117.39348100000001</v>
      </c>
      <c r="C372" s="4">
        <f t="shared" si="20"/>
        <v>-0.51564799999999877</v>
      </c>
      <c r="D372" s="4">
        <f t="shared" si="18"/>
        <v>14.608939000000007</v>
      </c>
      <c r="E372" s="3">
        <v>57.19</v>
      </c>
      <c r="F372" s="3">
        <v>17.5</v>
      </c>
      <c r="G372" s="3">
        <v>119.782324</v>
      </c>
      <c r="H372" s="4">
        <f t="shared" si="21"/>
        <v>-0.65490399999998772</v>
      </c>
      <c r="I372" s="4">
        <f t="shared" si="19"/>
        <v>15.738352000000006</v>
      </c>
      <c r="J372" s="3">
        <v>57.19</v>
      </c>
      <c r="K372" s="3">
        <v>17.5</v>
      </c>
      <c r="L372" s="13">
        <f>YEAR(Weekly_Prices[[#This Row],[Date]])</f>
        <v>2010</v>
      </c>
      <c r="M372" s="13">
        <f>MONTH(Weekly_Prices[[#This Row],[Date]])</f>
        <v>7</v>
      </c>
      <c r="N372" s="3" t="str">
        <f>TEXT(Weekly_Prices[[#This Row],[Date]],"MMMM")</f>
        <v>July</v>
      </c>
      <c r="O372" s="3" t="str">
        <f>YEAR(Weekly_Prices[[#This Row],[Date]])&amp;"-"&amp;TEXT(WEEKNUM(Weekly_Prices[[#This Row],[Date]],2),"00")</f>
        <v>2010-29</v>
      </c>
    </row>
    <row r="373" spans="1:15" x14ac:dyDescent="0.35">
      <c r="A373" s="2">
        <v>40378</v>
      </c>
      <c r="B373" s="3">
        <v>116.84867799999999</v>
      </c>
      <c r="C373" s="4">
        <f t="shared" si="20"/>
        <v>-0.54480300000001591</v>
      </c>
      <c r="D373" s="4">
        <f t="shared" si="18"/>
        <v>14.629241999999991</v>
      </c>
      <c r="E373" s="3">
        <v>57.19</v>
      </c>
      <c r="F373" s="3">
        <v>17.5</v>
      </c>
      <c r="G373" s="3">
        <v>119.23992200000001</v>
      </c>
      <c r="H373" s="4">
        <f t="shared" si="21"/>
        <v>-0.54240199999999561</v>
      </c>
      <c r="I373" s="4">
        <f t="shared" si="19"/>
        <v>16.245138999999995</v>
      </c>
      <c r="J373" s="3">
        <v>57.19</v>
      </c>
      <c r="K373" s="3">
        <v>17.5</v>
      </c>
      <c r="L373" s="13">
        <f>YEAR(Weekly_Prices[[#This Row],[Date]])</f>
        <v>2010</v>
      </c>
      <c r="M373" s="13">
        <f>MONTH(Weekly_Prices[[#This Row],[Date]])</f>
        <v>7</v>
      </c>
      <c r="N373" s="3" t="str">
        <f>TEXT(Weekly_Prices[[#This Row],[Date]],"MMMM")</f>
        <v>July</v>
      </c>
      <c r="O373" s="3" t="str">
        <f>YEAR(Weekly_Prices[[#This Row],[Date]])&amp;"-"&amp;TEXT(WEEKNUM(Weekly_Prices[[#This Row],[Date]],2),"00")</f>
        <v>2010-30</v>
      </c>
    </row>
    <row r="374" spans="1:15" x14ac:dyDescent="0.35">
      <c r="A374" s="2">
        <v>40385</v>
      </c>
      <c r="B374" s="3">
        <v>116.61429799999999</v>
      </c>
      <c r="C374" s="4">
        <f t="shared" si="20"/>
        <v>-0.23438000000000159</v>
      </c>
      <c r="D374" s="4">
        <f t="shared" si="18"/>
        <v>14.440365999999983</v>
      </c>
      <c r="E374" s="3">
        <v>57.19</v>
      </c>
      <c r="F374" s="3">
        <v>17.5</v>
      </c>
      <c r="G374" s="3">
        <v>119.025333</v>
      </c>
      <c r="H374" s="4">
        <f t="shared" si="21"/>
        <v>-0.21458900000000369</v>
      </c>
      <c r="I374" s="4">
        <f t="shared" si="19"/>
        <v>16.11953299999999</v>
      </c>
      <c r="J374" s="3">
        <v>57.19</v>
      </c>
      <c r="K374" s="3">
        <v>17.5</v>
      </c>
      <c r="L374" s="13">
        <f>YEAR(Weekly_Prices[[#This Row],[Date]])</f>
        <v>2010</v>
      </c>
      <c r="M374" s="13">
        <f>MONTH(Weekly_Prices[[#This Row],[Date]])</f>
        <v>7</v>
      </c>
      <c r="N374" s="3" t="str">
        <f>TEXT(Weekly_Prices[[#This Row],[Date]],"MMMM")</f>
        <v>July</v>
      </c>
      <c r="O374" s="3" t="str">
        <f>YEAR(Weekly_Prices[[#This Row],[Date]])&amp;"-"&amp;TEXT(WEEKNUM(Weekly_Prices[[#This Row],[Date]],2),"00")</f>
        <v>2010-31</v>
      </c>
    </row>
    <row r="375" spans="1:15" x14ac:dyDescent="0.35">
      <c r="A375" s="2">
        <v>40392</v>
      </c>
      <c r="B375" s="3">
        <v>116.50902600000001</v>
      </c>
      <c r="C375" s="4">
        <f t="shared" si="20"/>
        <v>-0.10527199999998516</v>
      </c>
      <c r="D375" s="4">
        <f t="shared" ref="D375:D438" si="22">B375-B323</f>
        <v>14.153695000000013</v>
      </c>
      <c r="E375" s="3">
        <v>57.19</v>
      </c>
      <c r="F375" s="3">
        <v>17.5</v>
      </c>
      <c r="G375" s="3">
        <v>119.028459</v>
      </c>
      <c r="H375" s="4">
        <f t="shared" si="21"/>
        <v>3.1259999999946331E-3</v>
      </c>
      <c r="I375" s="4">
        <f t="shared" ref="I375:I438" si="23">G375-G323</f>
        <v>15.825737000000004</v>
      </c>
      <c r="J375" s="3">
        <v>57.19</v>
      </c>
      <c r="K375" s="3">
        <v>17.5</v>
      </c>
      <c r="L375" s="13">
        <f>YEAR(Weekly_Prices[[#This Row],[Date]])</f>
        <v>2010</v>
      </c>
      <c r="M375" s="13">
        <f>MONTH(Weekly_Prices[[#This Row],[Date]])</f>
        <v>8</v>
      </c>
      <c r="N375" s="3" t="str">
        <f>TEXT(Weekly_Prices[[#This Row],[Date]],"MMMM")</f>
        <v>August</v>
      </c>
      <c r="O375" s="3" t="str">
        <f>YEAR(Weekly_Prices[[#This Row],[Date]])&amp;"-"&amp;TEXT(WEEKNUM(Weekly_Prices[[#This Row],[Date]],2),"00")</f>
        <v>2010-32</v>
      </c>
    </row>
    <row r="376" spans="1:15" x14ac:dyDescent="0.35">
      <c r="A376" s="2">
        <v>40399</v>
      </c>
      <c r="B376" s="3">
        <v>116.345645</v>
      </c>
      <c r="C376" s="4">
        <f t="shared" si="20"/>
        <v>-0.16338100000000111</v>
      </c>
      <c r="D376" s="4">
        <f t="shared" si="22"/>
        <v>13.334016000000005</v>
      </c>
      <c r="E376" s="3">
        <v>57.19</v>
      </c>
      <c r="F376" s="3">
        <v>17.5</v>
      </c>
      <c r="G376" s="3">
        <v>118.944106</v>
      </c>
      <c r="H376" s="4">
        <f t="shared" si="21"/>
        <v>-8.4352999999993017E-2</v>
      </c>
      <c r="I376" s="4">
        <f t="shared" si="23"/>
        <v>15.149677999999994</v>
      </c>
      <c r="J376" s="3">
        <v>57.19</v>
      </c>
      <c r="K376" s="3">
        <v>17.5</v>
      </c>
      <c r="L376" s="13">
        <f>YEAR(Weekly_Prices[[#This Row],[Date]])</f>
        <v>2010</v>
      </c>
      <c r="M376" s="13">
        <f>MONTH(Weekly_Prices[[#This Row],[Date]])</f>
        <v>8</v>
      </c>
      <c r="N376" s="3" t="str">
        <f>TEXT(Weekly_Prices[[#This Row],[Date]],"MMMM")</f>
        <v>August</v>
      </c>
      <c r="O376" s="3" t="str">
        <f>YEAR(Weekly_Prices[[#This Row],[Date]])&amp;"-"&amp;TEXT(WEEKNUM(Weekly_Prices[[#This Row],[Date]],2),"00")</f>
        <v>2010-33</v>
      </c>
    </row>
    <row r="377" spans="1:15" x14ac:dyDescent="0.35">
      <c r="A377" s="2">
        <v>40406</v>
      </c>
      <c r="B377" s="3">
        <v>116.337238</v>
      </c>
      <c r="C377" s="4">
        <f t="shared" si="20"/>
        <v>-8.4070000000053824E-3</v>
      </c>
      <c r="D377" s="4">
        <f t="shared" si="22"/>
        <v>12.381843000000003</v>
      </c>
      <c r="E377" s="3">
        <v>57.19</v>
      </c>
      <c r="F377" s="3">
        <v>17.5</v>
      </c>
      <c r="G377" s="3">
        <v>118.786676</v>
      </c>
      <c r="H377" s="4">
        <f t="shared" si="21"/>
        <v>-0.15743000000000507</v>
      </c>
      <c r="I377" s="4">
        <f t="shared" si="23"/>
        <v>14.336949000000004</v>
      </c>
      <c r="J377" s="3">
        <v>57.19</v>
      </c>
      <c r="K377" s="3">
        <v>17.5</v>
      </c>
      <c r="L377" s="13">
        <f>YEAR(Weekly_Prices[[#This Row],[Date]])</f>
        <v>2010</v>
      </c>
      <c r="M377" s="13">
        <f>MONTH(Weekly_Prices[[#This Row],[Date]])</f>
        <v>8</v>
      </c>
      <c r="N377" s="3" t="str">
        <f>TEXT(Weekly_Prices[[#This Row],[Date]],"MMMM")</f>
        <v>August</v>
      </c>
      <c r="O377" s="3" t="str">
        <f>YEAR(Weekly_Prices[[#This Row],[Date]])&amp;"-"&amp;TEXT(WEEKNUM(Weekly_Prices[[#This Row],[Date]],2),"00")</f>
        <v>2010-34</v>
      </c>
    </row>
    <row r="378" spans="1:15" x14ac:dyDescent="0.35">
      <c r="A378" s="2">
        <v>40413</v>
      </c>
      <c r="B378" s="3">
        <v>115.64259799999999</v>
      </c>
      <c r="C378" s="4">
        <f t="shared" si="20"/>
        <v>-0.69464000000000681</v>
      </c>
      <c r="D378" s="4">
        <f t="shared" si="22"/>
        <v>10.944018</v>
      </c>
      <c r="E378" s="3">
        <v>57.19</v>
      </c>
      <c r="F378" s="3">
        <v>17.5</v>
      </c>
      <c r="G378" s="3">
        <v>117.90044499999999</v>
      </c>
      <c r="H378" s="4">
        <f t="shared" si="21"/>
        <v>-0.88623100000000932</v>
      </c>
      <c r="I378" s="4">
        <f t="shared" si="23"/>
        <v>12.790573999999992</v>
      </c>
      <c r="J378" s="3">
        <v>57.19</v>
      </c>
      <c r="K378" s="3">
        <v>17.5</v>
      </c>
      <c r="L378" s="13">
        <f>YEAR(Weekly_Prices[[#This Row],[Date]])</f>
        <v>2010</v>
      </c>
      <c r="M378" s="13">
        <f>MONTH(Weekly_Prices[[#This Row],[Date]])</f>
        <v>8</v>
      </c>
      <c r="N378" s="3" t="str">
        <f>TEXT(Weekly_Prices[[#This Row],[Date]],"MMMM")</f>
        <v>August</v>
      </c>
      <c r="O378" s="3" t="str">
        <f>YEAR(Weekly_Prices[[#This Row],[Date]])&amp;"-"&amp;TEXT(WEEKNUM(Weekly_Prices[[#This Row],[Date]],2),"00")</f>
        <v>2010-35</v>
      </c>
    </row>
    <row r="379" spans="1:15" x14ac:dyDescent="0.35">
      <c r="A379" s="2">
        <v>40420</v>
      </c>
      <c r="B379" s="3">
        <v>114.98343899999999</v>
      </c>
      <c r="C379" s="4">
        <f t="shared" si="20"/>
        <v>-0.65915900000000249</v>
      </c>
      <c r="D379" s="4">
        <f t="shared" si="22"/>
        <v>9.8734829999999789</v>
      </c>
      <c r="E379" s="3">
        <v>57.19</v>
      </c>
      <c r="F379" s="3">
        <v>17.5</v>
      </c>
      <c r="G379" s="3">
        <v>117.370968</v>
      </c>
      <c r="H379" s="4">
        <f t="shared" si="21"/>
        <v>-0.52947699999998576</v>
      </c>
      <c r="I379" s="4">
        <f t="shared" si="23"/>
        <v>11.869940000000014</v>
      </c>
      <c r="J379" s="3">
        <v>57.19</v>
      </c>
      <c r="K379" s="3">
        <v>17.5</v>
      </c>
      <c r="L379" s="13">
        <f>YEAR(Weekly_Prices[[#This Row],[Date]])</f>
        <v>2010</v>
      </c>
      <c r="M379" s="13">
        <f>MONTH(Weekly_Prices[[#This Row],[Date]])</f>
        <v>8</v>
      </c>
      <c r="N379" s="3" t="str">
        <f>TEXT(Weekly_Prices[[#This Row],[Date]],"MMMM")</f>
        <v>August</v>
      </c>
      <c r="O379" s="3" t="str">
        <f>YEAR(Weekly_Prices[[#This Row],[Date]])&amp;"-"&amp;TEXT(WEEKNUM(Weekly_Prices[[#This Row],[Date]],2),"00")</f>
        <v>2010-36</v>
      </c>
    </row>
    <row r="380" spans="1:15" x14ac:dyDescent="0.35">
      <c r="A380" s="2">
        <v>40427</v>
      </c>
      <c r="B380" s="3">
        <v>114.59094599999999</v>
      </c>
      <c r="C380" s="4">
        <f t="shared" si="20"/>
        <v>-0.39249300000000176</v>
      </c>
      <c r="D380" s="4">
        <f t="shared" si="22"/>
        <v>7.7407119999999878</v>
      </c>
      <c r="E380" s="3">
        <v>57.19</v>
      </c>
      <c r="F380" s="3">
        <v>17.5</v>
      </c>
      <c r="G380" s="3">
        <v>117.088216</v>
      </c>
      <c r="H380" s="4">
        <f t="shared" si="21"/>
        <v>-0.28275200000000211</v>
      </c>
      <c r="I380" s="4">
        <f t="shared" si="23"/>
        <v>9.7880560000000116</v>
      </c>
      <c r="J380" s="3">
        <v>57.19</v>
      </c>
      <c r="K380" s="3">
        <v>17.5</v>
      </c>
      <c r="L380" s="13">
        <f>YEAR(Weekly_Prices[[#This Row],[Date]])</f>
        <v>2010</v>
      </c>
      <c r="M380" s="13">
        <f>MONTH(Weekly_Prices[[#This Row],[Date]])</f>
        <v>9</v>
      </c>
      <c r="N380" s="3" t="str">
        <f>TEXT(Weekly_Prices[[#This Row],[Date]],"MMMM")</f>
        <v>September</v>
      </c>
      <c r="O380" s="3" t="str">
        <f>YEAR(Weekly_Prices[[#This Row],[Date]])&amp;"-"&amp;TEXT(WEEKNUM(Weekly_Prices[[#This Row],[Date]],2),"00")</f>
        <v>2010-37</v>
      </c>
    </row>
    <row r="381" spans="1:15" x14ac:dyDescent="0.35">
      <c r="A381" s="2">
        <v>40434</v>
      </c>
      <c r="B381" s="3">
        <v>114.656544</v>
      </c>
      <c r="C381" s="4">
        <f t="shared" si="20"/>
        <v>6.5598000000008483E-2</v>
      </c>
      <c r="D381" s="4">
        <f t="shared" si="22"/>
        <v>8.2246099999999984</v>
      </c>
      <c r="E381" s="3">
        <v>57.19</v>
      </c>
      <c r="F381" s="3">
        <v>17.5</v>
      </c>
      <c r="G381" s="3">
        <v>117.17352400000001</v>
      </c>
      <c r="H381" s="4">
        <f t="shared" si="21"/>
        <v>8.530800000001193E-2</v>
      </c>
      <c r="I381" s="4">
        <f t="shared" si="23"/>
        <v>10.085645999999997</v>
      </c>
      <c r="J381" s="3">
        <v>57.19</v>
      </c>
      <c r="K381" s="3">
        <v>17.5</v>
      </c>
      <c r="L381" s="13">
        <f>YEAR(Weekly_Prices[[#This Row],[Date]])</f>
        <v>2010</v>
      </c>
      <c r="M381" s="13">
        <f>MONTH(Weekly_Prices[[#This Row],[Date]])</f>
        <v>9</v>
      </c>
      <c r="N381" s="3" t="str">
        <f>TEXT(Weekly_Prices[[#This Row],[Date]],"MMMM")</f>
        <v>September</v>
      </c>
      <c r="O381" s="3" t="str">
        <f>YEAR(Weekly_Prices[[#This Row],[Date]])&amp;"-"&amp;TEXT(WEEKNUM(Weekly_Prices[[#This Row],[Date]],2),"00")</f>
        <v>2010-38</v>
      </c>
    </row>
    <row r="382" spans="1:15" x14ac:dyDescent="0.35">
      <c r="A382" s="2">
        <v>40441</v>
      </c>
      <c r="B382" s="3">
        <v>115.06469100000001</v>
      </c>
      <c r="C382" s="4">
        <f t="shared" si="20"/>
        <v>0.4081470000000138</v>
      </c>
      <c r="D382" s="4">
        <f t="shared" si="22"/>
        <v>9.1085669999999936</v>
      </c>
      <c r="E382" s="3">
        <v>57.19</v>
      </c>
      <c r="F382" s="3">
        <v>17.5</v>
      </c>
      <c r="G382" s="3">
        <v>117.719341</v>
      </c>
      <c r="H382" s="4">
        <f t="shared" si="21"/>
        <v>0.54581699999998534</v>
      </c>
      <c r="I382" s="4">
        <f t="shared" si="23"/>
        <v>10.927360999999991</v>
      </c>
      <c r="J382" s="3">
        <v>57.19</v>
      </c>
      <c r="K382" s="3">
        <v>17.5</v>
      </c>
      <c r="L382" s="13">
        <f>YEAR(Weekly_Prices[[#This Row],[Date]])</f>
        <v>2010</v>
      </c>
      <c r="M382" s="13">
        <f>MONTH(Weekly_Prices[[#This Row],[Date]])</f>
        <v>9</v>
      </c>
      <c r="N382" s="3" t="str">
        <f>TEXT(Weekly_Prices[[#This Row],[Date]],"MMMM")</f>
        <v>September</v>
      </c>
      <c r="O382" s="3" t="str">
        <f>YEAR(Weekly_Prices[[#This Row],[Date]])&amp;"-"&amp;TEXT(WEEKNUM(Weekly_Prices[[#This Row],[Date]],2),"00")</f>
        <v>2010-39</v>
      </c>
    </row>
    <row r="383" spans="1:15" x14ac:dyDescent="0.35">
      <c r="A383" s="2">
        <v>40448</v>
      </c>
      <c r="B383" s="3">
        <v>115.394465</v>
      </c>
      <c r="C383" s="4">
        <f t="shared" si="20"/>
        <v>0.32977399999998624</v>
      </c>
      <c r="D383" s="4">
        <f t="shared" si="22"/>
        <v>9.957548999999986</v>
      </c>
      <c r="E383" s="3">
        <v>57.19</v>
      </c>
      <c r="F383" s="3">
        <v>17.5</v>
      </c>
      <c r="G383" s="3">
        <v>118.10556099999999</v>
      </c>
      <c r="H383" s="4">
        <f t="shared" si="21"/>
        <v>0.38621999999999446</v>
      </c>
      <c r="I383" s="4">
        <f t="shared" si="23"/>
        <v>11.714479999999995</v>
      </c>
      <c r="J383" s="3">
        <v>57.19</v>
      </c>
      <c r="K383" s="3">
        <v>17.5</v>
      </c>
      <c r="L383" s="13">
        <f>YEAR(Weekly_Prices[[#This Row],[Date]])</f>
        <v>2010</v>
      </c>
      <c r="M383" s="13">
        <f>MONTH(Weekly_Prices[[#This Row],[Date]])</f>
        <v>9</v>
      </c>
      <c r="N383" s="3" t="str">
        <f>TEXT(Weekly_Prices[[#This Row],[Date]],"MMMM")</f>
        <v>September</v>
      </c>
      <c r="O383" s="3" t="str">
        <f>YEAR(Weekly_Prices[[#This Row],[Date]])&amp;"-"&amp;TEXT(WEEKNUM(Weekly_Prices[[#This Row],[Date]],2),"00")</f>
        <v>2010-40</v>
      </c>
    </row>
    <row r="384" spans="1:15" x14ac:dyDescent="0.35">
      <c r="A384" s="2">
        <v>40455</v>
      </c>
      <c r="B384" s="3">
        <v>116.01308499999999</v>
      </c>
      <c r="C384" s="4">
        <f t="shared" si="20"/>
        <v>0.61861999999999284</v>
      </c>
      <c r="D384" s="4">
        <f t="shared" si="22"/>
        <v>11.14562699999999</v>
      </c>
      <c r="E384" s="3">
        <v>58.19</v>
      </c>
      <c r="F384" s="3">
        <v>17.5</v>
      </c>
      <c r="G384" s="3">
        <v>118.970308</v>
      </c>
      <c r="H384" s="4">
        <f t="shared" si="21"/>
        <v>0.86474700000000837</v>
      </c>
      <c r="I384" s="4">
        <f t="shared" si="23"/>
        <v>13.122799999999998</v>
      </c>
      <c r="J384" s="3">
        <v>58.19</v>
      </c>
      <c r="K384" s="3">
        <v>17.5</v>
      </c>
      <c r="L384" s="13">
        <f>YEAR(Weekly_Prices[[#This Row],[Date]])</f>
        <v>2010</v>
      </c>
      <c r="M384" s="13">
        <f>MONTH(Weekly_Prices[[#This Row],[Date]])</f>
        <v>10</v>
      </c>
      <c r="N384" s="3" t="str">
        <f>TEXT(Weekly_Prices[[#This Row],[Date]],"MMMM")</f>
        <v>October</v>
      </c>
      <c r="O384" s="3" t="str">
        <f>YEAR(Weekly_Prices[[#This Row],[Date]])&amp;"-"&amp;TEXT(WEEKNUM(Weekly_Prices[[#This Row],[Date]],2),"00")</f>
        <v>2010-41</v>
      </c>
    </row>
    <row r="385" spans="1:15" x14ac:dyDescent="0.35">
      <c r="A385" s="2">
        <v>40462</v>
      </c>
      <c r="B385" s="3">
        <v>116.78295899999999</v>
      </c>
      <c r="C385" s="4">
        <f t="shared" si="20"/>
        <v>0.7698740000000015</v>
      </c>
      <c r="D385" s="4">
        <f t="shared" si="22"/>
        <v>12.070257999999981</v>
      </c>
      <c r="E385" s="3">
        <v>58.19</v>
      </c>
      <c r="F385" s="3">
        <v>17.5</v>
      </c>
      <c r="G385" s="3">
        <v>119.773901</v>
      </c>
      <c r="H385" s="4">
        <f t="shared" si="21"/>
        <v>0.80359299999999223</v>
      </c>
      <c r="I385" s="4">
        <f t="shared" si="23"/>
        <v>14.085791</v>
      </c>
      <c r="J385" s="3">
        <v>58.19</v>
      </c>
      <c r="K385" s="3">
        <v>17.5</v>
      </c>
      <c r="L385" s="13">
        <f>YEAR(Weekly_Prices[[#This Row],[Date]])</f>
        <v>2010</v>
      </c>
      <c r="M385" s="13">
        <f>MONTH(Weekly_Prices[[#This Row],[Date]])</f>
        <v>10</v>
      </c>
      <c r="N385" s="3" t="str">
        <f>TEXT(Weekly_Prices[[#This Row],[Date]],"MMMM")</f>
        <v>October</v>
      </c>
      <c r="O385" s="3" t="str">
        <f>YEAR(Weekly_Prices[[#This Row],[Date]])&amp;"-"&amp;TEXT(WEEKNUM(Weekly_Prices[[#This Row],[Date]],2),"00")</f>
        <v>2010-42</v>
      </c>
    </row>
    <row r="386" spans="1:15" x14ac:dyDescent="0.35">
      <c r="A386" s="2">
        <v>40469</v>
      </c>
      <c r="B386" s="3">
        <v>117.283602</v>
      </c>
      <c r="C386" s="4">
        <f t="shared" si="20"/>
        <v>0.50064300000001083</v>
      </c>
      <c r="D386" s="4">
        <f t="shared" si="22"/>
        <v>12.199219999999997</v>
      </c>
      <c r="E386" s="3">
        <v>58.19</v>
      </c>
      <c r="F386" s="3">
        <v>17.5</v>
      </c>
      <c r="G386" s="3">
        <v>120.603211</v>
      </c>
      <c r="H386" s="4">
        <f t="shared" si="21"/>
        <v>0.82931000000000665</v>
      </c>
      <c r="I386" s="4">
        <f t="shared" si="23"/>
        <v>14.323317000000017</v>
      </c>
      <c r="J386" s="3">
        <v>58.19</v>
      </c>
      <c r="K386" s="3">
        <v>17.5</v>
      </c>
      <c r="L386" s="13">
        <f>YEAR(Weekly_Prices[[#This Row],[Date]])</f>
        <v>2010</v>
      </c>
      <c r="M386" s="13">
        <f>MONTH(Weekly_Prices[[#This Row],[Date]])</f>
        <v>10</v>
      </c>
      <c r="N386" s="3" t="str">
        <f>TEXT(Weekly_Prices[[#This Row],[Date]],"MMMM")</f>
        <v>October</v>
      </c>
      <c r="O386" s="3" t="str">
        <f>YEAR(Weekly_Prices[[#This Row],[Date]])&amp;"-"&amp;TEXT(WEEKNUM(Weekly_Prices[[#This Row],[Date]],2),"00")</f>
        <v>2010-43</v>
      </c>
    </row>
    <row r="387" spans="1:15" x14ac:dyDescent="0.35">
      <c r="A387" s="2">
        <v>40476</v>
      </c>
      <c r="B387" s="3">
        <v>117.73926400000002</v>
      </c>
      <c r="C387" s="4">
        <f t="shared" ref="C387:C450" si="24">B387-B386</f>
        <v>0.455662000000018</v>
      </c>
      <c r="D387" s="4">
        <f t="shared" si="22"/>
        <v>10.983391000000012</v>
      </c>
      <c r="E387" s="3">
        <v>58.19</v>
      </c>
      <c r="F387" s="3">
        <v>17.5</v>
      </c>
      <c r="G387" s="3">
        <v>121.17402199999999</v>
      </c>
      <c r="H387" s="4">
        <f t="shared" ref="H387:H450" si="25">G387-G386</f>
        <v>0.57081099999999196</v>
      </c>
      <c r="I387" s="4">
        <f t="shared" si="23"/>
        <v>13.39561599999999</v>
      </c>
      <c r="J387" s="3">
        <v>58.19</v>
      </c>
      <c r="K387" s="3">
        <v>17.5</v>
      </c>
      <c r="L387" s="13">
        <f>YEAR(Weekly_Prices[[#This Row],[Date]])</f>
        <v>2010</v>
      </c>
      <c r="M387" s="13">
        <f>MONTH(Weekly_Prices[[#This Row],[Date]])</f>
        <v>10</v>
      </c>
      <c r="N387" s="3" t="str">
        <f>TEXT(Weekly_Prices[[#This Row],[Date]],"MMMM")</f>
        <v>October</v>
      </c>
      <c r="O387" s="3" t="str">
        <f>YEAR(Weekly_Prices[[#This Row],[Date]])&amp;"-"&amp;TEXT(WEEKNUM(Weekly_Prices[[#This Row],[Date]],2),"00")</f>
        <v>2010-44</v>
      </c>
    </row>
    <row r="388" spans="1:15" x14ac:dyDescent="0.35">
      <c r="A388" s="2">
        <v>40483</v>
      </c>
      <c r="B388" s="3">
        <v>118.17751500000001</v>
      </c>
      <c r="C388" s="4">
        <f t="shared" si="24"/>
        <v>0.43825099999999395</v>
      </c>
      <c r="D388" s="4">
        <f t="shared" si="22"/>
        <v>10.746057000000008</v>
      </c>
      <c r="E388" s="3">
        <v>58.19</v>
      </c>
      <c r="F388" s="3">
        <v>17.5</v>
      </c>
      <c r="G388" s="3">
        <v>121.66444199999999</v>
      </c>
      <c r="H388" s="4">
        <f t="shared" si="25"/>
        <v>0.4904200000000003</v>
      </c>
      <c r="I388" s="4">
        <f t="shared" si="23"/>
        <v>13.154248999999993</v>
      </c>
      <c r="J388" s="3">
        <v>58.19</v>
      </c>
      <c r="K388" s="3">
        <v>17.5</v>
      </c>
      <c r="L388" s="13">
        <f>YEAR(Weekly_Prices[[#This Row],[Date]])</f>
        <v>2010</v>
      </c>
      <c r="M388" s="13">
        <f>MONTH(Weekly_Prices[[#This Row],[Date]])</f>
        <v>11</v>
      </c>
      <c r="N388" s="3" t="str">
        <f>TEXT(Weekly_Prices[[#This Row],[Date]],"MMMM")</f>
        <v>November</v>
      </c>
      <c r="O388" s="3" t="str">
        <f>YEAR(Weekly_Prices[[#This Row],[Date]])&amp;"-"&amp;TEXT(WEEKNUM(Weekly_Prices[[#This Row],[Date]],2),"00")</f>
        <v>2010-45</v>
      </c>
    </row>
    <row r="389" spans="1:15" x14ac:dyDescent="0.35">
      <c r="A389" s="2">
        <v>40490</v>
      </c>
      <c r="B389" s="3">
        <v>118.671395</v>
      </c>
      <c r="C389" s="4">
        <f t="shared" si="24"/>
        <v>0.4938799999999901</v>
      </c>
      <c r="D389" s="4">
        <f t="shared" si="22"/>
        <v>10.571316999999993</v>
      </c>
      <c r="E389" s="3">
        <v>58.19</v>
      </c>
      <c r="F389" s="3">
        <v>17.5</v>
      </c>
      <c r="G389" s="3">
        <v>122.19178500000001</v>
      </c>
      <c r="H389" s="4">
        <f t="shared" si="25"/>
        <v>0.5273430000000161</v>
      </c>
      <c r="I389" s="4">
        <f t="shared" si="23"/>
        <v>12.839890000000011</v>
      </c>
      <c r="J389" s="3">
        <v>58.19</v>
      </c>
      <c r="K389" s="3">
        <v>17.5</v>
      </c>
      <c r="L389" s="13">
        <f>YEAR(Weekly_Prices[[#This Row],[Date]])</f>
        <v>2010</v>
      </c>
      <c r="M389" s="13">
        <f>MONTH(Weekly_Prices[[#This Row],[Date]])</f>
        <v>11</v>
      </c>
      <c r="N389" s="3" t="str">
        <f>TEXT(Weekly_Prices[[#This Row],[Date]],"MMMM")</f>
        <v>November</v>
      </c>
      <c r="O389" s="3" t="str">
        <f>YEAR(Weekly_Prices[[#This Row],[Date]])&amp;"-"&amp;TEXT(WEEKNUM(Weekly_Prices[[#This Row],[Date]],2),"00")</f>
        <v>2010-46</v>
      </c>
    </row>
    <row r="390" spans="1:15" x14ac:dyDescent="0.35">
      <c r="A390" s="2">
        <v>40497</v>
      </c>
      <c r="B390" s="3">
        <v>118.797061</v>
      </c>
      <c r="C390" s="4">
        <f t="shared" si="24"/>
        <v>0.12566599999999539</v>
      </c>
      <c r="D390" s="4">
        <f t="shared" si="22"/>
        <v>10.313165999999995</v>
      </c>
      <c r="E390" s="3">
        <v>58.19</v>
      </c>
      <c r="F390" s="3">
        <v>17.5</v>
      </c>
      <c r="G390" s="3">
        <v>122.505723</v>
      </c>
      <c r="H390" s="4">
        <f t="shared" si="25"/>
        <v>0.31393799999999317</v>
      </c>
      <c r="I390" s="4">
        <f t="shared" si="23"/>
        <v>12.860366999999997</v>
      </c>
      <c r="J390" s="3">
        <v>58.19</v>
      </c>
      <c r="K390" s="3">
        <v>17.5</v>
      </c>
      <c r="L390" s="13">
        <f>YEAR(Weekly_Prices[[#This Row],[Date]])</f>
        <v>2010</v>
      </c>
      <c r="M390" s="13">
        <f>MONTH(Weekly_Prices[[#This Row],[Date]])</f>
        <v>11</v>
      </c>
      <c r="N390" s="3" t="str">
        <f>TEXT(Weekly_Prices[[#This Row],[Date]],"MMMM")</f>
        <v>November</v>
      </c>
      <c r="O390" s="3" t="str">
        <f>YEAR(Weekly_Prices[[#This Row],[Date]])&amp;"-"&amp;TEXT(WEEKNUM(Weekly_Prices[[#This Row],[Date]],2),"00")</f>
        <v>2010-47</v>
      </c>
    </row>
    <row r="391" spans="1:15" x14ac:dyDescent="0.35">
      <c r="A391" s="2">
        <v>40504</v>
      </c>
      <c r="B391" s="3">
        <v>118.98856600000001</v>
      </c>
      <c r="C391" s="4">
        <f t="shared" si="24"/>
        <v>0.19150500000000648</v>
      </c>
      <c r="D391" s="4">
        <f t="shared" si="22"/>
        <v>10.255155999999999</v>
      </c>
      <c r="E391" s="3">
        <v>58.19</v>
      </c>
      <c r="F391" s="3">
        <v>17.5</v>
      </c>
      <c r="G391" s="3">
        <v>122.74464400000001</v>
      </c>
      <c r="H391" s="4">
        <f t="shared" si="25"/>
        <v>0.23892100000000482</v>
      </c>
      <c r="I391" s="4">
        <f t="shared" si="23"/>
        <v>12.872769000000005</v>
      </c>
      <c r="J391" s="3">
        <v>58.19</v>
      </c>
      <c r="K391" s="3">
        <v>17.5</v>
      </c>
      <c r="L391" s="13">
        <f>YEAR(Weekly_Prices[[#This Row],[Date]])</f>
        <v>2010</v>
      </c>
      <c r="M391" s="13">
        <f>MONTH(Weekly_Prices[[#This Row],[Date]])</f>
        <v>11</v>
      </c>
      <c r="N391" s="3" t="str">
        <f>TEXT(Weekly_Prices[[#This Row],[Date]],"MMMM")</f>
        <v>November</v>
      </c>
      <c r="O391" s="3" t="str">
        <f>YEAR(Weekly_Prices[[#This Row],[Date]])&amp;"-"&amp;TEXT(WEEKNUM(Weekly_Prices[[#This Row],[Date]],2),"00")</f>
        <v>2010-48</v>
      </c>
    </row>
    <row r="392" spans="1:15" x14ac:dyDescent="0.35">
      <c r="A392" s="2">
        <v>40511</v>
      </c>
      <c r="B392" s="3">
        <v>119.207667</v>
      </c>
      <c r="C392" s="4">
        <f t="shared" si="24"/>
        <v>0.21910099999999488</v>
      </c>
      <c r="D392" s="4">
        <f t="shared" si="22"/>
        <v>10.415506000000008</v>
      </c>
      <c r="E392" s="3">
        <v>58.19</v>
      </c>
      <c r="F392" s="3">
        <v>17.5</v>
      </c>
      <c r="G392" s="3">
        <v>123.200039</v>
      </c>
      <c r="H392" s="4">
        <f t="shared" si="25"/>
        <v>0.45539499999999578</v>
      </c>
      <c r="I392" s="4">
        <f t="shared" si="23"/>
        <v>13.21425099999999</v>
      </c>
      <c r="J392" s="3">
        <v>58.19</v>
      </c>
      <c r="K392" s="3">
        <v>17.5</v>
      </c>
      <c r="L392" s="13">
        <f>YEAR(Weekly_Prices[[#This Row],[Date]])</f>
        <v>2010</v>
      </c>
      <c r="M392" s="13">
        <f>MONTH(Weekly_Prices[[#This Row],[Date]])</f>
        <v>11</v>
      </c>
      <c r="N392" s="3" t="str">
        <f>TEXT(Weekly_Prices[[#This Row],[Date]],"MMMM")</f>
        <v>November</v>
      </c>
      <c r="O392" s="3" t="str">
        <f>YEAR(Weekly_Prices[[#This Row],[Date]])&amp;"-"&amp;TEXT(WEEKNUM(Weekly_Prices[[#This Row],[Date]],2),"00")</f>
        <v>2010-49</v>
      </c>
    </row>
    <row r="393" spans="1:15" x14ac:dyDescent="0.35">
      <c r="A393" s="2">
        <v>40518</v>
      </c>
      <c r="B393" s="3">
        <v>120.541506</v>
      </c>
      <c r="C393" s="4">
        <f t="shared" si="24"/>
        <v>1.3338389999999976</v>
      </c>
      <c r="D393" s="4">
        <f t="shared" si="22"/>
        <v>11.904077000000001</v>
      </c>
      <c r="E393" s="3">
        <v>58.19</v>
      </c>
      <c r="F393" s="3">
        <v>17.5</v>
      </c>
      <c r="G393" s="3">
        <v>124.61784</v>
      </c>
      <c r="H393" s="4">
        <f t="shared" si="25"/>
        <v>1.4178009999999972</v>
      </c>
      <c r="I393" s="4">
        <f t="shared" si="23"/>
        <v>14.745857999999998</v>
      </c>
      <c r="J393" s="3">
        <v>58.19</v>
      </c>
      <c r="K393" s="3">
        <v>17.5</v>
      </c>
      <c r="L393" s="13">
        <f>YEAR(Weekly_Prices[[#This Row],[Date]])</f>
        <v>2010</v>
      </c>
      <c r="M393" s="13">
        <f>MONTH(Weekly_Prices[[#This Row],[Date]])</f>
        <v>12</v>
      </c>
      <c r="N393" s="3" t="str">
        <f>TEXT(Weekly_Prices[[#This Row],[Date]],"MMMM")</f>
        <v>December</v>
      </c>
      <c r="O393" s="3" t="str">
        <f>YEAR(Weekly_Prices[[#This Row],[Date]])&amp;"-"&amp;TEXT(WEEKNUM(Weekly_Prices[[#This Row],[Date]],2),"00")</f>
        <v>2010-50</v>
      </c>
    </row>
    <row r="394" spans="1:15" x14ac:dyDescent="0.35">
      <c r="A394" s="2">
        <v>40525</v>
      </c>
      <c r="B394" s="3">
        <v>121.681916</v>
      </c>
      <c r="C394" s="4">
        <f t="shared" si="24"/>
        <v>1.1404100000000028</v>
      </c>
      <c r="D394" s="4">
        <f t="shared" si="22"/>
        <v>13.184547000000009</v>
      </c>
      <c r="E394" s="3">
        <v>58.19</v>
      </c>
      <c r="F394" s="3">
        <v>17.5</v>
      </c>
      <c r="G394" s="3">
        <v>125.774781</v>
      </c>
      <c r="H394" s="4">
        <f t="shared" si="25"/>
        <v>1.1569410000000033</v>
      </c>
      <c r="I394" s="4">
        <f t="shared" si="23"/>
        <v>16.206495000000004</v>
      </c>
      <c r="J394" s="3">
        <v>58.19</v>
      </c>
      <c r="K394" s="3">
        <v>17.5</v>
      </c>
      <c r="L394" s="13">
        <f>YEAR(Weekly_Prices[[#This Row],[Date]])</f>
        <v>2010</v>
      </c>
      <c r="M394" s="13">
        <f>MONTH(Weekly_Prices[[#This Row],[Date]])</f>
        <v>12</v>
      </c>
      <c r="N394" s="3" t="str">
        <f>TEXT(Weekly_Prices[[#This Row],[Date]],"MMMM")</f>
        <v>December</v>
      </c>
      <c r="O394" s="3" t="str">
        <f>YEAR(Weekly_Prices[[#This Row],[Date]])&amp;"-"&amp;TEXT(WEEKNUM(Weekly_Prices[[#This Row],[Date]],2),"00")</f>
        <v>2010-51</v>
      </c>
    </row>
    <row r="395" spans="1:15" x14ac:dyDescent="0.35">
      <c r="A395" s="2">
        <v>40532</v>
      </c>
      <c r="B395" s="3">
        <v>122.309134</v>
      </c>
      <c r="C395" s="4">
        <f t="shared" si="24"/>
        <v>0.62721799999999917</v>
      </c>
      <c r="D395" s="4">
        <f t="shared" si="22"/>
        <v>14.843063000000001</v>
      </c>
      <c r="E395" s="3">
        <v>58.19</v>
      </c>
      <c r="F395" s="3">
        <v>17.5</v>
      </c>
      <c r="G395" s="3">
        <v>126.52223799999999</v>
      </c>
      <c r="H395" s="4">
        <f t="shared" si="25"/>
        <v>0.74745699999998294</v>
      </c>
      <c r="I395" s="4">
        <f t="shared" si="23"/>
        <v>17.395864999999986</v>
      </c>
      <c r="J395" s="3">
        <v>58.19</v>
      </c>
      <c r="K395" s="3">
        <v>17.5</v>
      </c>
      <c r="L395" s="13">
        <f>YEAR(Weekly_Prices[[#This Row],[Date]])</f>
        <v>2010</v>
      </c>
      <c r="M395" s="13">
        <f>MONTH(Weekly_Prices[[#This Row],[Date]])</f>
        <v>12</v>
      </c>
      <c r="N395" s="3" t="str">
        <f>TEXT(Weekly_Prices[[#This Row],[Date]],"MMMM")</f>
        <v>December</v>
      </c>
      <c r="O395" s="3" t="str">
        <f>YEAR(Weekly_Prices[[#This Row],[Date]])&amp;"-"&amp;TEXT(WEEKNUM(Weekly_Prices[[#This Row],[Date]],2),"00")</f>
        <v>2010-52</v>
      </c>
    </row>
    <row r="396" spans="1:15" x14ac:dyDescent="0.35">
      <c r="A396" s="2">
        <v>40539</v>
      </c>
      <c r="B396" s="3">
        <v>123.441238</v>
      </c>
      <c r="C396" s="4">
        <f t="shared" si="24"/>
        <v>1.1321039999999982</v>
      </c>
      <c r="D396" s="4">
        <f t="shared" si="22"/>
        <v>15.998196000000007</v>
      </c>
      <c r="E396" s="3">
        <v>58.19</v>
      </c>
      <c r="F396" s="3">
        <v>17.5</v>
      </c>
      <c r="G396" s="3">
        <v>127.68028</v>
      </c>
      <c r="H396" s="4">
        <f t="shared" si="25"/>
        <v>1.1580420000000089</v>
      </c>
      <c r="I396" s="4">
        <f t="shared" si="23"/>
        <v>18.508398999999997</v>
      </c>
      <c r="J396" s="3">
        <v>58.19</v>
      </c>
      <c r="K396" s="3">
        <v>17.5</v>
      </c>
      <c r="L396" s="13">
        <f>YEAR(Weekly_Prices[[#This Row],[Date]])</f>
        <v>2010</v>
      </c>
      <c r="M396" s="13">
        <f>MONTH(Weekly_Prices[[#This Row],[Date]])</f>
        <v>12</v>
      </c>
      <c r="N396" s="3" t="str">
        <f>TEXT(Weekly_Prices[[#This Row],[Date]],"MMMM")</f>
        <v>December</v>
      </c>
      <c r="O396" s="3" t="str">
        <f>YEAR(Weekly_Prices[[#This Row],[Date]])&amp;"-"&amp;TEXT(WEEKNUM(Weekly_Prices[[#This Row],[Date]],2),"00")</f>
        <v>2010-53</v>
      </c>
    </row>
    <row r="397" spans="1:15" x14ac:dyDescent="0.35">
      <c r="A397" s="2">
        <v>40546</v>
      </c>
      <c r="B397" s="3">
        <v>124.85238899999999</v>
      </c>
      <c r="C397" s="4">
        <f t="shared" si="24"/>
        <v>1.4111509999999896</v>
      </c>
      <c r="D397" s="4">
        <f t="shared" si="22"/>
        <v>15.511944999999997</v>
      </c>
      <c r="E397" s="3">
        <v>58.95</v>
      </c>
      <c r="F397" s="3">
        <v>17.5</v>
      </c>
      <c r="G397" s="3">
        <v>129.111593</v>
      </c>
      <c r="H397" s="4">
        <f t="shared" si="25"/>
        <v>1.4313130000000029</v>
      </c>
      <c r="I397" s="4">
        <f t="shared" si="23"/>
        <v>18.035855999999995</v>
      </c>
      <c r="J397" s="3">
        <v>58.95</v>
      </c>
      <c r="K397" s="3">
        <v>17.5</v>
      </c>
      <c r="L397" s="13">
        <f>YEAR(Weekly_Prices[[#This Row],[Date]])</f>
        <v>2011</v>
      </c>
      <c r="M397" s="13">
        <f>MONTH(Weekly_Prices[[#This Row],[Date]])</f>
        <v>1</v>
      </c>
      <c r="N397" s="3" t="str">
        <f>TEXT(Weekly_Prices[[#This Row],[Date]],"MMMM")</f>
        <v>January</v>
      </c>
      <c r="O397" s="3" t="str">
        <f>YEAR(Weekly_Prices[[#This Row],[Date]])&amp;"-"&amp;TEXT(WEEKNUM(Weekly_Prices[[#This Row],[Date]],2),"00")</f>
        <v>2011-02</v>
      </c>
    </row>
    <row r="398" spans="1:15" x14ac:dyDescent="0.35">
      <c r="A398" s="2">
        <v>40553</v>
      </c>
      <c r="B398" s="3">
        <v>127.398126</v>
      </c>
      <c r="C398" s="4">
        <f t="shared" si="24"/>
        <v>2.5457370000000168</v>
      </c>
      <c r="D398" s="4">
        <f t="shared" si="22"/>
        <v>16.675804999999997</v>
      </c>
      <c r="E398" s="3">
        <v>58.95</v>
      </c>
      <c r="F398" s="3">
        <v>20</v>
      </c>
      <c r="G398" s="3">
        <v>131.59642199999999</v>
      </c>
      <c r="H398" s="4">
        <f t="shared" si="25"/>
        <v>2.4848289999999906</v>
      </c>
      <c r="I398" s="4">
        <f t="shared" si="23"/>
        <v>19.003277999999995</v>
      </c>
      <c r="J398" s="3">
        <v>58.95</v>
      </c>
      <c r="K398" s="3">
        <v>20</v>
      </c>
      <c r="L398" s="13">
        <f>YEAR(Weekly_Prices[[#This Row],[Date]])</f>
        <v>2011</v>
      </c>
      <c r="M398" s="13">
        <f>MONTH(Weekly_Prices[[#This Row],[Date]])</f>
        <v>1</v>
      </c>
      <c r="N398" s="3" t="str">
        <f>TEXT(Weekly_Prices[[#This Row],[Date]],"MMMM")</f>
        <v>January</v>
      </c>
      <c r="O398" s="3" t="str">
        <f>YEAR(Weekly_Prices[[#This Row],[Date]])&amp;"-"&amp;TEXT(WEEKNUM(Weekly_Prices[[#This Row],[Date]],2),"00")</f>
        <v>2011-03</v>
      </c>
    </row>
    <row r="399" spans="1:15" x14ac:dyDescent="0.35">
      <c r="A399" s="2">
        <v>40560</v>
      </c>
      <c r="B399" s="3">
        <v>127.87220300000001</v>
      </c>
      <c r="C399" s="4">
        <f t="shared" si="24"/>
        <v>0.4740770000000083</v>
      </c>
      <c r="D399" s="4">
        <f t="shared" si="22"/>
        <v>16.27033800000001</v>
      </c>
      <c r="E399" s="3">
        <v>58.95</v>
      </c>
      <c r="F399" s="3">
        <v>20</v>
      </c>
      <c r="G399" s="3">
        <v>132.32541749999999</v>
      </c>
      <c r="H399" s="4">
        <f t="shared" si="25"/>
        <v>0.72899549999999635</v>
      </c>
      <c r="I399" s="4">
        <f t="shared" si="23"/>
        <v>18.936306500000001</v>
      </c>
      <c r="J399" s="3">
        <v>58.95</v>
      </c>
      <c r="K399" s="3">
        <v>20</v>
      </c>
      <c r="L399" s="13">
        <f>YEAR(Weekly_Prices[[#This Row],[Date]])</f>
        <v>2011</v>
      </c>
      <c r="M399" s="13">
        <f>MONTH(Weekly_Prices[[#This Row],[Date]])</f>
        <v>1</v>
      </c>
      <c r="N399" s="3" t="str">
        <f>TEXT(Weekly_Prices[[#This Row],[Date]],"MMMM")</f>
        <v>January</v>
      </c>
      <c r="O399" s="3" t="str">
        <f>YEAR(Weekly_Prices[[#This Row],[Date]])&amp;"-"&amp;TEXT(WEEKNUM(Weekly_Prices[[#This Row],[Date]],2),"00")</f>
        <v>2011-04</v>
      </c>
    </row>
    <row r="400" spans="1:15" x14ac:dyDescent="0.35">
      <c r="A400" s="2">
        <v>40567</v>
      </c>
      <c r="B400" s="3">
        <v>128.352261</v>
      </c>
      <c r="C400" s="4">
        <f t="shared" si="24"/>
        <v>0.48005799999998544</v>
      </c>
      <c r="D400" s="4">
        <f t="shared" si="22"/>
        <v>16.486606999999978</v>
      </c>
      <c r="E400" s="3">
        <v>58.95</v>
      </c>
      <c r="F400" s="3">
        <v>20</v>
      </c>
      <c r="G400" s="3">
        <v>132.997274</v>
      </c>
      <c r="H400" s="4">
        <f t="shared" si="25"/>
        <v>0.67185650000001829</v>
      </c>
      <c r="I400" s="4">
        <f t="shared" si="23"/>
        <v>19.286138000000008</v>
      </c>
      <c r="J400" s="3">
        <v>58.95</v>
      </c>
      <c r="K400" s="3">
        <v>20</v>
      </c>
      <c r="L400" s="13">
        <f>YEAR(Weekly_Prices[[#This Row],[Date]])</f>
        <v>2011</v>
      </c>
      <c r="M400" s="13">
        <f>MONTH(Weekly_Prices[[#This Row],[Date]])</f>
        <v>1</v>
      </c>
      <c r="N400" s="3" t="str">
        <f>TEXT(Weekly_Prices[[#This Row],[Date]],"MMMM")</f>
        <v>January</v>
      </c>
      <c r="O400" s="3" t="str">
        <f>YEAR(Weekly_Prices[[#This Row],[Date]])&amp;"-"&amp;TEXT(WEEKNUM(Weekly_Prices[[#This Row],[Date]],2),"00")</f>
        <v>2011-05</v>
      </c>
    </row>
    <row r="401" spans="1:15" x14ac:dyDescent="0.35">
      <c r="A401" s="2">
        <v>40574</v>
      </c>
      <c r="B401" s="3">
        <v>128.547955</v>
      </c>
      <c r="C401" s="4">
        <f t="shared" si="24"/>
        <v>0.19569400000000314</v>
      </c>
      <c r="D401" s="4">
        <f t="shared" si="22"/>
        <v>16.642333000000008</v>
      </c>
      <c r="E401" s="3">
        <v>58.95</v>
      </c>
      <c r="F401" s="3">
        <v>20</v>
      </c>
      <c r="G401" s="3">
        <v>133.25377850000001</v>
      </c>
      <c r="H401" s="4">
        <f t="shared" si="25"/>
        <v>0.25650450000000546</v>
      </c>
      <c r="I401" s="4">
        <f t="shared" si="23"/>
        <v>19.504814499999995</v>
      </c>
      <c r="J401" s="3">
        <v>58.95</v>
      </c>
      <c r="K401" s="3">
        <v>20</v>
      </c>
      <c r="L401" s="13">
        <f>YEAR(Weekly_Prices[[#This Row],[Date]])</f>
        <v>2011</v>
      </c>
      <c r="M401" s="13">
        <f>MONTH(Weekly_Prices[[#This Row],[Date]])</f>
        <v>1</v>
      </c>
      <c r="N401" s="3" t="str">
        <f>TEXT(Weekly_Prices[[#This Row],[Date]],"MMMM")</f>
        <v>January</v>
      </c>
      <c r="O401" s="3" t="str">
        <f>YEAR(Weekly_Prices[[#This Row],[Date]])&amp;"-"&amp;TEXT(WEEKNUM(Weekly_Prices[[#This Row],[Date]],2),"00")</f>
        <v>2011-06</v>
      </c>
    </row>
    <row r="402" spans="1:15" x14ac:dyDescent="0.35">
      <c r="A402" s="2">
        <v>40581</v>
      </c>
      <c r="B402" s="3">
        <v>128.63559800000002</v>
      </c>
      <c r="C402" s="4">
        <f t="shared" si="24"/>
        <v>8.7643000000014126E-2</v>
      </c>
      <c r="D402" s="4">
        <f t="shared" si="22"/>
        <v>16.685457000000028</v>
      </c>
      <c r="E402" s="3">
        <v>58.95</v>
      </c>
      <c r="F402" s="3">
        <v>20</v>
      </c>
      <c r="G402" s="3">
        <v>133.47334549999999</v>
      </c>
      <c r="H402" s="4">
        <f t="shared" si="25"/>
        <v>0.21956699999998364</v>
      </c>
      <c r="I402" s="4">
        <f t="shared" si="23"/>
        <v>19.683071499999997</v>
      </c>
      <c r="J402" s="3">
        <v>58.95</v>
      </c>
      <c r="K402" s="3">
        <v>20</v>
      </c>
      <c r="L402" s="13">
        <f>YEAR(Weekly_Prices[[#This Row],[Date]])</f>
        <v>2011</v>
      </c>
      <c r="M402" s="13">
        <f>MONTH(Weekly_Prices[[#This Row],[Date]])</f>
        <v>2</v>
      </c>
      <c r="N402" s="3" t="str">
        <f>TEXT(Weekly_Prices[[#This Row],[Date]],"MMMM")</f>
        <v>February</v>
      </c>
      <c r="O402" s="3" t="str">
        <f>YEAR(Weekly_Prices[[#This Row],[Date]])&amp;"-"&amp;TEXT(WEEKNUM(Weekly_Prices[[#This Row],[Date]],2),"00")</f>
        <v>2011-07</v>
      </c>
    </row>
    <row r="403" spans="1:15" x14ac:dyDescent="0.35">
      <c r="A403" s="2">
        <v>40588</v>
      </c>
      <c r="B403" s="3">
        <v>128.725403</v>
      </c>
      <c r="C403" s="4">
        <f t="shared" si="24"/>
        <v>8.9804999999984148E-2</v>
      </c>
      <c r="D403" s="4">
        <f t="shared" si="22"/>
        <v>16.832499999999996</v>
      </c>
      <c r="E403" s="3">
        <v>58.95</v>
      </c>
      <c r="F403" s="3">
        <v>20</v>
      </c>
      <c r="G403" s="3">
        <v>133.71364250000002</v>
      </c>
      <c r="H403" s="4">
        <f t="shared" si="25"/>
        <v>0.24029700000002663</v>
      </c>
      <c r="I403" s="4">
        <f t="shared" si="23"/>
        <v>20.034718500000025</v>
      </c>
      <c r="J403" s="3">
        <v>58.95</v>
      </c>
      <c r="K403" s="3">
        <v>20</v>
      </c>
      <c r="L403" s="13">
        <f>YEAR(Weekly_Prices[[#This Row],[Date]])</f>
        <v>2011</v>
      </c>
      <c r="M403" s="13">
        <f>MONTH(Weekly_Prices[[#This Row],[Date]])</f>
        <v>2</v>
      </c>
      <c r="N403" s="3" t="str">
        <f>TEXT(Weekly_Prices[[#This Row],[Date]],"MMMM")</f>
        <v>February</v>
      </c>
      <c r="O403" s="3" t="str">
        <f>YEAR(Weekly_Prices[[#This Row],[Date]])&amp;"-"&amp;TEXT(WEEKNUM(Weekly_Prices[[#This Row],[Date]],2),"00")</f>
        <v>2011-08</v>
      </c>
    </row>
    <row r="404" spans="1:15" x14ac:dyDescent="0.35">
      <c r="A404" s="2">
        <v>40595</v>
      </c>
      <c r="B404" s="3">
        <v>128.91914499999999</v>
      </c>
      <c r="C404" s="4">
        <f t="shared" si="24"/>
        <v>0.19374199999998609</v>
      </c>
      <c r="D404" s="4">
        <f t="shared" si="22"/>
        <v>17.35428899999998</v>
      </c>
      <c r="E404" s="3">
        <v>58.95</v>
      </c>
      <c r="F404" s="3">
        <v>20</v>
      </c>
      <c r="G404" s="3">
        <v>134.04030500000002</v>
      </c>
      <c r="H404" s="4">
        <f t="shared" si="25"/>
        <v>0.32666249999999764</v>
      </c>
      <c r="I404" s="4">
        <f t="shared" si="23"/>
        <v>21.282058000000006</v>
      </c>
      <c r="J404" s="3">
        <v>58.95</v>
      </c>
      <c r="K404" s="3">
        <v>20</v>
      </c>
      <c r="L404" s="13">
        <f>YEAR(Weekly_Prices[[#This Row],[Date]])</f>
        <v>2011</v>
      </c>
      <c r="M404" s="13">
        <f>MONTH(Weekly_Prices[[#This Row],[Date]])</f>
        <v>2</v>
      </c>
      <c r="N404" s="3" t="str">
        <f>TEXT(Weekly_Prices[[#This Row],[Date]],"MMMM")</f>
        <v>February</v>
      </c>
      <c r="O404" s="3" t="str">
        <f>YEAR(Weekly_Prices[[#This Row],[Date]])&amp;"-"&amp;TEXT(WEEKNUM(Weekly_Prices[[#This Row],[Date]],2),"00")</f>
        <v>2011-09</v>
      </c>
    </row>
    <row r="405" spans="1:15" x14ac:dyDescent="0.35">
      <c r="A405" s="2">
        <v>40602</v>
      </c>
      <c r="B405" s="3">
        <v>129.724965</v>
      </c>
      <c r="C405" s="4">
        <f t="shared" si="24"/>
        <v>0.80582000000001131</v>
      </c>
      <c r="D405" s="4">
        <f t="shared" si="22"/>
        <v>17.307622000000009</v>
      </c>
      <c r="E405" s="3">
        <v>58.95</v>
      </c>
      <c r="F405" s="3">
        <v>20</v>
      </c>
      <c r="G405" s="3">
        <v>135.05562849999998</v>
      </c>
      <c r="H405" s="4">
        <f t="shared" si="25"/>
        <v>1.0153234999999654</v>
      </c>
      <c r="I405" s="4">
        <f t="shared" si="23"/>
        <v>21.648280499999984</v>
      </c>
      <c r="J405" s="3">
        <v>58.95</v>
      </c>
      <c r="K405" s="3">
        <v>20</v>
      </c>
      <c r="L405" s="13">
        <f>YEAR(Weekly_Prices[[#This Row],[Date]])</f>
        <v>2011</v>
      </c>
      <c r="M405" s="13">
        <f>MONTH(Weekly_Prices[[#This Row],[Date]])</f>
        <v>2</v>
      </c>
      <c r="N405" s="3" t="str">
        <f>TEXT(Weekly_Prices[[#This Row],[Date]],"MMMM")</f>
        <v>February</v>
      </c>
      <c r="O405" s="3" t="str">
        <f>YEAR(Weekly_Prices[[#This Row],[Date]])&amp;"-"&amp;TEXT(WEEKNUM(Weekly_Prices[[#This Row],[Date]],2),"00")</f>
        <v>2011-10</v>
      </c>
    </row>
    <row r="406" spans="1:15" x14ac:dyDescent="0.35">
      <c r="A406" s="2">
        <v>40609</v>
      </c>
      <c r="B406" s="3">
        <v>131.28181700000002</v>
      </c>
      <c r="C406" s="4">
        <f t="shared" si="24"/>
        <v>1.5568520000000206</v>
      </c>
      <c r="D406" s="4">
        <f t="shared" si="22"/>
        <v>17.570072999999994</v>
      </c>
      <c r="E406" s="3">
        <v>58.95</v>
      </c>
      <c r="F406" s="3">
        <v>20</v>
      </c>
      <c r="G406" s="3">
        <v>136.89818500000001</v>
      </c>
      <c r="H406" s="4">
        <f t="shared" si="25"/>
        <v>1.842556500000029</v>
      </c>
      <c r="I406" s="4">
        <f t="shared" si="23"/>
        <v>22.214569000000012</v>
      </c>
      <c r="J406" s="3">
        <v>58.95</v>
      </c>
      <c r="K406" s="3">
        <v>20</v>
      </c>
      <c r="L406" s="13">
        <f>YEAR(Weekly_Prices[[#This Row],[Date]])</f>
        <v>2011</v>
      </c>
      <c r="M406" s="13">
        <f>MONTH(Weekly_Prices[[#This Row],[Date]])</f>
        <v>3</v>
      </c>
      <c r="N406" s="3" t="str">
        <f>TEXT(Weekly_Prices[[#This Row],[Date]],"MMMM")</f>
        <v>March</v>
      </c>
      <c r="O406" s="3" t="str">
        <f>YEAR(Weekly_Prices[[#This Row],[Date]])&amp;"-"&amp;TEXT(WEEKNUM(Weekly_Prices[[#This Row],[Date]],2),"00")</f>
        <v>2011-11</v>
      </c>
    </row>
    <row r="407" spans="1:15" x14ac:dyDescent="0.35">
      <c r="A407" s="2">
        <v>40616</v>
      </c>
      <c r="B407" s="3">
        <v>132.17616599999997</v>
      </c>
      <c r="C407" s="4">
        <f t="shared" si="24"/>
        <v>0.89434899999994855</v>
      </c>
      <c r="D407" s="4">
        <f t="shared" si="22"/>
        <v>16.717978999999971</v>
      </c>
      <c r="E407" s="3">
        <v>58.95</v>
      </c>
      <c r="F407" s="3">
        <v>20</v>
      </c>
      <c r="G407" s="3">
        <v>138.24864149999999</v>
      </c>
      <c r="H407" s="4">
        <f t="shared" si="25"/>
        <v>1.3504564999999786</v>
      </c>
      <c r="I407" s="4">
        <f t="shared" si="23"/>
        <v>22.038759499999998</v>
      </c>
      <c r="J407" s="3">
        <v>58.95</v>
      </c>
      <c r="K407" s="3">
        <v>20</v>
      </c>
      <c r="L407" s="13">
        <f>YEAR(Weekly_Prices[[#This Row],[Date]])</f>
        <v>2011</v>
      </c>
      <c r="M407" s="13">
        <f>MONTH(Weekly_Prices[[#This Row],[Date]])</f>
        <v>3</v>
      </c>
      <c r="N407" s="3" t="str">
        <f>TEXT(Weekly_Prices[[#This Row],[Date]],"MMMM")</f>
        <v>March</v>
      </c>
      <c r="O407" s="3" t="str">
        <f>YEAR(Weekly_Prices[[#This Row],[Date]])&amp;"-"&amp;TEXT(WEEKNUM(Weekly_Prices[[#This Row],[Date]],2),"00")</f>
        <v>2011-12</v>
      </c>
    </row>
    <row r="408" spans="1:15" x14ac:dyDescent="0.35">
      <c r="A408" s="2">
        <v>40623</v>
      </c>
      <c r="B408" s="3">
        <v>133.10945899999999</v>
      </c>
      <c r="C408" s="4">
        <f t="shared" si="24"/>
        <v>0.93329300000002036</v>
      </c>
      <c r="D408" s="4">
        <f t="shared" si="22"/>
        <v>16.518500999999986</v>
      </c>
      <c r="E408" s="3">
        <v>58.95</v>
      </c>
      <c r="F408" s="3">
        <v>20</v>
      </c>
      <c r="G408" s="3">
        <v>139.53348099999999</v>
      </c>
      <c r="H408" s="4">
        <f t="shared" si="25"/>
        <v>1.2848395000000039</v>
      </c>
      <c r="I408" s="4">
        <f t="shared" si="23"/>
        <v>22.250492999999992</v>
      </c>
      <c r="J408" s="3">
        <v>58.95</v>
      </c>
      <c r="K408" s="3">
        <v>20</v>
      </c>
      <c r="L408" s="13">
        <f>YEAR(Weekly_Prices[[#This Row],[Date]])</f>
        <v>2011</v>
      </c>
      <c r="M408" s="13">
        <f>MONTH(Weekly_Prices[[#This Row],[Date]])</f>
        <v>3</v>
      </c>
      <c r="N408" s="3" t="str">
        <f>TEXT(Weekly_Prices[[#This Row],[Date]],"MMMM")</f>
        <v>March</v>
      </c>
      <c r="O408" s="3" t="str">
        <f>YEAR(Weekly_Prices[[#This Row],[Date]])&amp;"-"&amp;TEXT(WEEKNUM(Weekly_Prices[[#This Row],[Date]],2),"00")</f>
        <v>2011-13</v>
      </c>
    </row>
    <row r="409" spans="1:15" x14ac:dyDescent="0.35">
      <c r="A409" s="2">
        <v>40630</v>
      </c>
      <c r="B409" s="3">
        <v>132.43715099999997</v>
      </c>
      <c r="C409" s="4">
        <f t="shared" si="24"/>
        <v>-0.67230800000001523</v>
      </c>
      <c r="D409" s="4">
        <f t="shared" si="22"/>
        <v>15.155299999999954</v>
      </c>
      <c r="E409" s="3">
        <v>57.95</v>
      </c>
      <c r="F409" s="3">
        <v>20</v>
      </c>
      <c r="G409" s="3">
        <v>139.03752600000001</v>
      </c>
      <c r="H409" s="4">
        <f t="shared" si="25"/>
        <v>-0.49595499999998083</v>
      </c>
      <c r="I409" s="4">
        <f t="shared" si="23"/>
        <v>20.830960000000019</v>
      </c>
      <c r="J409" s="3">
        <v>57.95</v>
      </c>
      <c r="K409" s="3">
        <v>20</v>
      </c>
      <c r="L409" s="13">
        <f>YEAR(Weekly_Prices[[#This Row],[Date]])</f>
        <v>2011</v>
      </c>
      <c r="M409" s="13">
        <f>MONTH(Weekly_Prices[[#This Row],[Date]])</f>
        <v>3</v>
      </c>
      <c r="N409" s="3" t="str">
        <f>TEXT(Weekly_Prices[[#This Row],[Date]],"MMMM")</f>
        <v>March</v>
      </c>
      <c r="O409" s="3" t="str">
        <f>YEAR(Weekly_Prices[[#This Row],[Date]])&amp;"-"&amp;TEXT(WEEKNUM(Weekly_Prices[[#This Row],[Date]],2),"00")</f>
        <v>2011-14</v>
      </c>
    </row>
    <row r="410" spans="1:15" x14ac:dyDescent="0.35">
      <c r="A410" s="2">
        <v>40637</v>
      </c>
      <c r="B410" s="3">
        <v>132.80587599999998</v>
      </c>
      <c r="C410" s="4">
        <f t="shared" si="24"/>
        <v>0.36872500000001196</v>
      </c>
      <c r="D410" s="4">
        <f t="shared" si="22"/>
        <v>13.519822999999988</v>
      </c>
      <c r="E410" s="3">
        <v>57.95</v>
      </c>
      <c r="F410" s="3">
        <v>20</v>
      </c>
      <c r="G410" s="3">
        <v>139.45921099999998</v>
      </c>
      <c r="H410" s="4">
        <f t="shared" si="25"/>
        <v>0.42168499999996811</v>
      </c>
      <c r="I410" s="4">
        <f t="shared" si="23"/>
        <v>19.369723999999977</v>
      </c>
      <c r="J410" s="3">
        <v>57.95</v>
      </c>
      <c r="K410" s="3">
        <v>20</v>
      </c>
      <c r="L410" s="13">
        <f>YEAR(Weekly_Prices[[#This Row],[Date]])</f>
        <v>2011</v>
      </c>
      <c r="M410" s="13">
        <f>MONTH(Weekly_Prices[[#This Row],[Date]])</f>
        <v>4</v>
      </c>
      <c r="N410" s="3" t="str">
        <f>TEXT(Weekly_Prices[[#This Row],[Date]],"MMMM")</f>
        <v>April</v>
      </c>
      <c r="O410" s="3" t="str">
        <f>YEAR(Weekly_Prices[[#This Row],[Date]])&amp;"-"&amp;TEXT(WEEKNUM(Weekly_Prices[[#This Row],[Date]],2),"00")</f>
        <v>2011-15</v>
      </c>
    </row>
    <row r="411" spans="1:15" x14ac:dyDescent="0.35">
      <c r="A411" s="2">
        <v>40644</v>
      </c>
      <c r="B411" s="3">
        <v>133.68282400000001</v>
      </c>
      <c r="C411" s="4">
        <f t="shared" si="24"/>
        <v>0.87694800000002715</v>
      </c>
      <c r="D411" s="4">
        <f t="shared" si="22"/>
        <v>13.740528999999995</v>
      </c>
      <c r="E411" s="3">
        <v>57.95</v>
      </c>
      <c r="F411" s="3">
        <v>20</v>
      </c>
      <c r="G411" s="3">
        <v>140.33065300000001</v>
      </c>
      <c r="H411" s="4">
        <f t="shared" si="25"/>
        <v>0.87144200000003025</v>
      </c>
      <c r="I411" s="4">
        <f t="shared" si="23"/>
        <v>19.217559000000023</v>
      </c>
      <c r="J411" s="3">
        <v>57.95</v>
      </c>
      <c r="K411" s="3">
        <v>20</v>
      </c>
      <c r="L411" s="13">
        <f>YEAR(Weekly_Prices[[#This Row],[Date]])</f>
        <v>2011</v>
      </c>
      <c r="M411" s="13">
        <f>MONTH(Weekly_Prices[[#This Row],[Date]])</f>
        <v>4</v>
      </c>
      <c r="N411" s="3" t="str">
        <f>TEXT(Weekly_Prices[[#This Row],[Date]],"MMMM")</f>
        <v>April</v>
      </c>
      <c r="O411" s="3" t="str">
        <f>YEAR(Weekly_Prices[[#This Row],[Date]])&amp;"-"&amp;TEXT(WEEKNUM(Weekly_Prices[[#This Row],[Date]],2),"00")</f>
        <v>2011-16</v>
      </c>
    </row>
    <row r="412" spans="1:15" x14ac:dyDescent="0.35">
      <c r="A412" s="2">
        <v>40651</v>
      </c>
      <c r="B412" s="3">
        <v>135.06098600000001</v>
      </c>
      <c r="C412" s="4">
        <f t="shared" si="24"/>
        <v>1.3781620000000032</v>
      </c>
      <c r="D412" s="4">
        <f t="shared" si="22"/>
        <v>14.50603000000001</v>
      </c>
      <c r="E412" s="3">
        <v>57.95</v>
      </c>
      <c r="F412" s="3">
        <v>20</v>
      </c>
      <c r="G412" s="3">
        <v>141.33983350000003</v>
      </c>
      <c r="H412" s="4">
        <f t="shared" si="25"/>
        <v>1.0091805000000136</v>
      </c>
      <c r="I412" s="4">
        <f t="shared" si="23"/>
        <v>19.596441500000026</v>
      </c>
      <c r="J412" s="3">
        <v>57.95</v>
      </c>
      <c r="K412" s="3">
        <v>20</v>
      </c>
      <c r="L412" s="13">
        <f>YEAR(Weekly_Prices[[#This Row],[Date]])</f>
        <v>2011</v>
      </c>
      <c r="M412" s="13">
        <f>MONTH(Weekly_Prices[[#This Row],[Date]])</f>
        <v>4</v>
      </c>
      <c r="N412" s="3" t="str">
        <f>TEXT(Weekly_Prices[[#This Row],[Date]],"MMMM")</f>
        <v>April</v>
      </c>
      <c r="O412" s="3" t="str">
        <f>YEAR(Weekly_Prices[[#This Row],[Date]])&amp;"-"&amp;TEXT(WEEKNUM(Weekly_Prices[[#This Row],[Date]],2),"00")</f>
        <v>2011-17</v>
      </c>
    </row>
    <row r="413" spans="1:15" x14ac:dyDescent="0.35">
      <c r="A413" s="2">
        <v>40658</v>
      </c>
      <c r="B413" s="3">
        <v>135.62120900000002</v>
      </c>
      <c r="C413" s="4">
        <f t="shared" si="24"/>
        <v>0.56022300000000769</v>
      </c>
      <c r="D413" s="4">
        <f t="shared" si="22"/>
        <v>14.634207000000018</v>
      </c>
      <c r="E413" s="3">
        <v>57.95</v>
      </c>
      <c r="F413" s="3">
        <v>20</v>
      </c>
      <c r="G413" s="3">
        <v>142.11112699999998</v>
      </c>
      <c r="H413" s="4">
        <f t="shared" si="25"/>
        <v>0.77129349999995611</v>
      </c>
      <c r="I413" s="4">
        <f t="shared" si="23"/>
        <v>19.802614999999975</v>
      </c>
      <c r="J413" s="3">
        <v>57.95</v>
      </c>
      <c r="K413" s="3">
        <v>20</v>
      </c>
      <c r="L413" s="13">
        <f>YEAR(Weekly_Prices[[#This Row],[Date]])</f>
        <v>2011</v>
      </c>
      <c r="M413" s="13">
        <f>MONTH(Weekly_Prices[[#This Row],[Date]])</f>
        <v>4</v>
      </c>
      <c r="N413" s="3" t="str">
        <f>TEXT(Weekly_Prices[[#This Row],[Date]],"MMMM")</f>
        <v>April</v>
      </c>
      <c r="O413" s="3" t="str">
        <f>YEAR(Weekly_Prices[[#This Row],[Date]])&amp;"-"&amp;TEXT(WEEKNUM(Weekly_Prices[[#This Row],[Date]],2),"00")</f>
        <v>2011-18</v>
      </c>
    </row>
    <row r="414" spans="1:15" x14ac:dyDescent="0.35">
      <c r="A414" s="2">
        <v>40665</v>
      </c>
      <c r="B414" s="3">
        <v>136.29419899999999</v>
      </c>
      <c r="C414" s="4">
        <f t="shared" si="24"/>
        <v>0.67298999999997022</v>
      </c>
      <c r="D414" s="4">
        <f t="shared" si="22"/>
        <v>15.110465999999974</v>
      </c>
      <c r="E414" s="3">
        <v>57.95</v>
      </c>
      <c r="F414" s="3">
        <v>20</v>
      </c>
      <c r="G414" s="3">
        <v>142.526949</v>
      </c>
      <c r="H414" s="4">
        <f t="shared" si="25"/>
        <v>0.4158220000000199</v>
      </c>
      <c r="I414" s="4">
        <f t="shared" si="23"/>
        <v>19.845326</v>
      </c>
      <c r="J414" s="3">
        <v>57.95</v>
      </c>
      <c r="K414" s="3">
        <v>20</v>
      </c>
      <c r="L414" s="13">
        <f>YEAR(Weekly_Prices[[#This Row],[Date]])</f>
        <v>2011</v>
      </c>
      <c r="M414" s="13">
        <f>MONTH(Weekly_Prices[[#This Row],[Date]])</f>
        <v>5</v>
      </c>
      <c r="N414" s="3" t="str">
        <f>TEXT(Weekly_Prices[[#This Row],[Date]],"MMMM")</f>
        <v>May</v>
      </c>
      <c r="O414" s="3" t="str">
        <f>YEAR(Weekly_Prices[[#This Row],[Date]])&amp;"-"&amp;TEXT(WEEKNUM(Weekly_Prices[[#This Row],[Date]],2),"00")</f>
        <v>2011-19</v>
      </c>
    </row>
    <row r="415" spans="1:15" x14ac:dyDescent="0.35">
      <c r="A415" s="2">
        <v>40672</v>
      </c>
      <c r="B415" s="3">
        <v>137.05266399999999</v>
      </c>
      <c r="C415" s="4">
        <f t="shared" si="24"/>
        <v>0.75846500000000106</v>
      </c>
      <c r="D415" s="4">
        <f t="shared" si="22"/>
        <v>15.742352999999994</v>
      </c>
      <c r="E415" s="3">
        <v>57.95</v>
      </c>
      <c r="F415" s="3">
        <v>20</v>
      </c>
      <c r="G415" s="3">
        <v>143.0594055</v>
      </c>
      <c r="H415" s="4">
        <f t="shared" si="25"/>
        <v>0.532456499999995</v>
      </c>
      <c r="I415" s="4">
        <f t="shared" si="23"/>
        <v>20.242416500000019</v>
      </c>
      <c r="J415" s="3">
        <v>57.95</v>
      </c>
      <c r="K415" s="3">
        <v>20</v>
      </c>
      <c r="L415" s="13">
        <f>YEAR(Weekly_Prices[[#This Row],[Date]])</f>
        <v>2011</v>
      </c>
      <c r="M415" s="13">
        <f>MONTH(Weekly_Prices[[#This Row],[Date]])</f>
        <v>5</v>
      </c>
      <c r="N415" s="3" t="str">
        <f>TEXT(Weekly_Prices[[#This Row],[Date]],"MMMM")</f>
        <v>May</v>
      </c>
      <c r="O415" s="3" t="str">
        <f>YEAR(Weekly_Prices[[#This Row],[Date]])&amp;"-"&amp;TEXT(WEEKNUM(Weekly_Prices[[#This Row],[Date]],2),"00")</f>
        <v>2011-20</v>
      </c>
    </row>
    <row r="416" spans="1:15" x14ac:dyDescent="0.35">
      <c r="A416" s="2">
        <v>40679</v>
      </c>
      <c r="B416" s="3">
        <v>136.39863600000001</v>
      </c>
      <c r="C416" s="4">
        <f t="shared" si="24"/>
        <v>-0.65402799999998251</v>
      </c>
      <c r="D416" s="4">
        <f t="shared" si="22"/>
        <v>15.094689000000017</v>
      </c>
      <c r="E416" s="3">
        <v>57.95</v>
      </c>
      <c r="F416" s="3">
        <v>20</v>
      </c>
      <c r="G416" s="3">
        <v>141.49889200000001</v>
      </c>
      <c r="H416" s="4">
        <f t="shared" si="25"/>
        <v>-1.5605134999999848</v>
      </c>
      <c r="I416" s="4">
        <f t="shared" si="23"/>
        <v>18.664949000000021</v>
      </c>
      <c r="J416" s="3">
        <v>57.95</v>
      </c>
      <c r="K416" s="3">
        <v>20</v>
      </c>
      <c r="L416" s="13">
        <f>YEAR(Weekly_Prices[[#This Row],[Date]])</f>
        <v>2011</v>
      </c>
      <c r="M416" s="13">
        <f>MONTH(Weekly_Prices[[#This Row],[Date]])</f>
        <v>5</v>
      </c>
      <c r="N416" s="3" t="str">
        <f>TEXT(Weekly_Prices[[#This Row],[Date]],"MMMM")</f>
        <v>May</v>
      </c>
      <c r="O416" s="3" t="str">
        <f>YEAR(Weekly_Prices[[#This Row],[Date]])&amp;"-"&amp;TEXT(WEEKNUM(Weekly_Prices[[#This Row],[Date]],2),"00")</f>
        <v>2011-21</v>
      </c>
    </row>
    <row r="417" spans="1:15" x14ac:dyDescent="0.35">
      <c r="A417" s="2">
        <v>40686</v>
      </c>
      <c r="B417" s="3">
        <v>136.112764</v>
      </c>
      <c r="C417" s="4">
        <f t="shared" si="24"/>
        <v>-0.28587200000001189</v>
      </c>
      <c r="D417" s="4">
        <f t="shared" si="22"/>
        <v>16.187332000000012</v>
      </c>
      <c r="E417" s="3">
        <v>57.95</v>
      </c>
      <c r="F417" s="3">
        <v>20</v>
      </c>
      <c r="G417" s="3">
        <v>140.76737299999999</v>
      </c>
      <c r="H417" s="4">
        <f t="shared" si="25"/>
        <v>-0.73151900000002001</v>
      </c>
      <c r="I417" s="4">
        <f t="shared" si="23"/>
        <v>18.844775999999982</v>
      </c>
      <c r="J417" s="3">
        <v>57.95</v>
      </c>
      <c r="K417" s="3">
        <v>20</v>
      </c>
      <c r="L417" s="13">
        <f>YEAR(Weekly_Prices[[#This Row],[Date]])</f>
        <v>2011</v>
      </c>
      <c r="M417" s="13">
        <f>MONTH(Weekly_Prices[[#This Row],[Date]])</f>
        <v>5</v>
      </c>
      <c r="N417" s="3" t="str">
        <f>TEXT(Weekly_Prices[[#This Row],[Date]],"MMMM")</f>
        <v>May</v>
      </c>
      <c r="O417" s="3" t="str">
        <f>YEAR(Weekly_Prices[[#This Row],[Date]])&amp;"-"&amp;TEXT(WEEKNUM(Weekly_Prices[[#This Row],[Date]],2),"00")</f>
        <v>2011-22</v>
      </c>
    </row>
    <row r="418" spans="1:15" x14ac:dyDescent="0.35">
      <c r="A418" s="2">
        <v>40693</v>
      </c>
      <c r="B418" s="3">
        <v>135.56812200000002</v>
      </c>
      <c r="C418" s="4">
        <f t="shared" si="24"/>
        <v>-0.54464199999998186</v>
      </c>
      <c r="D418" s="4">
        <f t="shared" si="22"/>
        <v>17.025129000000021</v>
      </c>
      <c r="E418" s="3">
        <v>57.95</v>
      </c>
      <c r="F418" s="3">
        <v>20</v>
      </c>
      <c r="G418" s="3">
        <v>139.81403599999999</v>
      </c>
      <c r="H418" s="4">
        <f t="shared" si="25"/>
        <v>-0.95333700000000476</v>
      </c>
      <c r="I418" s="4">
        <f t="shared" si="23"/>
        <v>19.057591000000002</v>
      </c>
      <c r="J418" s="3">
        <v>57.95</v>
      </c>
      <c r="K418" s="3">
        <v>20</v>
      </c>
      <c r="L418" s="13">
        <f>YEAR(Weekly_Prices[[#This Row],[Date]])</f>
        <v>2011</v>
      </c>
      <c r="M418" s="13">
        <f>MONTH(Weekly_Prices[[#This Row],[Date]])</f>
        <v>5</v>
      </c>
      <c r="N418" s="3" t="str">
        <f>TEXT(Weekly_Prices[[#This Row],[Date]],"MMMM")</f>
        <v>May</v>
      </c>
      <c r="O418" s="3" t="str">
        <f>YEAR(Weekly_Prices[[#This Row],[Date]])&amp;"-"&amp;TEXT(WEEKNUM(Weekly_Prices[[#This Row],[Date]],2),"00")</f>
        <v>2011-23</v>
      </c>
    </row>
    <row r="419" spans="1:15" x14ac:dyDescent="0.35">
      <c r="A419" s="2">
        <v>40700</v>
      </c>
      <c r="B419" s="3">
        <v>135.61502400000001</v>
      </c>
      <c r="C419" s="4">
        <f t="shared" si="24"/>
        <v>4.6901999999988675E-2</v>
      </c>
      <c r="D419" s="4">
        <f t="shared" si="22"/>
        <v>17.410189000000003</v>
      </c>
      <c r="E419" s="3">
        <v>57.95</v>
      </c>
      <c r="F419" s="3">
        <v>20</v>
      </c>
      <c r="G419" s="3">
        <v>139.58264399999999</v>
      </c>
      <c r="H419" s="4">
        <f t="shared" si="25"/>
        <v>-0.2313919999999996</v>
      </c>
      <c r="I419" s="4">
        <f t="shared" si="23"/>
        <v>19.185418999999996</v>
      </c>
      <c r="J419" s="3">
        <v>57.95</v>
      </c>
      <c r="K419" s="3">
        <v>20</v>
      </c>
      <c r="L419" s="13">
        <f>YEAR(Weekly_Prices[[#This Row],[Date]])</f>
        <v>2011</v>
      </c>
      <c r="M419" s="13">
        <f>MONTH(Weekly_Prices[[#This Row],[Date]])</f>
        <v>6</v>
      </c>
      <c r="N419" s="3" t="str">
        <f>TEXT(Weekly_Prices[[#This Row],[Date]],"MMMM")</f>
        <v>June</v>
      </c>
      <c r="O419" s="3" t="str">
        <f>YEAR(Weekly_Prices[[#This Row],[Date]])&amp;"-"&amp;TEXT(WEEKNUM(Weekly_Prices[[#This Row],[Date]],2),"00")</f>
        <v>2011-24</v>
      </c>
    </row>
    <row r="420" spans="1:15" x14ac:dyDescent="0.35">
      <c r="A420" s="2">
        <v>40707</v>
      </c>
      <c r="B420" s="3">
        <v>135.85587599999999</v>
      </c>
      <c r="C420" s="4">
        <f t="shared" si="24"/>
        <v>0.24085199999998963</v>
      </c>
      <c r="D420" s="4">
        <f t="shared" si="22"/>
        <v>17.990043999999983</v>
      </c>
      <c r="E420" s="3">
        <v>57.95</v>
      </c>
      <c r="F420" s="3">
        <v>20</v>
      </c>
      <c r="G420" s="3">
        <v>139.7712425</v>
      </c>
      <c r="H420" s="4">
        <f t="shared" si="25"/>
        <v>0.18859850000001188</v>
      </c>
      <c r="I420" s="4">
        <f t="shared" si="23"/>
        <v>19.564046500000003</v>
      </c>
      <c r="J420" s="3">
        <v>57.95</v>
      </c>
      <c r="K420" s="3">
        <v>20</v>
      </c>
      <c r="L420" s="13">
        <f>YEAR(Weekly_Prices[[#This Row],[Date]])</f>
        <v>2011</v>
      </c>
      <c r="M420" s="13">
        <f>MONTH(Weekly_Prices[[#This Row],[Date]])</f>
        <v>6</v>
      </c>
      <c r="N420" s="3" t="str">
        <f>TEXT(Weekly_Prices[[#This Row],[Date]],"MMMM")</f>
        <v>June</v>
      </c>
      <c r="O420" s="3" t="str">
        <f>YEAR(Weekly_Prices[[#This Row],[Date]])&amp;"-"&amp;TEXT(WEEKNUM(Weekly_Prices[[#This Row],[Date]],2),"00")</f>
        <v>2011-25</v>
      </c>
    </row>
    <row r="421" spans="1:15" x14ac:dyDescent="0.35">
      <c r="A421" s="2">
        <v>40714</v>
      </c>
      <c r="B421" s="3">
        <v>136.026138</v>
      </c>
      <c r="C421" s="4">
        <f t="shared" si="24"/>
        <v>0.17026200000000813</v>
      </c>
      <c r="D421" s="4">
        <f t="shared" si="22"/>
        <v>18.224146999999988</v>
      </c>
      <c r="E421" s="3">
        <v>57.95</v>
      </c>
      <c r="F421" s="3">
        <v>20</v>
      </c>
      <c r="G421" s="3">
        <v>140.0541035</v>
      </c>
      <c r="H421" s="4">
        <f t="shared" si="25"/>
        <v>0.28286099999999692</v>
      </c>
      <c r="I421" s="4">
        <f t="shared" si="23"/>
        <v>19.665832499999993</v>
      </c>
      <c r="J421" s="3">
        <v>57.95</v>
      </c>
      <c r="K421" s="3">
        <v>20</v>
      </c>
      <c r="L421" s="13">
        <f>YEAR(Weekly_Prices[[#This Row],[Date]])</f>
        <v>2011</v>
      </c>
      <c r="M421" s="13">
        <f>MONTH(Weekly_Prices[[#This Row],[Date]])</f>
        <v>6</v>
      </c>
      <c r="N421" s="3" t="str">
        <f>TEXT(Weekly_Prices[[#This Row],[Date]],"MMMM")</f>
        <v>June</v>
      </c>
      <c r="O421" s="3" t="str">
        <f>YEAR(Weekly_Prices[[#This Row],[Date]])&amp;"-"&amp;TEXT(WEEKNUM(Weekly_Prices[[#This Row],[Date]],2),"00")</f>
        <v>2011-26</v>
      </c>
    </row>
    <row r="422" spans="1:15" x14ac:dyDescent="0.35">
      <c r="A422" s="2">
        <v>40721</v>
      </c>
      <c r="B422" s="3">
        <v>134.86316600000001</v>
      </c>
      <c r="C422" s="4">
        <f t="shared" si="24"/>
        <v>-1.1629719999999963</v>
      </c>
      <c r="D422" s="4">
        <f t="shared" si="22"/>
        <v>16.985925000000009</v>
      </c>
      <c r="E422" s="3">
        <v>57.95</v>
      </c>
      <c r="F422" s="3">
        <v>20</v>
      </c>
      <c r="G422" s="3">
        <v>138.76678850000002</v>
      </c>
      <c r="H422" s="4">
        <f t="shared" si="25"/>
        <v>-1.2873149999999782</v>
      </c>
      <c r="I422" s="4">
        <f t="shared" si="23"/>
        <v>18.386851500000006</v>
      </c>
      <c r="J422" s="3">
        <v>57.95</v>
      </c>
      <c r="K422" s="3">
        <v>20</v>
      </c>
      <c r="L422" s="13">
        <f>YEAR(Weekly_Prices[[#This Row],[Date]])</f>
        <v>2011</v>
      </c>
      <c r="M422" s="13">
        <f>MONTH(Weekly_Prices[[#This Row],[Date]])</f>
        <v>6</v>
      </c>
      <c r="N422" s="3" t="str">
        <f>TEXT(Weekly_Prices[[#This Row],[Date]],"MMMM")</f>
        <v>June</v>
      </c>
      <c r="O422" s="3" t="str">
        <f>YEAR(Weekly_Prices[[#This Row],[Date]])&amp;"-"&amp;TEXT(WEEKNUM(Weekly_Prices[[#This Row],[Date]],2),"00")</f>
        <v>2011-27</v>
      </c>
    </row>
    <row r="423" spans="1:15" x14ac:dyDescent="0.35">
      <c r="A423" s="2">
        <v>40728</v>
      </c>
      <c r="B423" s="3">
        <v>133.42817600000001</v>
      </c>
      <c r="C423" s="4">
        <f t="shared" si="24"/>
        <v>-1.4349899999999991</v>
      </c>
      <c r="D423" s="4">
        <f t="shared" si="22"/>
        <v>15.519047</v>
      </c>
      <c r="E423" s="3">
        <v>57.95</v>
      </c>
      <c r="F423" s="3">
        <v>20</v>
      </c>
      <c r="G423" s="3">
        <v>137.70202950000001</v>
      </c>
      <c r="H423" s="4">
        <f t="shared" si="25"/>
        <v>-1.0647590000000093</v>
      </c>
      <c r="I423" s="4">
        <f t="shared" si="23"/>
        <v>17.264801500000019</v>
      </c>
      <c r="J423" s="3">
        <v>57.95</v>
      </c>
      <c r="K423" s="3">
        <v>20</v>
      </c>
      <c r="L423" s="13">
        <f>YEAR(Weekly_Prices[[#This Row],[Date]])</f>
        <v>2011</v>
      </c>
      <c r="M423" s="13">
        <f>MONTH(Weekly_Prices[[#This Row],[Date]])</f>
        <v>7</v>
      </c>
      <c r="N423" s="3" t="str">
        <f>TEXT(Weekly_Prices[[#This Row],[Date]],"MMMM")</f>
        <v>July</v>
      </c>
      <c r="O423" s="3" t="str">
        <f>YEAR(Weekly_Prices[[#This Row],[Date]])&amp;"-"&amp;TEXT(WEEKNUM(Weekly_Prices[[#This Row],[Date]],2),"00")</f>
        <v>2011-28</v>
      </c>
    </row>
    <row r="424" spans="1:15" x14ac:dyDescent="0.35">
      <c r="A424" s="2">
        <v>40735</v>
      </c>
      <c r="B424" s="3">
        <v>134.17549000000002</v>
      </c>
      <c r="C424" s="4">
        <f t="shared" si="24"/>
        <v>0.74731400000001713</v>
      </c>
      <c r="D424" s="4">
        <f t="shared" si="22"/>
        <v>16.782009000000016</v>
      </c>
      <c r="E424" s="3">
        <v>57.95</v>
      </c>
      <c r="F424" s="3">
        <v>20</v>
      </c>
      <c r="G424" s="3">
        <v>138.39607999999998</v>
      </c>
      <c r="H424" s="4">
        <f t="shared" si="25"/>
        <v>0.69405049999997459</v>
      </c>
      <c r="I424" s="4">
        <f t="shared" si="23"/>
        <v>18.613755999999981</v>
      </c>
      <c r="J424" s="3">
        <v>57.95</v>
      </c>
      <c r="K424" s="3">
        <v>20</v>
      </c>
      <c r="L424" s="13">
        <f>YEAR(Weekly_Prices[[#This Row],[Date]])</f>
        <v>2011</v>
      </c>
      <c r="M424" s="13">
        <f>MONTH(Weekly_Prices[[#This Row],[Date]])</f>
        <v>7</v>
      </c>
      <c r="N424" s="3" t="str">
        <f>TEXT(Weekly_Prices[[#This Row],[Date]],"MMMM")</f>
        <v>July</v>
      </c>
      <c r="O424" s="3" t="str">
        <f>YEAR(Weekly_Prices[[#This Row],[Date]])&amp;"-"&amp;TEXT(WEEKNUM(Weekly_Prices[[#This Row],[Date]],2),"00")</f>
        <v>2011-29</v>
      </c>
    </row>
    <row r="425" spans="1:15" x14ac:dyDescent="0.35">
      <c r="A425" s="2">
        <v>40742</v>
      </c>
      <c r="B425" s="3">
        <v>134.97344799999999</v>
      </c>
      <c r="C425" s="4">
        <f t="shared" si="24"/>
        <v>0.79795799999996575</v>
      </c>
      <c r="D425" s="4">
        <f t="shared" si="22"/>
        <v>18.124769999999998</v>
      </c>
      <c r="E425" s="3">
        <v>57.95</v>
      </c>
      <c r="F425" s="3">
        <v>20</v>
      </c>
      <c r="G425" s="3">
        <v>139.36052650000002</v>
      </c>
      <c r="H425" s="4">
        <f t="shared" si="25"/>
        <v>0.96444650000003662</v>
      </c>
      <c r="I425" s="4">
        <f t="shared" si="23"/>
        <v>20.120604500000013</v>
      </c>
      <c r="J425" s="3">
        <v>57.95</v>
      </c>
      <c r="K425" s="3">
        <v>20</v>
      </c>
      <c r="L425" s="13">
        <f>YEAR(Weekly_Prices[[#This Row],[Date]])</f>
        <v>2011</v>
      </c>
      <c r="M425" s="13">
        <f>MONTH(Weekly_Prices[[#This Row],[Date]])</f>
        <v>7</v>
      </c>
      <c r="N425" s="3" t="str">
        <f>TEXT(Weekly_Prices[[#This Row],[Date]],"MMMM")</f>
        <v>July</v>
      </c>
      <c r="O425" s="3" t="str">
        <f>YEAR(Weekly_Prices[[#This Row],[Date]])&amp;"-"&amp;TEXT(WEEKNUM(Weekly_Prices[[#This Row],[Date]],2),"00")</f>
        <v>2011-30</v>
      </c>
    </row>
    <row r="426" spans="1:15" x14ac:dyDescent="0.35">
      <c r="A426" s="2">
        <v>40749</v>
      </c>
      <c r="B426" s="3">
        <v>135.66107599999998</v>
      </c>
      <c r="C426" s="4">
        <f t="shared" si="24"/>
        <v>0.68762799999998947</v>
      </c>
      <c r="D426" s="4">
        <f t="shared" si="22"/>
        <v>19.046777999999989</v>
      </c>
      <c r="E426" s="3">
        <v>57.95</v>
      </c>
      <c r="F426" s="3">
        <v>20</v>
      </c>
      <c r="G426" s="3">
        <v>139.954891</v>
      </c>
      <c r="H426" s="4">
        <f t="shared" si="25"/>
        <v>0.59436449999998331</v>
      </c>
      <c r="I426" s="4">
        <f t="shared" si="23"/>
        <v>20.929558</v>
      </c>
      <c r="J426" s="3">
        <v>57.95</v>
      </c>
      <c r="K426" s="3">
        <v>20</v>
      </c>
      <c r="L426" s="13">
        <f>YEAR(Weekly_Prices[[#This Row],[Date]])</f>
        <v>2011</v>
      </c>
      <c r="M426" s="13">
        <f>MONTH(Weekly_Prices[[#This Row],[Date]])</f>
        <v>7</v>
      </c>
      <c r="N426" s="3" t="str">
        <f>TEXT(Weekly_Prices[[#This Row],[Date]],"MMMM")</f>
        <v>July</v>
      </c>
      <c r="O426" s="3" t="str">
        <f>YEAR(Weekly_Prices[[#This Row],[Date]])&amp;"-"&amp;TEXT(WEEKNUM(Weekly_Prices[[#This Row],[Date]],2),"00")</f>
        <v>2011-31</v>
      </c>
    </row>
    <row r="427" spans="1:15" x14ac:dyDescent="0.35">
      <c r="A427" s="2">
        <v>40756</v>
      </c>
      <c r="B427" s="3">
        <v>136.066812</v>
      </c>
      <c r="C427" s="4">
        <f t="shared" si="24"/>
        <v>0.40573600000001875</v>
      </c>
      <c r="D427" s="4">
        <f t="shared" si="22"/>
        <v>19.557785999999993</v>
      </c>
      <c r="E427" s="3">
        <v>57.95</v>
      </c>
      <c r="F427" s="3">
        <v>20</v>
      </c>
      <c r="G427" s="3">
        <v>140.55483950000001</v>
      </c>
      <c r="H427" s="4">
        <f t="shared" si="25"/>
        <v>0.59994850000001065</v>
      </c>
      <c r="I427" s="4">
        <f t="shared" si="23"/>
        <v>21.526380500000016</v>
      </c>
      <c r="J427" s="3">
        <v>57.95</v>
      </c>
      <c r="K427" s="3">
        <v>20</v>
      </c>
      <c r="L427" s="13">
        <f>YEAR(Weekly_Prices[[#This Row],[Date]])</f>
        <v>2011</v>
      </c>
      <c r="M427" s="13">
        <f>MONTH(Weekly_Prices[[#This Row],[Date]])</f>
        <v>8</v>
      </c>
      <c r="N427" s="3" t="str">
        <f>TEXT(Weekly_Prices[[#This Row],[Date]],"MMMM")</f>
        <v>August</v>
      </c>
      <c r="O427" s="3" t="str">
        <f>YEAR(Weekly_Prices[[#This Row],[Date]])&amp;"-"&amp;TEXT(WEEKNUM(Weekly_Prices[[#This Row],[Date]],2),"00")</f>
        <v>2011-32</v>
      </c>
    </row>
    <row r="428" spans="1:15" x14ac:dyDescent="0.35">
      <c r="A428" s="2">
        <v>40763</v>
      </c>
      <c r="B428" s="3">
        <v>136.46350199999998</v>
      </c>
      <c r="C428" s="4">
        <f t="shared" si="24"/>
        <v>0.39668999999997823</v>
      </c>
      <c r="D428" s="4">
        <f t="shared" si="22"/>
        <v>20.117856999999972</v>
      </c>
      <c r="E428" s="3">
        <v>57.95</v>
      </c>
      <c r="F428" s="3">
        <v>20</v>
      </c>
      <c r="G428" s="3">
        <v>140.83914050000001</v>
      </c>
      <c r="H428" s="4">
        <f t="shared" si="25"/>
        <v>0.28430099999999925</v>
      </c>
      <c r="I428" s="4">
        <f t="shared" si="23"/>
        <v>21.895034500000008</v>
      </c>
      <c r="J428" s="3">
        <v>57.95</v>
      </c>
      <c r="K428" s="3">
        <v>20</v>
      </c>
      <c r="L428" s="13">
        <f>YEAR(Weekly_Prices[[#This Row],[Date]])</f>
        <v>2011</v>
      </c>
      <c r="M428" s="13">
        <f>MONTH(Weekly_Prices[[#This Row],[Date]])</f>
        <v>8</v>
      </c>
      <c r="N428" s="3" t="str">
        <f>TEXT(Weekly_Prices[[#This Row],[Date]],"MMMM")</f>
        <v>August</v>
      </c>
      <c r="O428" s="3" t="str">
        <f>YEAR(Weekly_Prices[[#This Row],[Date]])&amp;"-"&amp;TEXT(WEEKNUM(Weekly_Prices[[#This Row],[Date]],2),"00")</f>
        <v>2011-33</v>
      </c>
    </row>
    <row r="429" spans="1:15" x14ac:dyDescent="0.35">
      <c r="A429" s="2">
        <v>40770</v>
      </c>
      <c r="B429" s="3">
        <v>135.947734</v>
      </c>
      <c r="C429" s="4">
        <f t="shared" si="24"/>
        <v>-0.51576799999998002</v>
      </c>
      <c r="D429" s="4">
        <f t="shared" si="22"/>
        <v>19.610495999999998</v>
      </c>
      <c r="E429" s="3">
        <v>57.95</v>
      </c>
      <c r="F429" s="3">
        <v>20</v>
      </c>
      <c r="G429" s="3">
        <v>140.35692399999999</v>
      </c>
      <c r="H429" s="4">
        <f t="shared" si="25"/>
        <v>-0.48221650000002114</v>
      </c>
      <c r="I429" s="4">
        <f t="shared" si="23"/>
        <v>21.570247999999992</v>
      </c>
      <c r="J429" s="3">
        <v>57.95</v>
      </c>
      <c r="K429" s="3">
        <v>20</v>
      </c>
      <c r="L429" s="13">
        <f>YEAR(Weekly_Prices[[#This Row],[Date]])</f>
        <v>2011</v>
      </c>
      <c r="M429" s="13">
        <f>MONTH(Weekly_Prices[[#This Row],[Date]])</f>
        <v>8</v>
      </c>
      <c r="N429" s="3" t="str">
        <f>TEXT(Weekly_Prices[[#This Row],[Date]],"MMMM")</f>
        <v>August</v>
      </c>
      <c r="O429" s="3" t="str">
        <f>YEAR(Weekly_Prices[[#This Row],[Date]])&amp;"-"&amp;TEXT(WEEKNUM(Weekly_Prices[[#This Row],[Date]],2),"00")</f>
        <v>2011-34</v>
      </c>
    </row>
    <row r="430" spans="1:15" x14ac:dyDescent="0.35">
      <c r="A430" s="2">
        <v>40777</v>
      </c>
      <c r="B430" s="3">
        <v>134.55921599999999</v>
      </c>
      <c r="C430" s="4">
        <f t="shared" si="24"/>
        <v>-1.3885180000000048</v>
      </c>
      <c r="D430" s="4">
        <f t="shared" si="22"/>
        <v>18.916618</v>
      </c>
      <c r="E430" s="3">
        <v>57.95</v>
      </c>
      <c r="F430" s="3">
        <v>20</v>
      </c>
      <c r="G430" s="3">
        <v>139.04476099999999</v>
      </c>
      <c r="H430" s="4">
        <f t="shared" si="25"/>
        <v>-1.3121629999999982</v>
      </c>
      <c r="I430" s="4">
        <f t="shared" si="23"/>
        <v>21.144316000000003</v>
      </c>
      <c r="J430" s="3">
        <v>57.95</v>
      </c>
      <c r="K430" s="3">
        <v>20</v>
      </c>
      <c r="L430" s="13">
        <f>YEAR(Weekly_Prices[[#This Row],[Date]])</f>
        <v>2011</v>
      </c>
      <c r="M430" s="13">
        <f>MONTH(Weekly_Prices[[#This Row],[Date]])</f>
        <v>8</v>
      </c>
      <c r="N430" s="3" t="str">
        <f>TEXT(Weekly_Prices[[#This Row],[Date]],"MMMM")</f>
        <v>August</v>
      </c>
      <c r="O430" s="3" t="str">
        <f>YEAR(Weekly_Prices[[#This Row],[Date]])&amp;"-"&amp;TEXT(WEEKNUM(Weekly_Prices[[#This Row],[Date]],2),"00")</f>
        <v>2011-35</v>
      </c>
    </row>
    <row r="431" spans="1:15" x14ac:dyDescent="0.35">
      <c r="A431" s="2">
        <v>40784</v>
      </c>
      <c r="B431" s="3">
        <v>134.317576</v>
      </c>
      <c r="C431" s="4">
        <f t="shared" si="24"/>
        <v>-0.24163999999998964</v>
      </c>
      <c r="D431" s="4">
        <f t="shared" si="22"/>
        <v>19.334137000000013</v>
      </c>
      <c r="E431" s="3">
        <v>57.95</v>
      </c>
      <c r="F431" s="3">
        <v>20</v>
      </c>
      <c r="G431" s="3">
        <v>138.715473</v>
      </c>
      <c r="H431" s="4">
        <f t="shared" si="25"/>
        <v>-0.32928799999999114</v>
      </c>
      <c r="I431" s="4">
        <f t="shared" si="23"/>
        <v>21.344504999999998</v>
      </c>
      <c r="J431" s="3">
        <v>57.95</v>
      </c>
      <c r="K431" s="3">
        <v>20</v>
      </c>
      <c r="L431" s="13">
        <f>YEAR(Weekly_Prices[[#This Row],[Date]])</f>
        <v>2011</v>
      </c>
      <c r="M431" s="13">
        <f>MONTH(Weekly_Prices[[#This Row],[Date]])</f>
        <v>8</v>
      </c>
      <c r="N431" s="3" t="str">
        <f>TEXT(Weekly_Prices[[#This Row],[Date]],"MMMM")</f>
        <v>August</v>
      </c>
      <c r="O431" s="3" t="str">
        <f>YEAR(Weekly_Prices[[#This Row],[Date]])&amp;"-"&amp;TEXT(WEEKNUM(Weekly_Prices[[#This Row],[Date]],2),"00")</f>
        <v>2011-36</v>
      </c>
    </row>
    <row r="432" spans="1:15" x14ac:dyDescent="0.35">
      <c r="A432" s="2">
        <v>40791</v>
      </c>
      <c r="B432" s="3">
        <v>134.619426</v>
      </c>
      <c r="C432" s="4">
        <f t="shared" si="24"/>
        <v>0.30185000000000173</v>
      </c>
      <c r="D432" s="4">
        <f t="shared" si="22"/>
        <v>20.028480000000016</v>
      </c>
      <c r="E432" s="3">
        <v>57.95</v>
      </c>
      <c r="F432" s="3">
        <v>20</v>
      </c>
      <c r="G432" s="3">
        <v>138.95617799999999</v>
      </c>
      <c r="H432" s="4">
        <f t="shared" si="25"/>
        <v>0.24070499999999129</v>
      </c>
      <c r="I432" s="4">
        <f t="shared" si="23"/>
        <v>21.867961999999991</v>
      </c>
      <c r="J432" s="3">
        <v>57.95</v>
      </c>
      <c r="K432" s="3">
        <v>20</v>
      </c>
      <c r="L432" s="13">
        <f>YEAR(Weekly_Prices[[#This Row],[Date]])</f>
        <v>2011</v>
      </c>
      <c r="M432" s="13">
        <f>MONTH(Weekly_Prices[[#This Row],[Date]])</f>
        <v>9</v>
      </c>
      <c r="N432" s="3" t="str">
        <f>TEXT(Weekly_Prices[[#This Row],[Date]],"MMMM")</f>
        <v>September</v>
      </c>
      <c r="O432" s="3" t="str">
        <f>YEAR(Weekly_Prices[[#This Row],[Date]])&amp;"-"&amp;TEXT(WEEKNUM(Weekly_Prices[[#This Row],[Date]],2),"00")</f>
        <v>2011-37</v>
      </c>
    </row>
    <row r="433" spans="1:15" x14ac:dyDescent="0.35">
      <c r="A433" s="2">
        <v>40798</v>
      </c>
      <c r="B433" s="3">
        <v>135.003197</v>
      </c>
      <c r="C433" s="4">
        <f t="shared" si="24"/>
        <v>0.38377099999999587</v>
      </c>
      <c r="D433" s="4">
        <f t="shared" si="22"/>
        <v>20.346653000000003</v>
      </c>
      <c r="E433" s="3">
        <v>57.95</v>
      </c>
      <c r="F433" s="3">
        <v>20</v>
      </c>
      <c r="G433" s="3">
        <v>139.3984595</v>
      </c>
      <c r="H433" s="4">
        <f t="shared" si="25"/>
        <v>0.4422815000000071</v>
      </c>
      <c r="I433" s="4">
        <f t="shared" si="23"/>
        <v>22.224935499999987</v>
      </c>
      <c r="J433" s="3">
        <v>57.95</v>
      </c>
      <c r="K433" s="3">
        <v>20</v>
      </c>
      <c r="L433" s="13">
        <f>YEAR(Weekly_Prices[[#This Row],[Date]])</f>
        <v>2011</v>
      </c>
      <c r="M433" s="13">
        <f>MONTH(Weekly_Prices[[#This Row],[Date]])</f>
        <v>9</v>
      </c>
      <c r="N433" s="3" t="str">
        <f>TEXT(Weekly_Prices[[#This Row],[Date]],"MMMM")</f>
        <v>September</v>
      </c>
      <c r="O433" s="3" t="str">
        <f>YEAR(Weekly_Prices[[#This Row],[Date]])&amp;"-"&amp;TEXT(WEEKNUM(Weekly_Prices[[#This Row],[Date]],2),"00")</f>
        <v>2011-38</v>
      </c>
    </row>
    <row r="434" spans="1:15" x14ac:dyDescent="0.35">
      <c r="A434" s="2">
        <v>40805</v>
      </c>
      <c r="B434" s="3">
        <v>135.40180799999999</v>
      </c>
      <c r="C434" s="4">
        <f t="shared" si="24"/>
        <v>0.39861099999998828</v>
      </c>
      <c r="D434" s="4">
        <f t="shared" si="22"/>
        <v>20.337116999999978</v>
      </c>
      <c r="E434" s="3">
        <v>57.95</v>
      </c>
      <c r="F434" s="3">
        <v>20</v>
      </c>
      <c r="G434" s="3">
        <v>139.86153999999999</v>
      </c>
      <c r="H434" s="4">
        <f t="shared" si="25"/>
        <v>0.46308049999998957</v>
      </c>
      <c r="I434" s="4">
        <f t="shared" si="23"/>
        <v>22.142198999999991</v>
      </c>
      <c r="J434" s="3">
        <v>57.95</v>
      </c>
      <c r="K434" s="3">
        <v>20</v>
      </c>
      <c r="L434" s="13">
        <f>YEAR(Weekly_Prices[[#This Row],[Date]])</f>
        <v>2011</v>
      </c>
      <c r="M434" s="13">
        <f>MONTH(Weekly_Prices[[#This Row],[Date]])</f>
        <v>9</v>
      </c>
      <c r="N434" s="3" t="str">
        <f>TEXT(Weekly_Prices[[#This Row],[Date]],"MMMM")</f>
        <v>September</v>
      </c>
      <c r="O434" s="3" t="str">
        <f>YEAR(Weekly_Prices[[#This Row],[Date]])&amp;"-"&amp;TEXT(WEEKNUM(Weekly_Prices[[#This Row],[Date]],2),"00")</f>
        <v>2011-39</v>
      </c>
    </row>
    <row r="435" spans="1:15" x14ac:dyDescent="0.35">
      <c r="A435" s="2">
        <v>40812</v>
      </c>
      <c r="B435" s="3">
        <v>135.65406400000001</v>
      </c>
      <c r="C435" s="4">
        <f t="shared" si="24"/>
        <v>0.25225600000001691</v>
      </c>
      <c r="D435" s="4">
        <f t="shared" si="22"/>
        <v>20.259599000000009</v>
      </c>
      <c r="E435" s="3">
        <v>57.95</v>
      </c>
      <c r="F435" s="3">
        <v>20</v>
      </c>
      <c r="G435" s="3">
        <v>140.14028250000001</v>
      </c>
      <c r="H435" s="4">
        <f t="shared" si="25"/>
        <v>0.27874250000002121</v>
      </c>
      <c r="I435" s="4">
        <f t="shared" si="23"/>
        <v>22.034721500000018</v>
      </c>
      <c r="J435" s="3">
        <v>57.95</v>
      </c>
      <c r="K435" s="3">
        <v>20</v>
      </c>
      <c r="L435" s="13">
        <f>YEAR(Weekly_Prices[[#This Row],[Date]])</f>
        <v>2011</v>
      </c>
      <c r="M435" s="13">
        <f>MONTH(Weekly_Prices[[#This Row],[Date]])</f>
        <v>9</v>
      </c>
      <c r="N435" s="3" t="str">
        <f>TEXT(Weekly_Prices[[#This Row],[Date]],"MMMM")</f>
        <v>September</v>
      </c>
      <c r="O435" s="3" t="str">
        <f>YEAR(Weekly_Prices[[#This Row],[Date]])&amp;"-"&amp;TEXT(WEEKNUM(Weekly_Prices[[#This Row],[Date]],2),"00")</f>
        <v>2011-40</v>
      </c>
    </row>
    <row r="436" spans="1:15" x14ac:dyDescent="0.35">
      <c r="A436" s="2">
        <v>40819</v>
      </c>
      <c r="B436" s="3">
        <v>135.02150800000001</v>
      </c>
      <c r="C436" s="4">
        <f t="shared" si="24"/>
        <v>-0.6325559999999939</v>
      </c>
      <c r="D436" s="4">
        <f t="shared" si="22"/>
        <v>19.008423000000022</v>
      </c>
      <c r="E436" s="3">
        <v>57.95</v>
      </c>
      <c r="F436" s="3">
        <v>20</v>
      </c>
      <c r="G436" s="3">
        <v>139.76582050000002</v>
      </c>
      <c r="H436" s="4">
        <f t="shared" si="25"/>
        <v>-0.37446199999999408</v>
      </c>
      <c r="I436" s="4">
        <f t="shared" si="23"/>
        <v>20.795512500000015</v>
      </c>
      <c r="J436" s="3">
        <v>57.95</v>
      </c>
      <c r="K436" s="3">
        <v>20</v>
      </c>
      <c r="L436" s="13">
        <f>YEAR(Weekly_Prices[[#This Row],[Date]])</f>
        <v>2011</v>
      </c>
      <c r="M436" s="13">
        <f>MONTH(Weekly_Prices[[#This Row],[Date]])</f>
        <v>10</v>
      </c>
      <c r="N436" s="3" t="str">
        <f>TEXT(Weekly_Prices[[#This Row],[Date]],"MMMM")</f>
        <v>October</v>
      </c>
      <c r="O436" s="3" t="str">
        <f>YEAR(Weekly_Prices[[#This Row],[Date]])&amp;"-"&amp;TEXT(WEEKNUM(Weekly_Prices[[#This Row],[Date]],2),"00")</f>
        <v>2011-41</v>
      </c>
    </row>
    <row r="437" spans="1:15" x14ac:dyDescent="0.35">
      <c r="A437" s="2">
        <v>40826</v>
      </c>
      <c r="B437" s="3">
        <v>134.47208999999998</v>
      </c>
      <c r="C437" s="4">
        <f t="shared" si="24"/>
        <v>-0.54941800000003127</v>
      </c>
      <c r="D437" s="4">
        <f t="shared" si="22"/>
        <v>17.689130999999989</v>
      </c>
      <c r="E437" s="3">
        <v>57.95</v>
      </c>
      <c r="F437" s="3">
        <v>20</v>
      </c>
      <c r="G437" s="3">
        <v>139.5203975</v>
      </c>
      <c r="H437" s="4">
        <f t="shared" si="25"/>
        <v>-0.2454230000000166</v>
      </c>
      <c r="I437" s="4">
        <f t="shared" si="23"/>
        <v>19.746496500000006</v>
      </c>
      <c r="J437" s="3">
        <v>57.95</v>
      </c>
      <c r="K437" s="3">
        <v>20</v>
      </c>
      <c r="L437" s="13">
        <f>YEAR(Weekly_Prices[[#This Row],[Date]])</f>
        <v>2011</v>
      </c>
      <c r="M437" s="13">
        <f>MONTH(Weekly_Prices[[#This Row],[Date]])</f>
        <v>10</v>
      </c>
      <c r="N437" s="3" t="str">
        <f>TEXT(Weekly_Prices[[#This Row],[Date]],"MMMM")</f>
        <v>October</v>
      </c>
      <c r="O437" s="3" t="str">
        <f>YEAR(Weekly_Prices[[#This Row],[Date]])&amp;"-"&amp;TEXT(WEEKNUM(Weekly_Prices[[#This Row],[Date]],2),"00")</f>
        <v>2011-42</v>
      </c>
    </row>
    <row r="438" spans="1:15" x14ac:dyDescent="0.35">
      <c r="A438" s="2">
        <v>40833</v>
      </c>
      <c r="B438" s="3">
        <v>134.48864399999999</v>
      </c>
      <c r="C438" s="4">
        <f t="shared" si="24"/>
        <v>1.6554000000013502E-2</v>
      </c>
      <c r="D438" s="4">
        <f t="shared" si="22"/>
        <v>17.205041999999992</v>
      </c>
      <c r="E438" s="3">
        <v>57.95</v>
      </c>
      <c r="F438" s="3">
        <v>20</v>
      </c>
      <c r="G438" s="3">
        <v>139.725461</v>
      </c>
      <c r="H438" s="4">
        <f t="shared" si="25"/>
        <v>0.20506349999999429</v>
      </c>
      <c r="I438" s="4">
        <f t="shared" si="23"/>
        <v>19.122249999999994</v>
      </c>
      <c r="J438" s="3">
        <v>57.95</v>
      </c>
      <c r="K438" s="3">
        <v>20</v>
      </c>
      <c r="L438" s="13">
        <f>YEAR(Weekly_Prices[[#This Row],[Date]])</f>
        <v>2011</v>
      </c>
      <c r="M438" s="13">
        <f>MONTH(Weekly_Prices[[#This Row],[Date]])</f>
        <v>10</v>
      </c>
      <c r="N438" s="3" t="str">
        <f>TEXT(Weekly_Prices[[#This Row],[Date]],"MMMM")</f>
        <v>October</v>
      </c>
      <c r="O438" s="3" t="str">
        <f>YEAR(Weekly_Prices[[#This Row],[Date]])&amp;"-"&amp;TEXT(WEEKNUM(Weekly_Prices[[#This Row],[Date]],2),"00")</f>
        <v>2011-43</v>
      </c>
    </row>
    <row r="439" spans="1:15" x14ac:dyDescent="0.35">
      <c r="A439" s="2">
        <v>40840</v>
      </c>
      <c r="B439" s="3">
        <v>134.65919600000001</v>
      </c>
      <c r="C439" s="4">
        <f t="shared" si="24"/>
        <v>0.17055200000001491</v>
      </c>
      <c r="D439" s="4">
        <f t="shared" ref="D439:D502" si="26">B439-B387</f>
        <v>16.919931999999989</v>
      </c>
      <c r="E439" s="3">
        <v>57.95</v>
      </c>
      <c r="F439" s="3">
        <v>20</v>
      </c>
      <c r="G439" s="3">
        <v>140.19426700000002</v>
      </c>
      <c r="H439" s="4">
        <f t="shared" si="25"/>
        <v>0.46880600000002914</v>
      </c>
      <c r="I439" s="4">
        <f t="shared" ref="I439:I502" si="27">G439-G387</f>
        <v>19.020245000000031</v>
      </c>
      <c r="J439" s="3">
        <v>57.95</v>
      </c>
      <c r="K439" s="3">
        <v>20</v>
      </c>
      <c r="L439" s="13">
        <f>YEAR(Weekly_Prices[[#This Row],[Date]])</f>
        <v>2011</v>
      </c>
      <c r="M439" s="13">
        <f>MONTH(Weekly_Prices[[#This Row],[Date]])</f>
        <v>10</v>
      </c>
      <c r="N439" s="3" t="str">
        <f>TEXT(Weekly_Prices[[#This Row],[Date]],"MMMM")</f>
        <v>October</v>
      </c>
      <c r="O439" s="3" t="str">
        <f>YEAR(Weekly_Prices[[#This Row],[Date]])&amp;"-"&amp;TEXT(WEEKNUM(Weekly_Prices[[#This Row],[Date]],2),"00")</f>
        <v>2011-44</v>
      </c>
    </row>
    <row r="440" spans="1:15" x14ac:dyDescent="0.35">
      <c r="A440" s="2">
        <v>40847</v>
      </c>
      <c r="B440" s="3">
        <v>134.73461600000002</v>
      </c>
      <c r="C440" s="4">
        <f t="shared" si="24"/>
        <v>7.5420000000008258E-2</v>
      </c>
      <c r="D440" s="4">
        <f t="shared" si="26"/>
        <v>16.557101000000003</v>
      </c>
      <c r="E440" s="3">
        <v>57.95</v>
      </c>
      <c r="F440" s="3">
        <v>20</v>
      </c>
      <c r="G440" s="3">
        <v>140.27105</v>
      </c>
      <c r="H440" s="4">
        <f t="shared" si="25"/>
        <v>7.6782999999977619E-2</v>
      </c>
      <c r="I440" s="4">
        <f t="shared" si="27"/>
        <v>18.606608000000008</v>
      </c>
      <c r="J440" s="3">
        <v>57.95</v>
      </c>
      <c r="K440" s="3">
        <v>20</v>
      </c>
      <c r="L440" s="13">
        <f>YEAR(Weekly_Prices[[#This Row],[Date]])</f>
        <v>2011</v>
      </c>
      <c r="M440" s="13">
        <f>MONTH(Weekly_Prices[[#This Row],[Date]])</f>
        <v>10</v>
      </c>
      <c r="N440" s="3" t="str">
        <f>TEXT(Weekly_Prices[[#This Row],[Date]],"MMMM")</f>
        <v>October</v>
      </c>
      <c r="O440" s="3" t="str">
        <f>YEAR(Weekly_Prices[[#This Row],[Date]])&amp;"-"&amp;TEXT(WEEKNUM(Weekly_Prices[[#This Row],[Date]],2),"00")</f>
        <v>2011-45</v>
      </c>
    </row>
    <row r="441" spans="1:15" x14ac:dyDescent="0.35">
      <c r="A441" s="2">
        <v>40854</v>
      </c>
      <c r="B441" s="3">
        <v>134.40536799999998</v>
      </c>
      <c r="C441" s="4">
        <f t="shared" si="24"/>
        <v>-0.32924800000003529</v>
      </c>
      <c r="D441" s="4">
        <f t="shared" si="26"/>
        <v>15.733972999999978</v>
      </c>
      <c r="E441" s="3">
        <v>57.95</v>
      </c>
      <c r="F441" s="3">
        <v>20</v>
      </c>
      <c r="G441" s="3">
        <v>140.41673449999999</v>
      </c>
      <c r="H441" s="4">
        <f t="shared" si="25"/>
        <v>0.14568449999998734</v>
      </c>
      <c r="I441" s="4">
        <f t="shared" si="27"/>
        <v>18.22494949999998</v>
      </c>
      <c r="J441" s="3">
        <v>57.95</v>
      </c>
      <c r="K441" s="3">
        <v>20</v>
      </c>
      <c r="L441" s="13">
        <f>YEAR(Weekly_Prices[[#This Row],[Date]])</f>
        <v>2011</v>
      </c>
      <c r="M441" s="13">
        <f>MONTH(Weekly_Prices[[#This Row],[Date]])</f>
        <v>11</v>
      </c>
      <c r="N441" s="3" t="str">
        <f>TEXT(Weekly_Prices[[#This Row],[Date]],"MMMM")</f>
        <v>November</v>
      </c>
      <c r="O441" s="3" t="str">
        <f>YEAR(Weekly_Prices[[#This Row],[Date]])&amp;"-"&amp;TEXT(WEEKNUM(Weekly_Prices[[#This Row],[Date]],2),"00")</f>
        <v>2011-46</v>
      </c>
    </row>
    <row r="442" spans="1:15" x14ac:dyDescent="0.35">
      <c r="A442" s="2">
        <v>40861</v>
      </c>
      <c r="B442" s="3">
        <v>133.67629999999997</v>
      </c>
      <c r="C442" s="4">
        <f t="shared" si="24"/>
        <v>-0.72906800000001226</v>
      </c>
      <c r="D442" s="4">
        <f t="shared" si="26"/>
        <v>14.87923899999997</v>
      </c>
      <c r="E442" s="3">
        <v>57.95</v>
      </c>
      <c r="F442" s="3">
        <v>20</v>
      </c>
      <c r="G442" s="3">
        <v>140.53224349999999</v>
      </c>
      <c r="H442" s="4">
        <f t="shared" si="25"/>
        <v>0.11550900000000297</v>
      </c>
      <c r="I442" s="4">
        <f t="shared" si="27"/>
        <v>18.02652049999999</v>
      </c>
      <c r="J442" s="3">
        <v>57.95</v>
      </c>
      <c r="K442" s="3">
        <v>20</v>
      </c>
      <c r="L442" s="13">
        <f>YEAR(Weekly_Prices[[#This Row],[Date]])</f>
        <v>2011</v>
      </c>
      <c r="M442" s="13">
        <f>MONTH(Weekly_Prices[[#This Row],[Date]])</f>
        <v>11</v>
      </c>
      <c r="N442" s="3" t="str">
        <f>TEXT(Weekly_Prices[[#This Row],[Date]],"MMMM")</f>
        <v>November</v>
      </c>
      <c r="O442" s="3" t="str">
        <f>YEAR(Weekly_Prices[[#This Row],[Date]])&amp;"-"&amp;TEXT(WEEKNUM(Weekly_Prices[[#This Row],[Date]],2),"00")</f>
        <v>2011-47</v>
      </c>
    </row>
    <row r="443" spans="1:15" x14ac:dyDescent="0.35">
      <c r="A443" s="2">
        <v>40868</v>
      </c>
      <c r="B443" s="3">
        <v>133.37502000000001</v>
      </c>
      <c r="C443" s="4">
        <f t="shared" si="24"/>
        <v>-0.30127999999996291</v>
      </c>
      <c r="D443" s="4">
        <f t="shared" si="26"/>
        <v>14.386454000000001</v>
      </c>
      <c r="E443" s="3">
        <v>57.95</v>
      </c>
      <c r="F443" s="3">
        <v>20</v>
      </c>
      <c r="G443" s="3">
        <v>141.06371350000001</v>
      </c>
      <c r="H443" s="4">
        <f t="shared" si="25"/>
        <v>0.53147000000001299</v>
      </c>
      <c r="I443" s="4">
        <f t="shared" si="27"/>
        <v>18.319069499999998</v>
      </c>
      <c r="J443" s="3">
        <v>57.95</v>
      </c>
      <c r="K443" s="3">
        <v>20</v>
      </c>
      <c r="L443" s="13">
        <f>YEAR(Weekly_Prices[[#This Row],[Date]])</f>
        <v>2011</v>
      </c>
      <c r="M443" s="13">
        <f>MONTH(Weekly_Prices[[#This Row],[Date]])</f>
        <v>11</v>
      </c>
      <c r="N443" s="3" t="str">
        <f>TEXT(Weekly_Prices[[#This Row],[Date]],"MMMM")</f>
        <v>November</v>
      </c>
      <c r="O443" s="3" t="str">
        <f>YEAR(Weekly_Prices[[#This Row],[Date]])&amp;"-"&amp;TEXT(WEEKNUM(Weekly_Prices[[#This Row],[Date]],2),"00")</f>
        <v>2011-48</v>
      </c>
    </row>
    <row r="444" spans="1:15" x14ac:dyDescent="0.35">
      <c r="A444" s="2">
        <v>40875</v>
      </c>
      <c r="B444" s="3">
        <v>133.167687</v>
      </c>
      <c r="C444" s="4">
        <f t="shared" si="24"/>
        <v>-0.20733300000000554</v>
      </c>
      <c r="D444" s="4">
        <f t="shared" si="26"/>
        <v>13.96002</v>
      </c>
      <c r="E444" s="3">
        <v>57.95</v>
      </c>
      <c r="F444" s="3">
        <v>20</v>
      </c>
      <c r="G444" s="3">
        <v>141.09594250000001</v>
      </c>
      <c r="H444" s="4">
        <f t="shared" si="25"/>
        <v>3.2229000000000951E-2</v>
      </c>
      <c r="I444" s="4">
        <f t="shared" si="27"/>
        <v>17.895903500000003</v>
      </c>
      <c r="J444" s="3">
        <v>57.95</v>
      </c>
      <c r="K444" s="3">
        <v>20</v>
      </c>
      <c r="L444" s="13">
        <f>YEAR(Weekly_Prices[[#This Row],[Date]])</f>
        <v>2011</v>
      </c>
      <c r="M444" s="13">
        <f>MONTH(Weekly_Prices[[#This Row],[Date]])</f>
        <v>11</v>
      </c>
      <c r="N444" s="3" t="str">
        <f>TEXT(Weekly_Prices[[#This Row],[Date]],"MMMM")</f>
        <v>November</v>
      </c>
      <c r="O444" s="3" t="str">
        <f>YEAR(Weekly_Prices[[#This Row],[Date]])&amp;"-"&amp;TEXT(WEEKNUM(Weekly_Prices[[#This Row],[Date]],2),"00")</f>
        <v>2011-49</v>
      </c>
    </row>
    <row r="445" spans="1:15" x14ac:dyDescent="0.35">
      <c r="A445" s="2">
        <v>40882</v>
      </c>
      <c r="B445" s="3">
        <v>132.777108</v>
      </c>
      <c r="C445" s="4">
        <f t="shared" si="24"/>
        <v>-0.39057900000000245</v>
      </c>
      <c r="D445" s="4">
        <f t="shared" si="26"/>
        <v>12.235602</v>
      </c>
      <c r="E445" s="3">
        <v>57.95</v>
      </c>
      <c r="F445" s="3">
        <v>20</v>
      </c>
      <c r="G445" s="3">
        <v>140.99401</v>
      </c>
      <c r="H445" s="4">
        <f t="shared" si="25"/>
        <v>-0.10193250000000376</v>
      </c>
      <c r="I445" s="4">
        <f t="shared" si="27"/>
        <v>16.376170000000002</v>
      </c>
      <c r="J445" s="3">
        <v>57.95</v>
      </c>
      <c r="K445" s="3">
        <v>20</v>
      </c>
      <c r="L445" s="13">
        <f>YEAR(Weekly_Prices[[#This Row],[Date]])</f>
        <v>2011</v>
      </c>
      <c r="M445" s="13">
        <f>MONTH(Weekly_Prices[[#This Row],[Date]])</f>
        <v>12</v>
      </c>
      <c r="N445" s="3" t="str">
        <f>TEXT(Weekly_Prices[[#This Row],[Date]],"MMMM")</f>
        <v>December</v>
      </c>
      <c r="O445" s="3" t="str">
        <f>YEAR(Weekly_Prices[[#This Row],[Date]])&amp;"-"&amp;TEXT(WEEKNUM(Weekly_Prices[[#This Row],[Date]],2),"00")</f>
        <v>2011-50</v>
      </c>
    </row>
    <row r="446" spans="1:15" x14ac:dyDescent="0.35">
      <c r="A446" s="2">
        <v>40889</v>
      </c>
      <c r="B446" s="3">
        <v>132.52799199999998</v>
      </c>
      <c r="C446" s="4">
        <f t="shared" si="24"/>
        <v>-0.24911600000001499</v>
      </c>
      <c r="D446" s="4">
        <f t="shared" si="26"/>
        <v>10.846075999999982</v>
      </c>
      <c r="E446" s="3">
        <v>57.95</v>
      </c>
      <c r="F446" s="3">
        <v>20</v>
      </c>
      <c r="G446" s="3">
        <v>140.9523045</v>
      </c>
      <c r="H446" s="4">
        <f t="shared" si="25"/>
        <v>-4.1705500000006168E-2</v>
      </c>
      <c r="I446" s="4">
        <f t="shared" si="27"/>
        <v>15.177523499999992</v>
      </c>
      <c r="J446" s="3">
        <v>57.95</v>
      </c>
      <c r="K446" s="3">
        <v>20</v>
      </c>
      <c r="L446" s="13">
        <f>YEAR(Weekly_Prices[[#This Row],[Date]])</f>
        <v>2011</v>
      </c>
      <c r="M446" s="13">
        <f>MONTH(Weekly_Prices[[#This Row],[Date]])</f>
        <v>12</v>
      </c>
      <c r="N446" s="3" t="str">
        <f>TEXT(Weekly_Prices[[#This Row],[Date]],"MMMM")</f>
        <v>December</v>
      </c>
      <c r="O446" s="3" t="str">
        <f>YEAR(Weekly_Prices[[#This Row],[Date]])&amp;"-"&amp;TEXT(WEEKNUM(Weekly_Prices[[#This Row],[Date]],2),"00")</f>
        <v>2011-51</v>
      </c>
    </row>
    <row r="447" spans="1:15" x14ac:dyDescent="0.35">
      <c r="A447" s="2">
        <v>40896</v>
      </c>
      <c r="B447" s="3">
        <v>132.48720599999999</v>
      </c>
      <c r="C447" s="4">
        <f t="shared" si="24"/>
        <v>-4.0785999999997102E-2</v>
      </c>
      <c r="D447" s="4">
        <f t="shared" si="26"/>
        <v>10.178071999999986</v>
      </c>
      <c r="E447" s="3">
        <v>57.95</v>
      </c>
      <c r="F447" s="3">
        <v>20</v>
      </c>
      <c r="G447" s="3">
        <v>140.92594400000002</v>
      </c>
      <c r="H447" s="4">
        <f t="shared" si="25"/>
        <v>-2.6360499999981357E-2</v>
      </c>
      <c r="I447" s="4">
        <f t="shared" si="27"/>
        <v>14.403706000000028</v>
      </c>
      <c r="J447" s="3">
        <v>57.95</v>
      </c>
      <c r="K447" s="3">
        <v>20</v>
      </c>
      <c r="L447" s="13">
        <f>YEAR(Weekly_Prices[[#This Row],[Date]])</f>
        <v>2011</v>
      </c>
      <c r="M447" s="13">
        <f>MONTH(Weekly_Prices[[#This Row],[Date]])</f>
        <v>12</v>
      </c>
      <c r="N447" s="3" t="str">
        <f>TEXT(Weekly_Prices[[#This Row],[Date]],"MMMM")</f>
        <v>December</v>
      </c>
      <c r="O447" s="3" t="str">
        <f>YEAR(Weekly_Prices[[#This Row],[Date]])&amp;"-"&amp;TEXT(WEEKNUM(Weekly_Prices[[#This Row],[Date]],2),"00")</f>
        <v>2011-52</v>
      </c>
    </row>
    <row r="448" spans="1:15" x14ac:dyDescent="0.35">
      <c r="A448" s="2">
        <v>40903</v>
      </c>
      <c r="B448" s="3">
        <v>132.40984500000002</v>
      </c>
      <c r="C448" s="4">
        <f t="shared" si="24"/>
        <v>-7.7360999999967817E-2</v>
      </c>
      <c r="D448" s="4">
        <f t="shared" si="26"/>
        <v>8.96860700000002</v>
      </c>
      <c r="E448" s="3">
        <v>57.95</v>
      </c>
      <c r="F448" s="3">
        <v>20</v>
      </c>
      <c r="G448" s="3">
        <v>140.77337500000002</v>
      </c>
      <c r="H448" s="4">
        <f t="shared" si="25"/>
        <v>-0.15256899999999973</v>
      </c>
      <c r="I448" s="4">
        <f t="shared" si="27"/>
        <v>13.093095000000019</v>
      </c>
      <c r="J448" s="3">
        <v>57.95</v>
      </c>
      <c r="K448" s="3">
        <v>20</v>
      </c>
      <c r="L448" s="13">
        <f>YEAR(Weekly_Prices[[#This Row],[Date]])</f>
        <v>2011</v>
      </c>
      <c r="M448" s="13">
        <f>MONTH(Weekly_Prices[[#This Row],[Date]])</f>
        <v>12</v>
      </c>
      <c r="N448" s="3" t="str">
        <f>TEXT(Weekly_Prices[[#This Row],[Date]],"MMMM")</f>
        <v>December</v>
      </c>
      <c r="O448" s="3" t="str">
        <f>YEAR(Weekly_Prices[[#This Row],[Date]])&amp;"-"&amp;TEXT(WEEKNUM(Weekly_Prices[[#This Row],[Date]],2),"00")</f>
        <v>2011-53</v>
      </c>
    </row>
    <row r="449" spans="1:15" x14ac:dyDescent="0.35">
      <c r="A449" s="2">
        <v>40910</v>
      </c>
      <c r="B449" s="3">
        <v>132.40250900000001</v>
      </c>
      <c r="C449" s="4">
        <f t="shared" si="24"/>
        <v>-7.3360000000093351E-3</v>
      </c>
      <c r="D449" s="4">
        <f t="shared" si="26"/>
        <v>7.550120000000021</v>
      </c>
      <c r="E449" s="3">
        <v>57.95</v>
      </c>
      <c r="F449" s="3">
        <v>20</v>
      </c>
      <c r="G449" s="3">
        <v>140.83631</v>
      </c>
      <c r="H449" s="4">
        <f t="shared" si="25"/>
        <v>6.2934999999981756E-2</v>
      </c>
      <c r="I449" s="4">
        <f t="shared" si="27"/>
        <v>11.724716999999998</v>
      </c>
      <c r="J449" s="3">
        <v>57.95</v>
      </c>
      <c r="K449" s="3">
        <v>20</v>
      </c>
      <c r="L449" s="13">
        <f>YEAR(Weekly_Prices[[#This Row],[Date]])</f>
        <v>2012</v>
      </c>
      <c r="M449" s="13">
        <f>MONTH(Weekly_Prices[[#This Row],[Date]])</f>
        <v>1</v>
      </c>
      <c r="N449" s="3" t="str">
        <f>TEXT(Weekly_Prices[[#This Row],[Date]],"MMMM")</f>
        <v>January</v>
      </c>
      <c r="O449" s="3" t="str">
        <f>YEAR(Weekly_Prices[[#This Row],[Date]])&amp;"-"&amp;TEXT(WEEKNUM(Weekly_Prices[[#This Row],[Date]],2),"00")</f>
        <v>2012-02</v>
      </c>
    </row>
    <row r="450" spans="1:15" x14ac:dyDescent="0.35">
      <c r="A450" s="2">
        <v>40917</v>
      </c>
      <c r="B450" s="3">
        <v>132.68147999999999</v>
      </c>
      <c r="C450" s="4">
        <f t="shared" si="24"/>
        <v>0.27897099999998431</v>
      </c>
      <c r="D450" s="4">
        <f t="shared" si="26"/>
        <v>5.2833539999999886</v>
      </c>
      <c r="E450" s="3">
        <v>57.95</v>
      </c>
      <c r="F450" s="3">
        <v>20</v>
      </c>
      <c r="G450" s="3">
        <v>141.00463500000001</v>
      </c>
      <c r="H450" s="4">
        <f t="shared" si="25"/>
        <v>0.16832500000001005</v>
      </c>
      <c r="I450" s="4">
        <f t="shared" si="27"/>
        <v>9.4082130000000177</v>
      </c>
      <c r="J450" s="3">
        <v>57.95</v>
      </c>
      <c r="K450" s="3">
        <v>20</v>
      </c>
      <c r="L450" s="13">
        <f>YEAR(Weekly_Prices[[#This Row],[Date]])</f>
        <v>2012</v>
      </c>
      <c r="M450" s="13">
        <f>MONTH(Weekly_Prices[[#This Row],[Date]])</f>
        <v>1</v>
      </c>
      <c r="N450" s="3" t="str">
        <f>TEXT(Weekly_Prices[[#This Row],[Date]],"MMMM")</f>
        <v>January</v>
      </c>
      <c r="O450" s="3" t="str">
        <f>YEAR(Weekly_Prices[[#This Row],[Date]])&amp;"-"&amp;TEXT(WEEKNUM(Weekly_Prices[[#This Row],[Date]],2),"00")</f>
        <v>2012-03</v>
      </c>
    </row>
    <row r="451" spans="1:15" x14ac:dyDescent="0.35">
      <c r="A451" s="2">
        <v>40924</v>
      </c>
      <c r="B451" s="3">
        <v>133.29412600000001</v>
      </c>
      <c r="C451" s="4">
        <f t="shared" ref="C451:C514" si="28">B451-B450</f>
        <v>0.61264600000001224</v>
      </c>
      <c r="D451" s="4">
        <f t="shared" si="26"/>
        <v>5.4219229999999925</v>
      </c>
      <c r="E451" s="3">
        <v>57.95</v>
      </c>
      <c r="F451" s="3">
        <v>20</v>
      </c>
      <c r="G451" s="3">
        <v>141.6858805</v>
      </c>
      <c r="H451" s="4">
        <f t="shared" ref="H451:H514" si="29">G451-G450</f>
        <v>0.68124549999998862</v>
      </c>
      <c r="I451" s="4">
        <f t="shared" si="27"/>
        <v>9.36046300000001</v>
      </c>
      <c r="J451" s="3">
        <v>57.95</v>
      </c>
      <c r="K451" s="3">
        <v>20</v>
      </c>
      <c r="L451" s="13">
        <f>YEAR(Weekly_Prices[[#This Row],[Date]])</f>
        <v>2012</v>
      </c>
      <c r="M451" s="13">
        <f>MONTH(Weekly_Prices[[#This Row],[Date]])</f>
        <v>1</v>
      </c>
      <c r="N451" s="3" t="str">
        <f>TEXT(Weekly_Prices[[#This Row],[Date]],"MMMM")</f>
        <v>January</v>
      </c>
      <c r="O451" s="3" t="str">
        <f>YEAR(Weekly_Prices[[#This Row],[Date]])&amp;"-"&amp;TEXT(WEEKNUM(Weekly_Prices[[#This Row],[Date]],2),"00")</f>
        <v>2012-04</v>
      </c>
    </row>
    <row r="452" spans="1:15" x14ac:dyDescent="0.35">
      <c r="A452" s="2">
        <v>40931</v>
      </c>
      <c r="B452" s="3">
        <v>133.72112100000001</v>
      </c>
      <c r="C452" s="4">
        <f t="shared" si="28"/>
        <v>0.42699500000000512</v>
      </c>
      <c r="D452" s="4">
        <f t="shared" si="26"/>
        <v>5.3688600000000122</v>
      </c>
      <c r="E452" s="3">
        <v>57.95</v>
      </c>
      <c r="F452" s="3">
        <v>20</v>
      </c>
      <c r="G452" s="3">
        <v>142.06083399999997</v>
      </c>
      <c r="H452" s="4">
        <f t="shared" si="29"/>
        <v>0.37495349999997529</v>
      </c>
      <c r="I452" s="4">
        <f t="shared" si="27"/>
        <v>9.063559999999967</v>
      </c>
      <c r="J452" s="3">
        <v>57.95</v>
      </c>
      <c r="K452" s="3">
        <v>20</v>
      </c>
      <c r="L452" s="13">
        <f>YEAR(Weekly_Prices[[#This Row],[Date]])</f>
        <v>2012</v>
      </c>
      <c r="M452" s="13">
        <f>MONTH(Weekly_Prices[[#This Row],[Date]])</f>
        <v>1</v>
      </c>
      <c r="N452" s="3" t="str">
        <f>TEXT(Weekly_Prices[[#This Row],[Date]],"MMMM")</f>
        <v>January</v>
      </c>
      <c r="O452" s="3" t="str">
        <f>YEAR(Weekly_Prices[[#This Row],[Date]])&amp;"-"&amp;TEXT(WEEKNUM(Weekly_Prices[[#This Row],[Date]],2),"00")</f>
        <v>2012-05</v>
      </c>
    </row>
    <row r="453" spans="1:15" x14ac:dyDescent="0.35">
      <c r="A453" s="2">
        <v>40938</v>
      </c>
      <c r="B453" s="3">
        <v>134.101384</v>
      </c>
      <c r="C453" s="4">
        <f t="shared" si="28"/>
        <v>0.38026299999998514</v>
      </c>
      <c r="D453" s="4">
        <f t="shared" si="26"/>
        <v>5.5534289999999942</v>
      </c>
      <c r="E453" s="3">
        <v>57.95</v>
      </c>
      <c r="F453" s="3">
        <v>20</v>
      </c>
      <c r="G453" s="3">
        <v>142.44726200000002</v>
      </c>
      <c r="H453" s="4">
        <f t="shared" si="29"/>
        <v>0.38642800000005195</v>
      </c>
      <c r="I453" s="4">
        <f t="shared" si="27"/>
        <v>9.1934835000000135</v>
      </c>
      <c r="J453" s="3">
        <v>57.95</v>
      </c>
      <c r="K453" s="3">
        <v>20</v>
      </c>
      <c r="L453" s="13">
        <f>YEAR(Weekly_Prices[[#This Row],[Date]])</f>
        <v>2012</v>
      </c>
      <c r="M453" s="13">
        <f>MONTH(Weekly_Prices[[#This Row],[Date]])</f>
        <v>1</v>
      </c>
      <c r="N453" s="3" t="str">
        <f>TEXT(Weekly_Prices[[#This Row],[Date]],"MMMM")</f>
        <v>January</v>
      </c>
      <c r="O453" s="3" t="str">
        <f>YEAR(Weekly_Prices[[#This Row],[Date]])&amp;"-"&amp;TEXT(WEEKNUM(Weekly_Prices[[#This Row],[Date]],2),"00")</f>
        <v>2012-06</v>
      </c>
    </row>
    <row r="454" spans="1:15" x14ac:dyDescent="0.35">
      <c r="A454" s="2">
        <v>40945</v>
      </c>
      <c r="B454" s="3">
        <v>134.253016</v>
      </c>
      <c r="C454" s="4">
        <f t="shared" si="28"/>
        <v>0.15163200000000643</v>
      </c>
      <c r="D454" s="4">
        <f t="shared" si="26"/>
        <v>5.6174179999999865</v>
      </c>
      <c r="E454" s="3">
        <v>57.95</v>
      </c>
      <c r="F454" s="3">
        <v>20</v>
      </c>
      <c r="G454" s="3">
        <v>142.23780000000002</v>
      </c>
      <c r="H454" s="4">
        <f t="shared" si="29"/>
        <v>-0.20946200000000204</v>
      </c>
      <c r="I454" s="4">
        <f t="shared" si="27"/>
        <v>8.7644545000000278</v>
      </c>
      <c r="J454" s="3">
        <v>57.95</v>
      </c>
      <c r="K454" s="3">
        <v>20</v>
      </c>
      <c r="L454" s="13">
        <f>YEAR(Weekly_Prices[[#This Row],[Date]])</f>
        <v>2012</v>
      </c>
      <c r="M454" s="13">
        <f>MONTH(Weekly_Prices[[#This Row],[Date]])</f>
        <v>2</v>
      </c>
      <c r="N454" s="3" t="str">
        <f>TEXT(Weekly_Prices[[#This Row],[Date]],"MMMM")</f>
        <v>February</v>
      </c>
      <c r="O454" s="3" t="str">
        <f>YEAR(Weekly_Prices[[#This Row],[Date]])&amp;"-"&amp;TEXT(WEEKNUM(Weekly_Prices[[#This Row],[Date]],2),"00")</f>
        <v>2012-07</v>
      </c>
    </row>
    <row r="455" spans="1:15" x14ac:dyDescent="0.35">
      <c r="A455" s="2">
        <v>40952</v>
      </c>
      <c r="B455" s="3">
        <v>134.89741099999998</v>
      </c>
      <c r="C455" s="4">
        <f t="shared" si="28"/>
        <v>0.64439499999997452</v>
      </c>
      <c r="D455" s="4">
        <f t="shared" si="26"/>
        <v>6.1720079999999768</v>
      </c>
      <c r="E455" s="3">
        <v>57.95</v>
      </c>
      <c r="F455" s="3">
        <v>20</v>
      </c>
      <c r="G455" s="3">
        <v>142.8253785</v>
      </c>
      <c r="H455" s="4">
        <f t="shared" si="29"/>
        <v>0.58757849999997802</v>
      </c>
      <c r="I455" s="4">
        <f t="shared" si="27"/>
        <v>9.1117359999999792</v>
      </c>
      <c r="J455" s="3">
        <v>57.95</v>
      </c>
      <c r="K455" s="3">
        <v>20</v>
      </c>
      <c r="L455" s="13">
        <f>YEAR(Weekly_Prices[[#This Row],[Date]])</f>
        <v>2012</v>
      </c>
      <c r="M455" s="13">
        <f>MONTH(Weekly_Prices[[#This Row],[Date]])</f>
        <v>2</v>
      </c>
      <c r="N455" s="3" t="str">
        <f>TEXT(Weekly_Prices[[#This Row],[Date]],"MMMM")</f>
        <v>February</v>
      </c>
      <c r="O455" s="3" t="str">
        <f>YEAR(Weekly_Prices[[#This Row],[Date]])&amp;"-"&amp;TEXT(WEEKNUM(Weekly_Prices[[#This Row],[Date]],2),"00")</f>
        <v>2012-08</v>
      </c>
    </row>
    <row r="456" spans="1:15" x14ac:dyDescent="0.35">
      <c r="A456" s="2">
        <v>40959</v>
      </c>
      <c r="B456" s="3">
        <v>135.211436268</v>
      </c>
      <c r="C456" s="4">
        <f t="shared" si="28"/>
        <v>0.31402526800002306</v>
      </c>
      <c r="D456" s="4">
        <f t="shared" si="26"/>
        <v>6.2922912680000138</v>
      </c>
      <c r="E456" s="3">
        <v>57.95</v>
      </c>
      <c r="F456" s="3">
        <v>20</v>
      </c>
      <c r="G456" s="3">
        <v>143.15210815500001</v>
      </c>
      <c r="H456" s="4">
        <f t="shared" si="29"/>
        <v>0.32672965500000828</v>
      </c>
      <c r="I456" s="4">
        <f t="shared" si="27"/>
        <v>9.1118031549999898</v>
      </c>
      <c r="J456" s="3">
        <v>57.95</v>
      </c>
      <c r="K456" s="3">
        <v>20</v>
      </c>
      <c r="L456" s="13">
        <f>YEAR(Weekly_Prices[[#This Row],[Date]])</f>
        <v>2012</v>
      </c>
      <c r="M456" s="13">
        <f>MONTH(Weekly_Prices[[#This Row],[Date]])</f>
        <v>2</v>
      </c>
      <c r="N456" s="3" t="str">
        <f>TEXT(Weekly_Prices[[#This Row],[Date]],"MMMM")</f>
        <v>February</v>
      </c>
      <c r="O456" s="3" t="str">
        <f>YEAR(Weekly_Prices[[#This Row],[Date]])&amp;"-"&amp;TEXT(WEEKNUM(Weekly_Prices[[#This Row],[Date]],2),"00")</f>
        <v>2012-09</v>
      </c>
    </row>
    <row r="457" spans="1:15" x14ac:dyDescent="0.35">
      <c r="A457" s="2">
        <v>40966</v>
      </c>
      <c r="B457" s="3">
        <v>136.21234999999999</v>
      </c>
      <c r="C457" s="4">
        <f t="shared" si="28"/>
        <v>1.0009137319999866</v>
      </c>
      <c r="D457" s="4">
        <f t="shared" si="26"/>
        <v>6.4873849999999891</v>
      </c>
      <c r="E457" s="3">
        <v>57.95</v>
      </c>
      <c r="F457" s="3">
        <v>20</v>
      </c>
      <c r="G457" s="3">
        <v>143.92049050000003</v>
      </c>
      <c r="H457" s="4">
        <f t="shared" si="29"/>
        <v>0.76838234500002045</v>
      </c>
      <c r="I457" s="4">
        <f t="shared" si="27"/>
        <v>8.8648620000000449</v>
      </c>
      <c r="J457" s="3">
        <v>57.95</v>
      </c>
      <c r="K457" s="3">
        <v>20</v>
      </c>
      <c r="L457" s="13">
        <f>YEAR(Weekly_Prices[[#This Row],[Date]])</f>
        <v>2012</v>
      </c>
      <c r="M457" s="13">
        <f>MONTH(Weekly_Prices[[#This Row],[Date]])</f>
        <v>2</v>
      </c>
      <c r="N457" s="3" t="str">
        <f>TEXT(Weekly_Prices[[#This Row],[Date]],"MMMM")</f>
        <v>February</v>
      </c>
      <c r="O457" s="3" t="str">
        <f>YEAR(Weekly_Prices[[#This Row],[Date]])&amp;"-"&amp;TEXT(WEEKNUM(Weekly_Prices[[#This Row],[Date]],2),"00")</f>
        <v>2012-10</v>
      </c>
    </row>
    <row r="458" spans="1:15" x14ac:dyDescent="0.35">
      <c r="A458" s="2">
        <v>40973</v>
      </c>
      <c r="B458" s="3">
        <v>137.30326199999999</v>
      </c>
      <c r="C458" s="4">
        <f t="shared" si="28"/>
        <v>1.090912000000003</v>
      </c>
      <c r="D458" s="4">
        <f t="shared" si="26"/>
        <v>6.0214449999999715</v>
      </c>
      <c r="E458" s="3">
        <v>57.95</v>
      </c>
      <c r="F458" s="3">
        <v>20</v>
      </c>
      <c r="G458" s="3">
        <v>144.71150549999999</v>
      </c>
      <c r="H458" s="4">
        <f t="shared" si="29"/>
        <v>0.79101499999995895</v>
      </c>
      <c r="I458" s="4">
        <f t="shared" si="27"/>
        <v>7.8133204999999748</v>
      </c>
      <c r="J458" s="3">
        <v>57.95</v>
      </c>
      <c r="K458" s="3">
        <v>20</v>
      </c>
      <c r="L458" s="13">
        <f>YEAR(Weekly_Prices[[#This Row],[Date]])</f>
        <v>2012</v>
      </c>
      <c r="M458" s="13">
        <f>MONTH(Weekly_Prices[[#This Row],[Date]])</f>
        <v>3</v>
      </c>
      <c r="N458" s="3" t="str">
        <f>TEXT(Weekly_Prices[[#This Row],[Date]],"MMMM")</f>
        <v>March</v>
      </c>
      <c r="O458" s="3" t="str">
        <f>YEAR(Weekly_Prices[[#This Row],[Date]])&amp;"-"&amp;TEXT(WEEKNUM(Weekly_Prices[[#This Row],[Date]],2),"00")</f>
        <v>2012-11</v>
      </c>
    </row>
    <row r="459" spans="1:15" x14ac:dyDescent="0.35">
      <c r="A459" s="2">
        <v>40980</v>
      </c>
      <c r="B459" s="3">
        <v>137.90142400000002</v>
      </c>
      <c r="C459" s="4">
        <f t="shared" si="28"/>
        <v>0.5981620000000305</v>
      </c>
      <c r="D459" s="4">
        <f t="shared" si="26"/>
        <v>5.7252580000000535</v>
      </c>
      <c r="E459" s="3">
        <v>57.95</v>
      </c>
      <c r="F459" s="3">
        <v>20</v>
      </c>
      <c r="G459" s="3">
        <v>145.146128</v>
      </c>
      <c r="H459" s="4">
        <f t="shared" si="29"/>
        <v>0.43462250000001745</v>
      </c>
      <c r="I459" s="4">
        <f t="shared" si="27"/>
        <v>6.8974865000000136</v>
      </c>
      <c r="J459" s="3">
        <v>57.95</v>
      </c>
      <c r="K459" s="3">
        <v>20</v>
      </c>
      <c r="L459" s="13">
        <f>YEAR(Weekly_Prices[[#This Row],[Date]])</f>
        <v>2012</v>
      </c>
      <c r="M459" s="13">
        <f>MONTH(Weekly_Prices[[#This Row],[Date]])</f>
        <v>3</v>
      </c>
      <c r="N459" s="3" t="str">
        <f>TEXT(Weekly_Prices[[#This Row],[Date]],"MMMM")</f>
        <v>March</v>
      </c>
      <c r="O459" s="3" t="str">
        <f>YEAR(Weekly_Prices[[#This Row],[Date]])&amp;"-"&amp;TEXT(WEEKNUM(Weekly_Prices[[#This Row],[Date]],2),"00")</f>
        <v>2012-12</v>
      </c>
    </row>
    <row r="460" spans="1:15" x14ac:dyDescent="0.35">
      <c r="A460" s="2">
        <v>40987</v>
      </c>
      <c r="B460" s="3">
        <v>138.95736600000001</v>
      </c>
      <c r="C460" s="4">
        <f t="shared" si="28"/>
        <v>1.0559419999999875</v>
      </c>
      <c r="D460" s="4">
        <f t="shared" si="26"/>
        <v>5.8479070000000206</v>
      </c>
      <c r="E460" s="3">
        <v>57.95</v>
      </c>
      <c r="F460" s="3">
        <v>20</v>
      </c>
      <c r="G460" s="3">
        <v>146.16103549999997</v>
      </c>
      <c r="H460" s="4">
        <f t="shared" si="29"/>
        <v>1.0149074999999641</v>
      </c>
      <c r="I460" s="4">
        <f t="shared" si="27"/>
        <v>6.6275544999999738</v>
      </c>
      <c r="J460" s="3">
        <v>57.95</v>
      </c>
      <c r="K460" s="3">
        <v>20</v>
      </c>
      <c r="L460" s="13">
        <f>YEAR(Weekly_Prices[[#This Row],[Date]])</f>
        <v>2012</v>
      </c>
      <c r="M460" s="13">
        <f>MONTH(Weekly_Prices[[#This Row],[Date]])</f>
        <v>3</v>
      </c>
      <c r="N460" s="3" t="str">
        <f>TEXT(Weekly_Prices[[#This Row],[Date]],"MMMM")</f>
        <v>March</v>
      </c>
      <c r="O460" s="3" t="str">
        <f>YEAR(Weekly_Prices[[#This Row],[Date]])&amp;"-"&amp;TEXT(WEEKNUM(Weekly_Prices[[#This Row],[Date]],2),"00")</f>
        <v>2012-13</v>
      </c>
    </row>
    <row r="461" spans="1:15" x14ac:dyDescent="0.35">
      <c r="A461" s="2">
        <v>40994</v>
      </c>
      <c r="B461" s="3">
        <v>139.480164</v>
      </c>
      <c r="C461" s="4">
        <f t="shared" si="28"/>
        <v>0.52279799999999454</v>
      </c>
      <c r="D461" s="4">
        <f t="shared" si="26"/>
        <v>7.0430130000000304</v>
      </c>
      <c r="E461" s="3">
        <v>57.95</v>
      </c>
      <c r="F461" s="3">
        <v>20</v>
      </c>
      <c r="G461" s="3">
        <v>146.5582655</v>
      </c>
      <c r="H461" s="4">
        <f t="shared" si="29"/>
        <v>0.39723000000003594</v>
      </c>
      <c r="I461" s="4">
        <f t="shared" si="27"/>
        <v>7.5207394999999906</v>
      </c>
      <c r="J461" s="3">
        <v>57.95</v>
      </c>
      <c r="K461" s="3">
        <v>20</v>
      </c>
      <c r="L461" s="13">
        <f>YEAR(Weekly_Prices[[#This Row],[Date]])</f>
        <v>2012</v>
      </c>
      <c r="M461" s="13">
        <f>MONTH(Weekly_Prices[[#This Row],[Date]])</f>
        <v>3</v>
      </c>
      <c r="N461" s="3" t="str">
        <f>TEXT(Weekly_Prices[[#This Row],[Date]],"MMMM")</f>
        <v>March</v>
      </c>
      <c r="O461" s="3" t="str">
        <f>YEAR(Weekly_Prices[[#This Row],[Date]])&amp;"-"&amp;TEXT(WEEKNUM(Weekly_Prices[[#This Row],[Date]],2),"00")</f>
        <v>2012-14</v>
      </c>
    </row>
    <row r="462" spans="1:15" x14ac:dyDescent="0.35">
      <c r="A462" s="2">
        <v>41001</v>
      </c>
      <c r="B462" s="3">
        <v>140.99301899999998</v>
      </c>
      <c r="C462" s="4">
        <f t="shared" si="28"/>
        <v>1.5128549999999734</v>
      </c>
      <c r="D462" s="4">
        <f t="shared" si="26"/>
        <v>8.1871429999999918</v>
      </c>
      <c r="E462" s="3">
        <v>57.95</v>
      </c>
      <c r="F462" s="3">
        <v>20</v>
      </c>
      <c r="G462" s="3">
        <v>147.67977500000001</v>
      </c>
      <c r="H462" s="4">
        <f t="shared" si="29"/>
        <v>1.1215095000000019</v>
      </c>
      <c r="I462" s="4">
        <f t="shared" si="27"/>
        <v>8.2205640000000244</v>
      </c>
      <c r="J462" s="3">
        <v>57.95</v>
      </c>
      <c r="K462" s="3">
        <v>20</v>
      </c>
      <c r="L462" s="13">
        <f>YEAR(Weekly_Prices[[#This Row],[Date]])</f>
        <v>2012</v>
      </c>
      <c r="M462" s="13">
        <f>MONTH(Weekly_Prices[[#This Row],[Date]])</f>
        <v>4</v>
      </c>
      <c r="N462" s="3" t="str">
        <f>TEXT(Weekly_Prices[[#This Row],[Date]],"MMMM")</f>
        <v>April</v>
      </c>
      <c r="O462" s="3" t="str">
        <f>YEAR(Weekly_Prices[[#This Row],[Date]])&amp;"-"&amp;TEXT(WEEKNUM(Weekly_Prices[[#This Row],[Date]],2),"00")</f>
        <v>2012-15</v>
      </c>
    </row>
    <row r="463" spans="1:15" x14ac:dyDescent="0.35">
      <c r="A463" s="2">
        <v>41008</v>
      </c>
      <c r="B463" s="3">
        <v>141.97154399999999</v>
      </c>
      <c r="C463" s="4">
        <f t="shared" si="28"/>
        <v>0.97852500000001896</v>
      </c>
      <c r="D463" s="4">
        <f t="shared" si="26"/>
        <v>8.2887199999999837</v>
      </c>
      <c r="E463" s="3">
        <v>57.95</v>
      </c>
      <c r="F463" s="3">
        <v>20</v>
      </c>
      <c r="G463" s="3">
        <v>148.00345150000001</v>
      </c>
      <c r="H463" s="4">
        <f t="shared" si="29"/>
        <v>0.32367650000000481</v>
      </c>
      <c r="I463" s="4">
        <f t="shared" si="27"/>
        <v>7.672798499999999</v>
      </c>
      <c r="J463" s="3">
        <v>57.95</v>
      </c>
      <c r="K463" s="3">
        <v>20</v>
      </c>
      <c r="L463" s="13">
        <f>YEAR(Weekly_Prices[[#This Row],[Date]])</f>
        <v>2012</v>
      </c>
      <c r="M463" s="13">
        <f>MONTH(Weekly_Prices[[#This Row],[Date]])</f>
        <v>4</v>
      </c>
      <c r="N463" s="3" t="str">
        <f>TEXT(Weekly_Prices[[#This Row],[Date]],"MMMM")</f>
        <v>April</v>
      </c>
      <c r="O463" s="3" t="str">
        <f>YEAR(Weekly_Prices[[#This Row],[Date]])&amp;"-"&amp;TEXT(WEEKNUM(Weekly_Prices[[#This Row],[Date]],2),"00")</f>
        <v>2012-16</v>
      </c>
    </row>
    <row r="464" spans="1:15" x14ac:dyDescent="0.35">
      <c r="A464" s="2">
        <v>41015</v>
      </c>
      <c r="B464" s="3">
        <v>142.172754</v>
      </c>
      <c r="C464" s="4">
        <f t="shared" si="28"/>
        <v>0.20121000000000322</v>
      </c>
      <c r="D464" s="4">
        <f t="shared" si="26"/>
        <v>7.1117679999999837</v>
      </c>
      <c r="E464" s="3">
        <v>57.95</v>
      </c>
      <c r="F464" s="3">
        <v>20</v>
      </c>
      <c r="G464" s="3">
        <v>148.03770950000001</v>
      </c>
      <c r="H464" s="4">
        <f t="shared" si="29"/>
        <v>3.4257999999994126E-2</v>
      </c>
      <c r="I464" s="4">
        <f t="shared" si="27"/>
        <v>6.6978759999999795</v>
      </c>
      <c r="J464" s="3">
        <v>57.95</v>
      </c>
      <c r="K464" s="3">
        <v>20</v>
      </c>
      <c r="L464" s="13">
        <f>YEAR(Weekly_Prices[[#This Row],[Date]])</f>
        <v>2012</v>
      </c>
      <c r="M464" s="13">
        <f>MONTH(Weekly_Prices[[#This Row],[Date]])</f>
        <v>4</v>
      </c>
      <c r="N464" s="3" t="str">
        <f>TEXT(Weekly_Prices[[#This Row],[Date]],"MMMM")</f>
        <v>April</v>
      </c>
      <c r="O464" s="3" t="str">
        <f>YEAR(Weekly_Prices[[#This Row],[Date]])&amp;"-"&amp;TEXT(WEEKNUM(Weekly_Prices[[#This Row],[Date]],2),"00")</f>
        <v>2012-17</v>
      </c>
    </row>
    <row r="465" spans="1:15" x14ac:dyDescent="0.35">
      <c r="A465" s="2">
        <v>41022</v>
      </c>
      <c r="B465" s="3">
        <v>141.75901999999999</v>
      </c>
      <c r="C465" s="4">
        <f t="shared" si="28"/>
        <v>-0.41373400000000515</v>
      </c>
      <c r="D465" s="4">
        <f t="shared" si="26"/>
        <v>6.1378109999999708</v>
      </c>
      <c r="E465" s="3">
        <v>57.95</v>
      </c>
      <c r="F465" s="3">
        <v>20</v>
      </c>
      <c r="G465" s="3">
        <v>147.96124350000002</v>
      </c>
      <c r="H465" s="4">
        <f t="shared" si="29"/>
        <v>-7.6465999999982159E-2</v>
      </c>
      <c r="I465" s="4">
        <f t="shared" si="27"/>
        <v>5.8501165000000412</v>
      </c>
      <c r="J465" s="3">
        <v>57.95</v>
      </c>
      <c r="K465" s="3">
        <v>20</v>
      </c>
      <c r="L465" s="13">
        <f>YEAR(Weekly_Prices[[#This Row],[Date]])</f>
        <v>2012</v>
      </c>
      <c r="M465" s="13">
        <f>MONTH(Weekly_Prices[[#This Row],[Date]])</f>
        <v>4</v>
      </c>
      <c r="N465" s="3" t="str">
        <f>TEXT(Weekly_Prices[[#This Row],[Date]],"MMMM")</f>
        <v>April</v>
      </c>
      <c r="O465" s="3" t="str">
        <f>YEAR(Weekly_Prices[[#This Row],[Date]])&amp;"-"&amp;TEXT(WEEKNUM(Weekly_Prices[[#This Row],[Date]],2),"00")</f>
        <v>2012-18</v>
      </c>
    </row>
    <row r="466" spans="1:15" x14ac:dyDescent="0.35">
      <c r="A466" s="2">
        <v>41029</v>
      </c>
      <c r="B466" s="3">
        <v>141.004212</v>
      </c>
      <c r="C466" s="4">
        <f t="shared" si="28"/>
        <v>-0.75480799999999704</v>
      </c>
      <c r="D466" s="4">
        <f t="shared" si="26"/>
        <v>4.7100130000000036</v>
      </c>
      <c r="E466" s="3">
        <v>57.95</v>
      </c>
      <c r="F466" s="3">
        <v>20</v>
      </c>
      <c r="G466" s="3">
        <v>147.0520665</v>
      </c>
      <c r="H466" s="4">
        <f t="shared" si="29"/>
        <v>-0.9091770000000281</v>
      </c>
      <c r="I466" s="4">
        <f t="shared" si="27"/>
        <v>4.5251174999999932</v>
      </c>
      <c r="J466" s="3">
        <v>57.95</v>
      </c>
      <c r="K466" s="3">
        <v>20</v>
      </c>
      <c r="L466" s="13">
        <f>YEAR(Weekly_Prices[[#This Row],[Date]])</f>
        <v>2012</v>
      </c>
      <c r="M466" s="13">
        <f>MONTH(Weekly_Prices[[#This Row],[Date]])</f>
        <v>4</v>
      </c>
      <c r="N466" s="3" t="str">
        <f>TEXT(Weekly_Prices[[#This Row],[Date]],"MMMM")</f>
        <v>April</v>
      </c>
      <c r="O466" s="3" t="str">
        <f>YEAR(Weekly_Prices[[#This Row],[Date]])&amp;"-"&amp;TEXT(WEEKNUM(Weekly_Prices[[#This Row],[Date]],2),"00")</f>
        <v>2012-19</v>
      </c>
    </row>
    <row r="467" spans="1:15" x14ac:dyDescent="0.35">
      <c r="A467" s="2">
        <v>41036</v>
      </c>
      <c r="B467" s="3">
        <v>140.13650200000001</v>
      </c>
      <c r="C467" s="4">
        <f t="shared" si="28"/>
        <v>-0.86770999999998821</v>
      </c>
      <c r="D467" s="4">
        <f t="shared" si="26"/>
        <v>3.0838380000000143</v>
      </c>
      <c r="E467" s="3">
        <v>57.95</v>
      </c>
      <c r="F467" s="3">
        <v>20</v>
      </c>
      <c r="G467" s="3">
        <v>146.39621200000002</v>
      </c>
      <c r="H467" s="4">
        <f t="shared" si="29"/>
        <v>-0.65585449999997536</v>
      </c>
      <c r="I467" s="4">
        <f t="shared" si="27"/>
        <v>3.3368065000000229</v>
      </c>
      <c r="J467" s="3">
        <v>57.95</v>
      </c>
      <c r="K467" s="3">
        <v>20</v>
      </c>
      <c r="L467" s="13">
        <f>YEAR(Weekly_Prices[[#This Row],[Date]])</f>
        <v>2012</v>
      </c>
      <c r="M467" s="13">
        <f>MONTH(Weekly_Prices[[#This Row],[Date]])</f>
        <v>5</v>
      </c>
      <c r="N467" s="3" t="str">
        <f>TEXT(Weekly_Prices[[#This Row],[Date]],"MMMM")</f>
        <v>May</v>
      </c>
      <c r="O467" s="3" t="str">
        <f>YEAR(Weekly_Prices[[#This Row],[Date]])&amp;"-"&amp;TEXT(WEEKNUM(Weekly_Prices[[#This Row],[Date]],2),"00")</f>
        <v>2012-20</v>
      </c>
    </row>
    <row r="468" spans="1:15" x14ac:dyDescent="0.35">
      <c r="A468" s="2">
        <v>41043</v>
      </c>
      <c r="B468" s="3">
        <v>138.28657399999997</v>
      </c>
      <c r="C468" s="4">
        <f t="shared" si="28"/>
        <v>-1.849928000000034</v>
      </c>
      <c r="D468" s="4">
        <f t="shared" si="26"/>
        <v>1.8879379999999628</v>
      </c>
      <c r="E468" s="3">
        <v>57.95</v>
      </c>
      <c r="F468" s="3">
        <v>20</v>
      </c>
      <c r="G468" s="3">
        <v>144.51881</v>
      </c>
      <c r="H468" s="4">
        <f t="shared" si="29"/>
        <v>-1.8774020000000178</v>
      </c>
      <c r="I468" s="4">
        <f t="shared" si="27"/>
        <v>3.0199179999999899</v>
      </c>
      <c r="J468" s="3">
        <v>57.95</v>
      </c>
      <c r="K468" s="3">
        <v>20</v>
      </c>
      <c r="L468" s="13">
        <f>YEAR(Weekly_Prices[[#This Row],[Date]])</f>
        <v>2012</v>
      </c>
      <c r="M468" s="13">
        <f>MONTH(Weekly_Prices[[#This Row],[Date]])</f>
        <v>5</v>
      </c>
      <c r="N468" s="3" t="str">
        <f>TEXT(Weekly_Prices[[#This Row],[Date]],"MMMM")</f>
        <v>May</v>
      </c>
      <c r="O468" s="3" t="str">
        <f>YEAR(Weekly_Prices[[#This Row],[Date]])&amp;"-"&amp;TEXT(WEEKNUM(Weekly_Prices[[#This Row],[Date]],2),"00")</f>
        <v>2012-21</v>
      </c>
    </row>
    <row r="469" spans="1:15" x14ac:dyDescent="0.35">
      <c r="A469" s="2">
        <v>41050</v>
      </c>
      <c r="B469" s="3">
        <v>135.77142000000001</v>
      </c>
      <c r="C469" s="4">
        <f t="shared" si="28"/>
        <v>-2.515153999999967</v>
      </c>
      <c r="D469" s="4">
        <f t="shared" si="26"/>
        <v>-0.34134399999999232</v>
      </c>
      <c r="E469" s="3">
        <v>57.95</v>
      </c>
      <c r="F469" s="3">
        <v>20</v>
      </c>
      <c r="G469" s="3">
        <v>141.746612</v>
      </c>
      <c r="H469" s="4">
        <f t="shared" si="29"/>
        <v>-2.772198000000003</v>
      </c>
      <c r="I469" s="4">
        <f t="shared" si="27"/>
        <v>0.97923900000000685</v>
      </c>
      <c r="J469" s="3">
        <v>57.95</v>
      </c>
      <c r="K469" s="3">
        <v>20</v>
      </c>
      <c r="L469" s="13">
        <f>YEAR(Weekly_Prices[[#This Row],[Date]])</f>
        <v>2012</v>
      </c>
      <c r="M469" s="13">
        <f>MONTH(Weekly_Prices[[#This Row],[Date]])</f>
        <v>5</v>
      </c>
      <c r="N469" s="3" t="str">
        <f>TEXT(Weekly_Prices[[#This Row],[Date]],"MMMM")</f>
        <v>May</v>
      </c>
      <c r="O469" s="3" t="str">
        <f>YEAR(Weekly_Prices[[#This Row],[Date]])&amp;"-"&amp;TEXT(WEEKNUM(Weekly_Prices[[#This Row],[Date]],2),"00")</f>
        <v>2012-22</v>
      </c>
    </row>
    <row r="470" spans="1:15" x14ac:dyDescent="0.35">
      <c r="A470" s="2">
        <v>41057</v>
      </c>
      <c r="B470" s="3">
        <v>134.37459400000003</v>
      </c>
      <c r="C470" s="4">
        <f t="shared" si="28"/>
        <v>-1.3968259999999759</v>
      </c>
      <c r="D470" s="4">
        <f t="shared" si="26"/>
        <v>-1.1935279999999864</v>
      </c>
      <c r="E470" s="3">
        <v>57.95</v>
      </c>
      <c r="F470" s="3">
        <v>20</v>
      </c>
      <c r="G470" s="3">
        <v>140.49399399999999</v>
      </c>
      <c r="H470" s="4">
        <f t="shared" si="29"/>
        <v>-1.2526180000000124</v>
      </c>
      <c r="I470" s="4">
        <f t="shared" si="27"/>
        <v>0.67995799999999917</v>
      </c>
      <c r="J470" s="3">
        <v>57.95</v>
      </c>
      <c r="K470" s="3">
        <v>20</v>
      </c>
      <c r="L470" s="13">
        <f>YEAR(Weekly_Prices[[#This Row],[Date]])</f>
        <v>2012</v>
      </c>
      <c r="M470" s="13">
        <f>MONTH(Weekly_Prices[[#This Row],[Date]])</f>
        <v>5</v>
      </c>
      <c r="N470" s="3" t="str">
        <f>TEXT(Weekly_Prices[[#This Row],[Date]],"MMMM")</f>
        <v>May</v>
      </c>
      <c r="O470" s="3" t="str">
        <f>YEAR(Weekly_Prices[[#This Row],[Date]])&amp;"-"&amp;TEXT(WEEKNUM(Weekly_Prices[[#This Row],[Date]],2),"00")</f>
        <v>2012-23</v>
      </c>
    </row>
    <row r="471" spans="1:15" x14ac:dyDescent="0.35">
      <c r="A471" s="2">
        <v>41064</v>
      </c>
      <c r="B471" s="3">
        <v>134.05828600000001</v>
      </c>
      <c r="C471" s="4">
        <f t="shared" si="28"/>
        <v>-0.31630800000002068</v>
      </c>
      <c r="D471" s="4">
        <f t="shared" si="26"/>
        <v>-1.5567379999999957</v>
      </c>
      <c r="E471" s="3">
        <v>57.95</v>
      </c>
      <c r="F471" s="3">
        <v>20</v>
      </c>
      <c r="G471" s="3">
        <v>139.958044</v>
      </c>
      <c r="H471" s="4">
        <f t="shared" si="29"/>
        <v>-0.53594999999998549</v>
      </c>
      <c r="I471" s="4">
        <f t="shared" si="27"/>
        <v>0.37540000000001328</v>
      </c>
      <c r="J471" s="3">
        <v>57.95</v>
      </c>
      <c r="K471" s="3">
        <v>20</v>
      </c>
      <c r="L471" s="13">
        <f>YEAR(Weekly_Prices[[#This Row],[Date]])</f>
        <v>2012</v>
      </c>
      <c r="M471" s="13">
        <f>MONTH(Weekly_Prices[[#This Row],[Date]])</f>
        <v>6</v>
      </c>
      <c r="N471" s="3" t="str">
        <f>TEXT(Weekly_Prices[[#This Row],[Date]],"MMMM")</f>
        <v>June</v>
      </c>
      <c r="O471" s="3" t="str">
        <f>YEAR(Weekly_Prices[[#This Row],[Date]])&amp;"-"&amp;TEXT(WEEKNUM(Weekly_Prices[[#This Row],[Date]],2),"00")</f>
        <v>2012-24</v>
      </c>
    </row>
    <row r="472" spans="1:15" x14ac:dyDescent="0.35">
      <c r="A472" s="2">
        <v>41071</v>
      </c>
      <c r="B472" s="3">
        <v>133.66761399999999</v>
      </c>
      <c r="C472" s="4">
        <f t="shared" si="28"/>
        <v>-0.39067200000002344</v>
      </c>
      <c r="D472" s="4">
        <f t="shared" si="26"/>
        <v>-2.1882620000000088</v>
      </c>
      <c r="E472" s="3">
        <v>57.95</v>
      </c>
      <c r="F472" s="3">
        <v>20</v>
      </c>
      <c r="G472" s="3">
        <v>139.582426</v>
      </c>
      <c r="H472" s="4">
        <f t="shared" si="29"/>
        <v>-0.37561800000000289</v>
      </c>
      <c r="I472" s="4">
        <f t="shared" si="27"/>
        <v>-0.1888165000000015</v>
      </c>
      <c r="J472" s="3">
        <v>57.95</v>
      </c>
      <c r="K472" s="3">
        <v>20</v>
      </c>
      <c r="L472" s="13">
        <f>YEAR(Weekly_Prices[[#This Row],[Date]])</f>
        <v>2012</v>
      </c>
      <c r="M472" s="13">
        <f>MONTH(Weekly_Prices[[#This Row],[Date]])</f>
        <v>6</v>
      </c>
      <c r="N472" s="3" t="str">
        <f>TEXT(Weekly_Prices[[#This Row],[Date]],"MMMM")</f>
        <v>June</v>
      </c>
      <c r="O472" s="3" t="str">
        <f>YEAR(Weekly_Prices[[#This Row],[Date]])&amp;"-"&amp;TEXT(WEEKNUM(Weekly_Prices[[#This Row],[Date]],2),"00")</f>
        <v>2012-25</v>
      </c>
    </row>
    <row r="473" spans="1:15" x14ac:dyDescent="0.35">
      <c r="A473" s="2">
        <v>41078</v>
      </c>
      <c r="B473" s="3">
        <v>131.99095</v>
      </c>
      <c r="C473" s="4">
        <f t="shared" si="28"/>
        <v>-1.6766639999999882</v>
      </c>
      <c r="D473" s="4">
        <f t="shared" si="26"/>
        <v>-4.0351880000000051</v>
      </c>
      <c r="E473" s="3">
        <v>57.95</v>
      </c>
      <c r="F473" s="3">
        <v>20</v>
      </c>
      <c r="G473" s="3">
        <v>137.710644</v>
      </c>
      <c r="H473" s="4">
        <f t="shared" si="29"/>
        <v>-1.8717819999999961</v>
      </c>
      <c r="I473" s="4">
        <f t="shared" si="27"/>
        <v>-2.3434594999999945</v>
      </c>
      <c r="J473" s="3">
        <v>57.95</v>
      </c>
      <c r="K473" s="3">
        <v>20</v>
      </c>
      <c r="L473" s="13">
        <f>YEAR(Weekly_Prices[[#This Row],[Date]])</f>
        <v>2012</v>
      </c>
      <c r="M473" s="13">
        <f>MONTH(Weekly_Prices[[#This Row],[Date]])</f>
        <v>6</v>
      </c>
      <c r="N473" s="3" t="str">
        <f>TEXT(Weekly_Prices[[#This Row],[Date]],"MMMM")</f>
        <v>June</v>
      </c>
      <c r="O473" s="3" t="str">
        <f>YEAR(Weekly_Prices[[#This Row],[Date]])&amp;"-"&amp;TEXT(WEEKNUM(Weekly_Prices[[#This Row],[Date]],2),"00")</f>
        <v>2012-26</v>
      </c>
    </row>
    <row r="474" spans="1:15" x14ac:dyDescent="0.35">
      <c r="A474" s="2">
        <v>41085</v>
      </c>
      <c r="B474" s="3">
        <v>131.54592000000002</v>
      </c>
      <c r="C474" s="4">
        <f t="shared" si="28"/>
        <v>-0.44502999999997428</v>
      </c>
      <c r="D474" s="4">
        <f t="shared" si="26"/>
        <v>-3.317245999999983</v>
      </c>
      <c r="E474" s="3">
        <v>57.95</v>
      </c>
      <c r="F474" s="3">
        <v>20</v>
      </c>
      <c r="G474" s="3">
        <v>137.20447600000003</v>
      </c>
      <c r="H474" s="4">
        <f t="shared" si="29"/>
        <v>-0.50616799999997397</v>
      </c>
      <c r="I474" s="4">
        <f t="shared" si="27"/>
        <v>-1.5623124999999902</v>
      </c>
      <c r="J474" s="3">
        <v>57.95</v>
      </c>
      <c r="K474" s="3">
        <v>20</v>
      </c>
      <c r="L474" s="13">
        <f>YEAR(Weekly_Prices[[#This Row],[Date]])</f>
        <v>2012</v>
      </c>
      <c r="M474" s="13">
        <f>MONTH(Weekly_Prices[[#This Row],[Date]])</f>
        <v>6</v>
      </c>
      <c r="N474" s="3" t="str">
        <f>TEXT(Weekly_Prices[[#This Row],[Date]],"MMMM")</f>
        <v>June</v>
      </c>
      <c r="O474" s="3" t="str">
        <f>YEAR(Weekly_Prices[[#This Row],[Date]])&amp;"-"&amp;TEXT(WEEKNUM(Weekly_Prices[[#This Row],[Date]],2),"00")</f>
        <v>2012-27</v>
      </c>
    </row>
    <row r="475" spans="1:15" x14ac:dyDescent="0.35">
      <c r="A475" s="2">
        <v>41092</v>
      </c>
      <c r="B475" s="3">
        <v>130.49736200000001</v>
      </c>
      <c r="C475" s="4">
        <f t="shared" si="28"/>
        <v>-1.0485580000000141</v>
      </c>
      <c r="D475" s="4">
        <f t="shared" si="26"/>
        <v>-2.930813999999998</v>
      </c>
      <c r="E475" s="3">
        <v>57.95</v>
      </c>
      <c r="F475" s="3">
        <v>20</v>
      </c>
      <c r="G475" s="3">
        <v>135.90737000000001</v>
      </c>
      <c r="H475" s="4">
        <f t="shared" si="29"/>
        <v>-1.2971060000000136</v>
      </c>
      <c r="I475" s="4">
        <f t="shared" si="27"/>
        <v>-1.7946594999999945</v>
      </c>
      <c r="J475" s="3">
        <v>57.95</v>
      </c>
      <c r="K475" s="3">
        <v>20</v>
      </c>
      <c r="L475" s="13">
        <f>YEAR(Weekly_Prices[[#This Row],[Date]])</f>
        <v>2012</v>
      </c>
      <c r="M475" s="13">
        <f>MONTH(Weekly_Prices[[#This Row],[Date]])</f>
        <v>7</v>
      </c>
      <c r="N475" s="3" t="str">
        <f>TEXT(Weekly_Prices[[#This Row],[Date]],"MMMM")</f>
        <v>July</v>
      </c>
      <c r="O475" s="3" t="str">
        <f>YEAR(Weekly_Prices[[#This Row],[Date]])&amp;"-"&amp;TEXT(WEEKNUM(Weekly_Prices[[#This Row],[Date]],2),"00")</f>
        <v>2012-28</v>
      </c>
    </row>
    <row r="476" spans="1:15" x14ac:dyDescent="0.35">
      <c r="A476" s="2">
        <v>41099</v>
      </c>
      <c r="B476" s="3">
        <v>131.05671599999999</v>
      </c>
      <c r="C476" s="4">
        <f t="shared" si="28"/>
        <v>0.55935399999998481</v>
      </c>
      <c r="D476" s="4">
        <f t="shared" si="26"/>
        <v>-3.1187740000000304</v>
      </c>
      <c r="E476" s="3">
        <v>57.95</v>
      </c>
      <c r="F476" s="3">
        <v>20</v>
      </c>
      <c r="G476" s="3">
        <v>136.43673799999999</v>
      </c>
      <c r="H476" s="4">
        <f t="shared" si="29"/>
        <v>0.52936799999997675</v>
      </c>
      <c r="I476" s="4">
        <f t="shared" si="27"/>
        <v>-1.9593419999999924</v>
      </c>
      <c r="J476" s="3">
        <v>57.95</v>
      </c>
      <c r="K476" s="3">
        <v>20</v>
      </c>
      <c r="L476" s="13">
        <f>YEAR(Weekly_Prices[[#This Row],[Date]])</f>
        <v>2012</v>
      </c>
      <c r="M476" s="13">
        <f>MONTH(Weekly_Prices[[#This Row],[Date]])</f>
        <v>7</v>
      </c>
      <c r="N476" s="3" t="str">
        <f>TEXT(Weekly_Prices[[#This Row],[Date]],"MMMM")</f>
        <v>July</v>
      </c>
      <c r="O476" s="3" t="str">
        <f>YEAR(Weekly_Prices[[#This Row],[Date]])&amp;"-"&amp;TEXT(WEEKNUM(Weekly_Prices[[#This Row],[Date]],2),"00")</f>
        <v>2012-29</v>
      </c>
    </row>
    <row r="477" spans="1:15" x14ac:dyDescent="0.35">
      <c r="A477" s="2">
        <v>41106</v>
      </c>
      <c r="B477" s="3">
        <v>131.490128</v>
      </c>
      <c r="C477" s="4">
        <f t="shared" si="28"/>
        <v>0.43341200000000413</v>
      </c>
      <c r="D477" s="4">
        <f t="shared" si="26"/>
        <v>-3.483319999999992</v>
      </c>
      <c r="E477" s="3">
        <v>57.95</v>
      </c>
      <c r="F477" s="3">
        <v>20</v>
      </c>
      <c r="G477" s="3">
        <v>136.84723399999999</v>
      </c>
      <c r="H477" s="4">
        <f t="shared" si="29"/>
        <v>0.41049599999999486</v>
      </c>
      <c r="I477" s="4">
        <f t="shared" si="27"/>
        <v>-2.5132925000000341</v>
      </c>
      <c r="J477" s="3">
        <v>57.95</v>
      </c>
      <c r="K477" s="3">
        <v>20</v>
      </c>
      <c r="L477" s="13">
        <f>YEAR(Weekly_Prices[[#This Row],[Date]])</f>
        <v>2012</v>
      </c>
      <c r="M477" s="13">
        <f>MONTH(Weekly_Prices[[#This Row],[Date]])</f>
        <v>7</v>
      </c>
      <c r="N477" s="3" t="str">
        <f>TEXT(Weekly_Prices[[#This Row],[Date]],"MMMM")</f>
        <v>July</v>
      </c>
      <c r="O477" s="3" t="str">
        <f>YEAR(Weekly_Prices[[#This Row],[Date]])&amp;"-"&amp;TEXT(WEEKNUM(Weekly_Prices[[#This Row],[Date]],2),"00")</f>
        <v>2012-30</v>
      </c>
    </row>
    <row r="478" spans="1:15" x14ac:dyDescent="0.35">
      <c r="A478" s="2">
        <v>41113</v>
      </c>
      <c r="B478" s="3">
        <v>132.21420599999999</v>
      </c>
      <c r="C478" s="4">
        <f t="shared" si="28"/>
        <v>0.72407799999999156</v>
      </c>
      <c r="D478" s="4">
        <f t="shared" si="26"/>
        <v>-3.4468699999999899</v>
      </c>
      <c r="E478" s="3">
        <v>57.95</v>
      </c>
      <c r="F478" s="3">
        <v>20</v>
      </c>
      <c r="G478" s="3">
        <v>137.72045800000001</v>
      </c>
      <c r="H478" s="4">
        <f t="shared" si="29"/>
        <v>0.87322400000002176</v>
      </c>
      <c r="I478" s="4">
        <f t="shared" si="27"/>
        <v>-2.2344329999999957</v>
      </c>
      <c r="J478" s="3">
        <v>57.95</v>
      </c>
      <c r="K478" s="3">
        <v>20</v>
      </c>
      <c r="L478" s="13">
        <f>YEAR(Weekly_Prices[[#This Row],[Date]])</f>
        <v>2012</v>
      </c>
      <c r="M478" s="13">
        <f>MONTH(Weekly_Prices[[#This Row],[Date]])</f>
        <v>7</v>
      </c>
      <c r="N478" s="3" t="str">
        <f>TEXT(Weekly_Prices[[#This Row],[Date]],"MMMM")</f>
        <v>July</v>
      </c>
      <c r="O478" s="3" t="str">
        <f>YEAR(Weekly_Prices[[#This Row],[Date]])&amp;"-"&amp;TEXT(WEEKNUM(Weekly_Prices[[#This Row],[Date]],2),"00")</f>
        <v>2012-31</v>
      </c>
    </row>
    <row r="479" spans="1:15" x14ac:dyDescent="0.35">
      <c r="A479" s="2">
        <v>41120</v>
      </c>
      <c r="B479" s="3">
        <v>132.77736899999999</v>
      </c>
      <c r="C479" s="4">
        <f t="shared" si="28"/>
        <v>0.56316300000000297</v>
      </c>
      <c r="D479" s="4">
        <f t="shared" si="26"/>
        <v>-3.2894430000000057</v>
      </c>
      <c r="E479" s="3">
        <v>57.95</v>
      </c>
      <c r="F479" s="3">
        <v>20</v>
      </c>
      <c r="G479" s="3">
        <v>138.251048</v>
      </c>
      <c r="H479" s="4">
        <f t="shared" si="29"/>
        <v>0.53058999999998946</v>
      </c>
      <c r="I479" s="4">
        <f t="shared" si="27"/>
        <v>-2.3037915000000169</v>
      </c>
      <c r="J479" s="3">
        <v>57.95</v>
      </c>
      <c r="K479" s="3">
        <v>20</v>
      </c>
      <c r="L479" s="13">
        <f>YEAR(Weekly_Prices[[#This Row],[Date]])</f>
        <v>2012</v>
      </c>
      <c r="M479" s="13">
        <f>MONTH(Weekly_Prices[[#This Row],[Date]])</f>
        <v>7</v>
      </c>
      <c r="N479" s="3" t="str">
        <f>TEXT(Weekly_Prices[[#This Row],[Date]],"MMMM")</f>
        <v>July</v>
      </c>
      <c r="O479" s="3" t="str">
        <f>YEAR(Weekly_Prices[[#This Row],[Date]])&amp;"-"&amp;TEXT(WEEKNUM(Weekly_Prices[[#This Row],[Date]],2),"00")</f>
        <v>2012-32</v>
      </c>
    </row>
    <row r="480" spans="1:15" x14ac:dyDescent="0.35">
      <c r="A480" s="2">
        <v>41127</v>
      </c>
      <c r="B480" s="3">
        <v>133.38968599999998</v>
      </c>
      <c r="C480" s="4">
        <f t="shared" si="28"/>
        <v>0.61231699999999023</v>
      </c>
      <c r="D480" s="4">
        <f t="shared" si="26"/>
        <v>-3.0738159999999937</v>
      </c>
      <c r="E480" s="3">
        <v>57.95</v>
      </c>
      <c r="F480" s="3">
        <v>20</v>
      </c>
      <c r="G480" s="3">
        <v>138.7893</v>
      </c>
      <c r="H480" s="4">
        <f t="shared" si="29"/>
        <v>0.53825199999999995</v>
      </c>
      <c r="I480" s="4">
        <f t="shared" si="27"/>
        <v>-2.0498405000000162</v>
      </c>
      <c r="J480" s="3">
        <v>57.95</v>
      </c>
      <c r="K480" s="3">
        <v>20</v>
      </c>
      <c r="L480" s="13">
        <f>YEAR(Weekly_Prices[[#This Row],[Date]])</f>
        <v>2012</v>
      </c>
      <c r="M480" s="13">
        <f>MONTH(Weekly_Prices[[#This Row],[Date]])</f>
        <v>8</v>
      </c>
      <c r="N480" s="3" t="str">
        <f>TEXT(Weekly_Prices[[#This Row],[Date]],"MMMM")</f>
        <v>August</v>
      </c>
      <c r="O480" s="3" t="str">
        <f>YEAR(Weekly_Prices[[#This Row],[Date]])&amp;"-"&amp;TEXT(WEEKNUM(Weekly_Prices[[#This Row],[Date]],2),"00")</f>
        <v>2012-33</v>
      </c>
    </row>
    <row r="481" spans="1:15" x14ac:dyDescent="0.35">
      <c r="A481" s="2">
        <v>41134</v>
      </c>
      <c r="B481" s="3">
        <v>134.268494</v>
      </c>
      <c r="C481" s="4">
        <f t="shared" si="28"/>
        <v>0.87880800000002068</v>
      </c>
      <c r="D481" s="4">
        <f t="shared" si="26"/>
        <v>-1.679239999999993</v>
      </c>
      <c r="E481" s="3">
        <v>57.95</v>
      </c>
      <c r="F481" s="3">
        <v>20</v>
      </c>
      <c r="G481" s="3">
        <v>139.46056200000001</v>
      </c>
      <c r="H481" s="4">
        <f t="shared" si="29"/>
        <v>0.6712620000000129</v>
      </c>
      <c r="I481" s="4">
        <f t="shared" si="27"/>
        <v>-0.89636199999998212</v>
      </c>
      <c r="J481" s="3">
        <v>57.95</v>
      </c>
      <c r="K481" s="3">
        <v>20</v>
      </c>
      <c r="L481" s="13">
        <f>YEAR(Weekly_Prices[[#This Row],[Date]])</f>
        <v>2012</v>
      </c>
      <c r="M481" s="13">
        <f>MONTH(Weekly_Prices[[#This Row],[Date]])</f>
        <v>8</v>
      </c>
      <c r="N481" s="3" t="str">
        <f>TEXT(Weekly_Prices[[#This Row],[Date]],"MMMM")</f>
        <v>August</v>
      </c>
      <c r="O481" s="3" t="str">
        <f>YEAR(Weekly_Prices[[#This Row],[Date]])&amp;"-"&amp;TEXT(WEEKNUM(Weekly_Prices[[#This Row],[Date]],2),"00")</f>
        <v>2012-34</v>
      </c>
    </row>
    <row r="482" spans="1:15" x14ac:dyDescent="0.35">
      <c r="A482" s="2">
        <v>41141</v>
      </c>
      <c r="B482" s="3">
        <v>135.72391199999998</v>
      </c>
      <c r="C482" s="4">
        <f t="shared" si="28"/>
        <v>1.4554179999999803</v>
      </c>
      <c r="D482" s="4">
        <f t="shared" si="26"/>
        <v>1.1646959999999922</v>
      </c>
      <c r="E482" s="3">
        <v>57.95</v>
      </c>
      <c r="F482" s="3">
        <v>20</v>
      </c>
      <c r="G482" s="3">
        <v>140.78570600000003</v>
      </c>
      <c r="H482" s="4">
        <f t="shared" si="29"/>
        <v>1.325144000000023</v>
      </c>
      <c r="I482" s="4">
        <f t="shared" si="27"/>
        <v>1.740945000000039</v>
      </c>
      <c r="J482" s="3">
        <v>57.95</v>
      </c>
      <c r="K482" s="3">
        <v>20</v>
      </c>
      <c r="L482" s="13">
        <f>YEAR(Weekly_Prices[[#This Row],[Date]])</f>
        <v>2012</v>
      </c>
      <c r="M482" s="13">
        <f>MONTH(Weekly_Prices[[#This Row],[Date]])</f>
        <v>8</v>
      </c>
      <c r="N482" s="3" t="str">
        <f>TEXT(Weekly_Prices[[#This Row],[Date]],"MMMM")</f>
        <v>August</v>
      </c>
      <c r="O482" s="3" t="str">
        <f>YEAR(Weekly_Prices[[#This Row],[Date]])&amp;"-"&amp;TEXT(WEEKNUM(Weekly_Prices[[#This Row],[Date]],2),"00")</f>
        <v>2012-35</v>
      </c>
    </row>
    <row r="483" spans="1:15" x14ac:dyDescent="0.35">
      <c r="A483" s="2">
        <v>41148</v>
      </c>
      <c r="B483" s="3">
        <v>137.09820200000001</v>
      </c>
      <c r="C483" s="4">
        <f t="shared" si="28"/>
        <v>1.3742900000000304</v>
      </c>
      <c r="D483" s="4">
        <f t="shared" si="26"/>
        <v>2.7806260000000123</v>
      </c>
      <c r="E483" s="3">
        <v>57.95</v>
      </c>
      <c r="F483" s="3">
        <v>20</v>
      </c>
      <c r="G483" s="3">
        <v>142.168836</v>
      </c>
      <c r="H483" s="4">
        <f t="shared" si="29"/>
        <v>1.3831299999999658</v>
      </c>
      <c r="I483" s="4">
        <f t="shared" si="27"/>
        <v>3.453362999999996</v>
      </c>
      <c r="J483" s="3">
        <v>57.95</v>
      </c>
      <c r="K483" s="3">
        <v>20</v>
      </c>
      <c r="L483" s="13">
        <f>YEAR(Weekly_Prices[[#This Row],[Date]])</f>
        <v>2012</v>
      </c>
      <c r="M483" s="13">
        <f>MONTH(Weekly_Prices[[#This Row],[Date]])</f>
        <v>8</v>
      </c>
      <c r="N483" s="3" t="str">
        <f>TEXT(Weekly_Prices[[#This Row],[Date]],"MMMM")</f>
        <v>August</v>
      </c>
      <c r="O483" s="3" t="str">
        <f>YEAR(Weekly_Prices[[#This Row],[Date]])&amp;"-"&amp;TEXT(WEEKNUM(Weekly_Prices[[#This Row],[Date]],2),"00")</f>
        <v>2012-36</v>
      </c>
    </row>
    <row r="484" spans="1:15" x14ac:dyDescent="0.35">
      <c r="A484" s="2">
        <v>41155</v>
      </c>
      <c r="B484" s="3">
        <v>138.02894799999999</v>
      </c>
      <c r="C484" s="4">
        <f t="shared" si="28"/>
        <v>0.93074599999997076</v>
      </c>
      <c r="D484" s="4">
        <f t="shared" si="26"/>
        <v>3.4095219999999813</v>
      </c>
      <c r="E484" s="3">
        <v>57.95</v>
      </c>
      <c r="F484" s="3">
        <v>20</v>
      </c>
      <c r="G484" s="3">
        <v>142.87187200000002</v>
      </c>
      <c r="H484" s="4">
        <f t="shared" si="29"/>
        <v>0.70303600000002575</v>
      </c>
      <c r="I484" s="4">
        <f t="shared" si="27"/>
        <v>3.9156940000000304</v>
      </c>
      <c r="J484" s="3">
        <v>57.95</v>
      </c>
      <c r="K484" s="3">
        <v>20</v>
      </c>
      <c r="L484" s="13">
        <f>YEAR(Weekly_Prices[[#This Row],[Date]])</f>
        <v>2012</v>
      </c>
      <c r="M484" s="13">
        <f>MONTH(Weekly_Prices[[#This Row],[Date]])</f>
        <v>9</v>
      </c>
      <c r="N484" s="3" t="str">
        <f>TEXT(Weekly_Prices[[#This Row],[Date]],"MMMM")</f>
        <v>September</v>
      </c>
      <c r="O484" s="3" t="str">
        <f>YEAR(Weekly_Prices[[#This Row],[Date]])&amp;"-"&amp;TEXT(WEEKNUM(Weekly_Prices[[#This Row],[Date]],2),"00")</f>
        <v>2012-37</v>
      </c>
    </row>
    <row r="485" spans="1:15" x14ac:dyDescent="0.35">
      <c r="A485" s="2">
        <v>41162</v>
      </c>
      <c r="B485" s="3">
        <v>138.90583600000002</v>
      </c>
      <c r="C485" s="4">
        <f t="shared" si="28"/>
        <v>0.87688800000003653</v>
      </c>
      <c r="D485" s="4">
        <f t="shared" si="26"/>
        <v>3.902639000000022</v>
      </c>
      <c r="E485" s="3">
        <v>57.95</v>
      </c>
      <c r="F485" s="3">
        <v>20</v>
      </c>
      <c r="G485" s="3">
        <v>143.655124</v>
      </c>
      <c r="H485" s="4">
        <f t="shared" si="29"/>
        <v>0.78325199999997608</v>
      </c>
      <c r="I485" s="4">
        <f t="shared" si="27"/>
        <v>4.2566644999999994</v>
      </c>
      <c r="J485" s="3">
        <v>57.95</v>
      </c>
      <c r="K485" s="3">
        <v>20</v>
      </c>
      <c r="L485" s="13">
        <f>YEAR(Weekly_Prices[[#This Row],[Date]])</f>
        <v>2012</v>
      </c>
      <c r="M485" s="13">
        <f>MONTH(Weekly_Prices[[#This Row],[Date]])</f>
        <v>9</v>
      </c>
      <c r="N485" s="3" t="str">
        <f>TEXT(Weekly_Prices[[#This Row],[Date]],"MMMM")</f>
        <v>September</v>
      </c>
      <c r="O485" s="3" t="str">
        <f>YEAR(Weekly_Prices[[#This Row],[Date]])&amp;"-"&amp;TEXT(WEEKNUM(Weekly_Prices[[#This Row],[Date]],2),"00")</f>
        <v>2012-38</v>
      </c>
    </row>
    <row r="486" spans="1:15" x14ac:dyDescent="0.35">
      <c r="A486" s="2">
        <v>41169</v>
      </c>
      <c r="B486" s="3">
        <v>139.42084</v>
      </c>
      <c r="C486" s="4">
        <f t="shared" si="28"/>
        <v>0.51500399999997626</v>
      </c>
      <c r="D486" s="4">
        <f t="shared" si="26"/>
        <v>4.0190320000000099</v>
      </c>
      <c r="E486" s="3">
        <v>57.95</v>
      </c>
      <c r="F486" s="3">
        <v>20</v>
      </c>
      <c r="G486" s="3">
        <v>144.17528600000003</v>
      </c>
      <c r="H486" s="4">
        <f t="shared" si="29"/>
        <v>0.52016200000002755</v>
      </c>
      <c r="I486" s="4">
        <f t="shared" si="27"/>
        <v>4.3137460000000374</v>
      </c>
      <c r="J486" s="3">
        <v>57.95</v>
      </c>
      <c r="K486" s="3">
        <v>20</v>
      </c>
      <c r="L486" s="13">
        <f>YEAR(Weekly_Prices[[#This Row],[Date]])</f>
        <v>2012</v>
      </c>
      <c r="M486" s="13">
        <f>MONTH(Weekly_Prices[[#This Row],[Date]])</f>
        <v>9</v>
      </c>
      <c r="N486" s="3" t="str">
        <f>TEXT(Weekly_Prices[[#This Row],[Date]],"MMMM")</f>
        <v>September</v>
      </c>
      <c r="O486" s="3" t="str">
        <f>YEAR(Weekly_Prices[[#This Row],[Date]])&amp;"-"&amp;TEXT(WEEKNUM(Weekly_Prices[[#This Row],[Date]],2),"00")</f>
        <v>2012-39</v>
      </c>
    </row>
    <row r="487" spans="1:15" x14ac:dyDescent="0.35">
      <c r="A487" s="2">
        <v>41176</v>
      </c>
      <c r="B487" s="3">
        <v>139.53570199999999</v>
      </c>
      <c r="C487" s="4">
        <f t="shared" si="28"/>
        <v>0.11486199999998803</v>
      </c>
      <c r="D487" s="4">
        <f t="shared" si="26"/>
        <v>3.881637999999981</v>
      </c>
      <c r="E487" s="3">
        <v>57.95</v>
      </c>
      <c r="F487" s="3">
        <v>20</v>
      </c>
      <c r="G487" s="3">
        <v>144.35665399999999</v>
      </c>
      <c r="H487" s="4">
        <f t="shared" si="29"/>
        <v>0.18136799999996356</v>
      </c>
      <c r="I487" s="4">
        <f t="shared" si="27"/>
        <v>4.2163714999999797</v>
      </c>
      <c r="J487" s="3">
        <v>57.95</v>
      </c>
      <c r="K487" s="3">
        <v>20</v>
      </c>
      <c r="L487" s="13">
        <f>YEAR(Weekly_Prices[[#This Row],[Date]])</f>
        <v>2012</v>
      </c>
      <c r="M487" s="13">
        <f>MONTH(Weekly_Prices[[#This Row],[Date]])</f>
        <v>9</v>
      </c>
      <c r="N487" s="3" t="str">
        <f>TEXT(Weekly_Prices[[#This Row],[Date]],"MMMM")</f>
        <v>September</v>
      </c>
      <c r="O487" s="3" t="str">
        <f>YEAR(Weekly_Prices[[#This Row],[Date]])&amp;"-"&amp;TEXT(WEEKNUM(Weekly_Prices[[#This Row],[Date]],2),"00")</f>
        <v>2012-40</v>
      </c>
    </row>
    <row r="488" spans="1:15" x14ac:dyDescent="0.35">
      <c r="A488" s="2">
        <v>41183</v>
      </c>
      <c r="B488" s="3">
        <v>138.432863</v>
      </c>
      <c r="C488" s="4">
        <f t="shared" si="28"/>
        <v>-1.1028389999999888</v>
      </c>
      <c r="D488" s="4">
        <f t="shared" si="26"/>
        <v>3.4113549999999861</v>
      </c>
      <c r="E488" s="3">
        <v>57.95</v>
      </c>
      <c r="F488" s="3">
        <v>20</v>
      </c>
      <c r="G488" s="3">
        <v>143.28373400000001</v>
      </c>
      <c r="H488" s="4">
        <f t="shared" si="29"/>
        <v>-1.0729199999999821</v>
      </c>
      <c r="I488" s="4">
        <f t="shared" si="27"/>
        <v>3.5179134999999917</v>
      </c>
      <c r="J488" s="3">
        <v>57.95</v>
      </c>
      <c r="K488" s="3">
        <v>20</v>
      </c>
      <c r="L488" s="13">
        <f>YEAR(Weekly_Prices[[#This Row],[Date]])</f>
        <v>2012</v>
      </c>
      <c r="M488" s="13">
        <f>MONTH(Weekly_Prices[[#This Row],[Date]])</f>
        <v>10</v>
      </c>
      <c r="N488" s="3" t="str">
        <f>TEXT(Weekly_Prices[[#This Row],[Date]],"MMMM")</f>
        <v>October</v>
      </c>
      <c r="O488" s="3" t="str">
        <f>YEAR(Weekly_Prices[[#This Row],[Date]])&amp;"-"&amp;TEXT(WEEKNUM(Weekly_Prices[[#This Row],[Date]],2),"00")</f>
        <v>2012-41</v>
      </c>
    </row>
    <row r="489" spans="1:15" x14ac:dyDescent="0.35">
      <c r="A489" s="2">
        <v>41190</v>
      </c>
      <c r="B489" s="3">
        <v>138.236786</v>
      </c>
      <c r="C489" s="4">
        <f t="shared" si="28"/>
        <v>-0.1960770000000025</v>
      </c>
      <c r="D489" s="4">
        <f t="shared" si="26"/>
        <v>3.7646960000000149</v>
      </c>
      <c r="E489" s="3">
        <v>57.95</v>
      </c>
      <c r="F489" s="3">
        <v>20</v>
      </c>
      <c r="G489" s="3">
        <v>143.04659800000002</v>
      </c>
      <c r="H489" s="4">
        <f t="shared" si="29"/>
        <v>-0.23713599999999246</v>
      </c>
      <c r="I489" s="4">
        <f t="shared" si="27"/>
        <v>3.5262005000000158</v>
      </c>
      <c r="J489" s="3">
        <v>57.95</v>
      </c>
      <c r="K489" s="3">
        <v>20</v>
      </c>
      <c r="L489" s="13">
        <f>YEAR(Weekly_Prices[[#This Row],[Date]])</f>
        <v>2012</v>
      </c>
      <c r="M489" s="13">
        <f>MONTH(Weekly_Prices[[#This Row],[Date]])</f>
        <v>10</v>
      </c>
      <c r="N489" s="3" t="str">
        <f>TEXT(Weekly_Prices[[#This Row],[Date]],"MMMM")</f>
        <v>October</v>
      </c>
      <c r="O489" s="3" t="str">
        <f>YEAR(Weekly_Prices[[#This Row],[Date]])&amp;"-"&amp;TEXT(WEEKNUM(Weekly_Prices[[#This Row],[Date]],2),"00")</f>
        <v>2012-42</v>
      </c>
    </row>
    <row r="490" spans="1:15" x14ac:dyDescent="0.35">
      <c r="A490" s="2">
        <v>41197</v>
      </c>
      <c r="B490" s="3">
        <v>138.34782000000001</v>
      </c>
      <c r="C490" s="4">
        <f t="shared" si="28"/>
        <v>0.11103400000001784</v>
      </c>
      <c r="D490" s="4">
        <f t="shared" si="26"/>
        <v>3.8591760000000193</v>
      </c>
      <c r="E490" s="3">
        <v>57.95</v>
      </c>
      <c r="F490" s="3">
        <v>20</v>
      </c>
      <c r="G490" s="3">
        <v>143.23495600000001</v>
      </c>
      <c r="H490" s="4">
        <f t="shared" si="29"/>
        <v>0.18835799999999381</v>
      </c>
      <c r="I490" s="4">
        <f t="shared" si="27"/>
        <v>3.5094950000000154</v>
      </c>
      <c r="J490" s="3">
        <v>57.95</v>
      </c>
      <c r="K490" s="3">
        <v>20</v>
      </c>
      <c r="L490" s="13">
        <f>YEAR(Weekly_Prices[[#This Row],[Date]])</f>
        <v>2012</v>
      </c>
      <c r="M490" s="13">
        <f>MONTH(Weekly_Prices[[#This Row],[Date]])</f>
        <v>10</v>
      </c>
      <c r="N490" s="3" t="str">
        <f>TEXT(Weekly_Prices[[#This Row],[Date]],"MMMM")</f>
        <v>October</v>
      </c>
      <c r="O490" s="3" t="str">
        <f>YEAR(Weekly_Prices[[#This Row],[Date]])&amp;"-"&amp;TEXT(WEEKNUM(Weekly_Prices[[#This Row],[Date]],2),"00")</f>
        <v>2012-43</v>
      </c>
    </row>
    <row r="491" spans="1:15" x14ac:dyDescent="0.35">
      <c r="A491" s="2">
        <v>41204</v>
      </c>
      <c r="B491" s="3">
        <v>138.29239100000001</v>
      </c>
      <c r="C491" s="4">
        <f t="shared" si="28"/>
        <v>-5.5429000000003725E-2</v>
      </c>
      <c r="D491" s="4">
        <f t="shared" si="26"/>
        <v>3.6331950000000006</v>
      </c>
      <c r="E491" s="3">
        <v>57.95</v>
      </c>
      <c r="F491" s="3">
        <v>20</v>
      </c>
      <c r="G491" s="3">
        <v>143.226978</v>
      </c>
      <c r="H491" s="4">
        <f t="shared" si="29"/>
        <v>-7.9780000000084783E-3</v>
      </c>
      <c r="I491" s="4">
        <f t="shared" si="27"/>
        <v>3.0327109999999777</v>
      </c>
      <c r="J491" s="3">
        <v>57.95</v>
      </c>
      <c r="K491" s="3">
        <v>20</v>
      </c>
      <c r="L491" s="13">
        <f>YEAR(Weekly_Prices[[#This Row],[Date]])</f>
        <v>2012</v>
      </c>
      <c r="M491" s="13">
        <f>MONTH(Weekly_Prices[[#This Row],[Date]])</f>
        <v>10</v>
      </c>
      <c r="N491" s="3" t="str">
        <f>TEXT(Weekly_Prices[[#This Row],[Date]],"MMMM")</f>
        <v>October</v>
      </c>
      <c r="O491" s="3" t="str">
        <f>YEAR(Weekly_Prices[[#This Row],[Date]])&amp;"-"&amp;TEXT(WEEKNUM(Weekly_Prices[[#This Row],[Date]],2),"00")</f>
        <v>2012-44</v>
      </c>
    </row>
    <row r="492" spans="1:15" x14ac:dyDescent="0.35">
      <c r="A492" s="2">
        <v>41211</v>
      </c>
      <c r="B492" s="3">
        <v>136.983599</v>
      </c>
      <c r="C492" s="4">
        <f t="shared" si="28"/>
        <v>-1.3087920000000111</v>
      </c>
      <c r="D492" s="4">
        <f t="shared" si="26"/>
        <v>2.2489829999999813</v>
      </c>
      <c r="E492" s="3">
        <v>57.95</v>
      </c>
      <c r="F492" s="3">
        <v>20</v>
      </c>
      <c r="G492" s="3">
        <v>142.99806599999999</v>
      </c>
      <c r="H492" s="4">
        <f t="shared" si="29"/>
        <v>-0.22891200000000822</v>
      </c>
      <c r="I492" s="4">
        <f t="shared" si="27"/>
        <v>2.7270159999999919</v>
      </c>
      <c r="J492" s="3">
        <v>57.95</v>
      </c>
      <c r="K492" s="3">
        <v>20</v>
      </c>
      <c r="L492" s="13">
        <f>YEAR(Weekly_Prices[[#This Row],[Date]])</f>
        <v>2012</v>
      </c>
      <c r="M492" s="13">
        <f>MONTH(Weekly_Prices[[#This Row],[Date]])</f>
        <v>10</v>
      </c>
      <c r="N492" s="3" t="str">
        <f>TEXT(Weekly_Prices[[#This Row],[Date]],"MMMM")</f>
        <v>October</v>
      </c>
      <c r="O492" s="3" t="str">
        <f>YEAR(Weekly_Prices[[#This Row],[Date]])&amp;"-"&amp;TEXT(WEEKNUM(Weekly_Prices[[#This Row],[Date]],2),"00")</f>
        <v>2012-45</v>
      </c>
    </row>
    <row r="493" spans="1:15" x14ac:dyDescent="0.35">
      <c r="A493" s="2">
        <v>41218</v>
      </c>
      <c r="B493" s="3">
        <v>136.43301499999998</v>
      </c>
      <c r="C493" s="4">
        <f t="shared" si="28"/>
        <v>-0.55058400000001484</v>
      </c>
      <c r="D493" s="4">
        <f t="shared" si="26"/>
        <v>2.0276470000000018</v>
      </c>
      <c r="E493" s="3">
        <v>57.95</v>
      </c>
      <c r="F493" s="3">
        <v>20</v>
      </c>
      <c r="G493" s="3">
        <v>142.753433</v>
      </c>
      <c r="H493" s="4">
        <f t="shared" si="29"/>
        <v>-0.24463299999999322</v>
      </c>
      <c r="I493" s="4">
        <f t="shared" si="27"/>
        <v>2.3366985000000113</v>
      </c>
      <c r="J493" s="3">
        <v>57.95</v>
      </c>
      <c r="K493" s="3">
        <v>20</v>
      </c>
      <c r="L493" s="13">
        <f>YEAR(Weekly_Prices[[#This Row],[Date]])</f>
        <v>2012</v>
      </c>
      <c r="M493" s="13">
        <f>MONTH(Weekly_Prices[[#This Row],[Date]])</f>
        <v>11</v>
      </c>
      <c r="N493" s="3" t="str">
        <f>TEXT(Weekly_Prices[[#This Row],[Date]],"MMMM")</f>
        <v>November</v>
      </c>
      <c r="O493" s="3" t="str">
        <f>YEAR(Weekly_Prices[[#This Row],[Date]])&amp;"-"&amp;TEXT(WEEKNUM(Weekly_Prices[[#This Row],[Date]],2),"00")</f>
        <v>2012-46</v>
      </c>
    </row>
    <row r="494" spans="1:15" x14ac:dyDescent="0.35">
      <c r="A494" s="2">
        <v>41225</v>
      </c>
      <c r="B494" s="3">
        <v>135.086015</v>
      </c>
      <c r="C494" s="4">
        <f t="shared" si="28"/>
        <v>-1.34699999999998</v>
      </c>
      <c r="D494" s="4">
        <f t="shared" si="26"/>
        <v>1.409715000000034</v>
      </c>
      <c r="E494" s="3">
        <v>57.95</v>
      </c>
      <c r="F494" s="3">
        <v>20</v>
      </c>
      <c r="G494" s="3">
        <v>141.74304000000001</v>
      </c>
      <c r="H494" s="4">
        <f t="shared" si="29"/>
        <v>-1.0103929999999934</v>
      </c>
      <c r="I494" s="4">
        <f t="shared" si="27"/>
        <v>1.2107965000000149</v>
      </c>
      <c r="J494" s="3">
        <v>57.95</v>
      </c>
      <c r="K494" s="3">
        <v>20</v>
      </c>
      <c r="L494" s="13">
        <f>YEAR(Weekly_Prices[[#This Row],[Date]])</f>
        <v>2012</v>
      </c>
      <c r="M494" s="13">
        <f>MONTH(Weekly_Prices[[#This Row],[Date]])</f>
        <v>11</v>
      </c>
      <c r="N494" s="3" t="str">
        <f>TEXT(Weekly_Prices[[#This Row],[Date]],"MMMM")</f>
        <v>November</v>
      </c>
      <c r="O494" s="3" t="str">
        <f>YEAR(Weekly_Prices[[#This Row],[Date]])&amp;"-"&amp;TEXT(WEEKNUM(Weekly_Prices[[#This Row],[Date]],2),"00")</f>
        <v>2012-47</v>
      </c>
    </row>
    <row r="495" spans="1:15" x14ac:dyDescent="0.35">
      <c r="A495" s="2">
        <v>41232</v>
      </c>
      <c r="B495" s="3">
        <v>134.561207</v>
      </c>
      <c r="C495" s="4">
        <f t="shared" si="28"/>
        <v>-0.52480800000000727</v>
      </c>
      <c r="D495" s="4">
        <f t="shared" si="26"/>
        <v>1.1861869999999897</v>
      </c>
      <c r="E495" s="3">
        <v>57.95</v>
      </c>
      <c r="F495" s="3">
        <v>20</v>
      </c>
      <c r="G495" s="3">
        <v>141.32775599999999</v>
      </c>
      <c r="H495" s="4">
        <f t="shared" si="29"/>
        <v>-0.41528400000001398</v>
      </c>
      <c r="I495" s="4">
        <f t="shared" si="27"/>
        <v>0.26404249999998797</v>
      </c>
      <c r="J495" s="3">
        <v>57.95</v>
      </c>
      <c r="K495" s="3">
        <v>20</v>
      </c>
      <c r="L495" s="13">
        <f>YEAR(Weekly_Prices[[#This Row],[Date]])</f>
        <v>2012</v>
      </c>
      <c r="M495" s="13">
        <f>MONTH(Weekly_Prices[[#This Row],[Date]])</f>
        <v>11</v>
      </c>
      <c r="N495" s="3" t="str">
        <f>TEXT(Weekly_Prices[[#This Row],[Date]],"MMMM")</f>
        <v>November</v>
      </c>
      <c r="O495" s="3" t="str">
        <f>YEAR(Weekly_Prices[[#This Row],[Date]])&amp;"-"&amp;TEXT(WEEKNUM(Weekly_Prices[[#This Row],[Date]],2),"00")</f>
        <v>2012-48</v>
      </c>
    </row>
    <row r="496" spans="1:15" x14ac:dyDescent="0.35">
      <c r="A496" s="2">
        <v>41239</v>
      </c>
      <c r="B496" s="3">
        <v>134.37590900000001</v>
      </c>
      <c r="C496" s="4">
        <f t="shared" si="28"/>
        <v>-0.18529799999998886</v>
      </c>
      <c r="D496" s="4">
        <f t="shared" si="26"/>
        <v>1.2082220000000063</v>
      </c>
      <c r="E496" s="3">
        <v>57.95</v>
      </c>
      <c r="F496" s="3">
        <v>20</v>
      </c>
      <c r="G496" s="3">
        <v>141.12770800000001</v>
      </c>
      <c r="H496" s="4">
        <f t="shared" si="29"/>
        <v>-0.20004799999998113</v>
      </c>
      <c r="I496" s="4">
        <f t="shared" si="27"/>
        <v>3.1765500000005886E-2</v>
      </c>
      <c r="J496" s="3">
        <v>57.95</v>
      </c>
      <c r="K496" s="3">
        <v>20</v>
      </c>
      <c r="L496" s="13">
        <f>YEAR(Weekly_Prices[[#This Row],[Date]])</f>
        <v>2012</v>
      </c>
      <c r="M496" s="13">
        <f>MONTH(Weekly_Prices[[#This Row],[Date]])</f>
        <v>11</v>
      </c>
      <c r="N496" s="3" t="str">
        <f>TEXT(Weekly_Prices[[#This Row],[Date]],"MMMM")</f>
        <v>November</v>
      </c>
      <c r="O496" s="3" t="str">
        <f>YEAR(Weekly_Prices[[#This Row],[Date]])&amp;"-"&amp;TEXT(WEEKNUM(Weekly_Prices[[#This Row],[Date]],2),"00")</f>
        <v>2012-49</v>
      </c>
    </row>
    <row r="497" spans="1:15" x14ac:dyDescent="0.35">
      <c r="A497" s="2">
        <v>41246</v>
      </c>
      <c r="B497" s="3">
        <v>133.049633</v>
      </c>
      <c r="C497" s="4">
        <f t="shared" si="28"/>
        <v>-1.3262760000000071</v>
      </c>
      <c r="D497" s="4">
        <f t="shared" si="26"/>
        <v>0.27252500000000168</v>
      </c>
      <c r="E497" s="3">
        <v>57.95</v>
      </c>
      <c r="F497" s="3">
        <v>20</v>
      </c>
      <c r="G497" s="3">
        <v>140.90526399999999</v>
      </c>
      <c r="H497" s="4">
        <f t="shared" si="29"/>
        <v>-0.22244400000002429</v>
      </c>
      <c r="I497" s="4">
        <f t="shared" si="27"/>
        <v>-8.8746000000014647E-2</v>
      </c>
      <c r="J497" s="3">
        <v>57.95</v>
      </c>
      <c r="K497" s="3">
        <v>20</v>
      </c>
      <c r="L497" s="13">
        <f>YEAR(Weekly_Prices[[#This Row],[Date]])</f>
        <v>2012</v>
      </c>
      <c r="M497" s="13">
        <f>MONTH(Weekly_Prices[[#This Row],[Date]])</f>
        <v>12</v>
      </c>
      <c r="N497" s="3" t="str">
        <f>TEXT(Weekly_Prices[[#This Row],[Date]],"MMMM")</f>
        <v>December</v>
      </c>
      <c r="O497" s="3" t="str">
        <f>YEAR(Weekly_Prices[[#This Row],[Date]])&amp;"-"&amp;TEXT(WEEKNUM(Weekly_Prices[[#This Row],[Date]],2),"00")</f>
        <v>2012-50</v>
      </c>
    </row>
    <row r="498" spans="1:15" x14ac:dyDescent="0.35">
      <c r="A498" s="2">
        <v>41253</v>
      </c>
      <c r="B498" s="3">
        <v>132.548633</v>
      </c>
      <c r="C498" s="4">
        <f t="shared" si="28"/>
        <v>-0.50100000000000477</v>
      </c>
      <c r="D498" s="4">
        <f t="shared" si="26"/>
        <v>2.06410000000119E-2</v>
      </c>
      <c r="E498" s="3">
        <v>57.95</v>
      </c>
      <c r="F498" s="3">
        <v>20</v>
      </c>
      <c r="G498" s="3">
        <v>140.76424</v>
      </c>
      <c r="H498" s="4">
        <f t="shared" si="29"/>
        <v>-0.14102399999998738</v>
      </c>
      <c r="I498" s="4">
        <f t="shared" si="27"/>
        <v>-0.18806449999999586</v>
      </c>
      <c r="J498" s="3">
        <v>57.95</v>
      </c>
      <c r="K498" s="3">
        <v>20</v>
      </c>
      <c r="L498" s="13">
        <f>YEAR(Weekly_Prices[[#This Row],[Date]])</f>
        <v>2012</v>
      </c>
      <c r="M498" s="13">
        <f>MONTH(Weekly_Prices[[#This Row],[Date]])</f>
        <v>12</v>
      </c>
      <c r="N498" s="3" t="str">
        <f>TEXT(Weekly_Prices[[#This Row],[Date]],"MMMM")</f>
        <v>December</v>
      </c>
      <c r="O498" s="3" t="str">
        <f>YEAR(Weekly_Prices[[#This Row],[Date]])&amp;"-"&amp;TEXT(WEEKNUM(Weekly_Prices[[#This Row],[Date]],2),"00")</f>
        <v>2012-51</v>
      </c>
    </row>
    <row r="499" spans="1:15" x14ac:dyDescent="0.35">
      <c r="A499" s="2">
        <v>41260</v>
      </c>
      <c r="B499" s="3">
        <v>131.97664700000001</v>
      </c>
      <c r="C499" s="4">
        <f t="shared" si="28"/>
        <v>-0.57198599999998123</v>
      </c>
      <c r="D499" s="4">
        <f t="shared" si="26"/>
        <v>-0.51055899999997223</v>
      </c>
      <c r="E499" s="3">
        <v>57.95</v>
      </c>
      <c r="F499" s="3">
        <v>20</v>
      </c>
      <c r="G499" s="3">
        <v>140.07936999999998</v>
      </c>
      <c r="H499" s="4">
        <f t="shared" si="29"/>
        <v>-0.68487000000001785</v>
      </c>
      <c r="I499" s="4">
        <f t="shared" si="27"/>
        <v>-0.84657400000003236</v>
      </c>
      <c r="J499" s="3">
        <v>57.95</v>
      </c>
      <c r="K499" s="3">
        <v>20</v>
      </c>
      <c r="L499" s="13">
        <f>YEAR(Weekly_Prices[[#This Row],[Date]])</f>
        <v>2012</v>
      </c>
      <c r="M499" s="13">
        <f>MONTH(Weekly_Prices[[#This Row],[Date]])</f>
        <v>12</v>
      </c>
      <c r="N499" s="3" t="str">
        <f>TEXT(Weekly_Prices[[#This Row],[Date]],"MMMM")</f>
        <v>December</v>
      </c>
      <c r="O499" s="3" t="str">
        <f>YEAR(Weekly_Prices[[#This Row],[Date]])&amp;"-"&amp;TEXT(WEEKNUM(Weekly_Prices[[#This Row],[Date]],2),"00")</f>
        <v>2012-52</v>
      </c>
    </row>
    <row r="500" spans="1:15" x14ac:dyDescent="0.35">
      <c r="A500" s="2">
        <v>41267</v>
      </c>
      <c r="B500" s="3">
        <v>131.95196300000001</v>
      </c>
      <c r="C500" s="4">
        <f t="shared" si="28"/>
        <v>-2.46840000000077E-2</v>
      </c>
      <c r="D500" s="4">
        <f t="shared" si="26"/>
        <v>-0.45788200000001211</v>
      </c>
      <c r="E500" s="3">
        <v>57.95</v>
      </c>
      <c r="F500" s="3">
        <v>20</v>
      </c>
      <c r="G500" s="3">
        <v>139.838594</v>
      </c>
      <c r="H500" s="4">
        <f t="shared" si="29"/>
        <v>-0.24077599999998256</v>
      </c>
      <c r="I500" s="4">
        <f t="shared" si="27"/>
        <v>-0.93478100000001518</v>
      </c>
      <c r="J500" s="3">
        <v>57.95</v>
      </c>
      <c r="K500" s="3">
        <v>20</v>
      </c>
      <c r="L500" s="13">
        <f>YEAR(Weekly_Prices[[#This Row],[Date]])</f>
        <v>2012</v>
      </c>
      <c r="M500" s="13">
        <f>MONTH(Weekly_Prices[[#This Row],[Date]])</f>
        <v>12</v>
      </c>
      <c r="N500" s="3" t="str">
        <f>TEXT(Weekly_Prices[[#This Row],[Date]],"MMMM")</f>
        <v>December</v>
      </c>
      <c r="O500" s="3" t="str">
        <f>YEAR(Weekly_Prices[[#This Row],[Date]])&amp;"-"&amp;TEXT(WEEKNUM(Weekly_Prices[[#This Row],[Date]],2),"00")</f>
        <v>2012-53</v>
      </c>
    </row>
    <row r="501" spans="1:15" x14ac:dyDescent="0.35">
      <c r="A501" s="2">
        <v>41274</v>
      </c>
      <c r="B501" s="3">
        <v>131.91955799999999</v>
      </c>
      <c r="C501" s="4">
        <f t="shared" si="28"/>
        <v>-3.2405000000011341E-2</v>
      </c>
      <c r="D501" s="4">
        <f t="shared" si="26"/>
        <v>-0.48295100000001412</v>
      </c>
      <c r="E501" s="3">
        <v>57.95</v>
      </c>
      <c r="F501" s="3">
        <v>20</v>
      </c>
      <c r="G501" s="3">
        <v>139.81163000000001</v>
      </c>
      <c r="H501" s="4">
        <f t="shared" si="29"/>
        <v>-2.6963999999992438E-2</v>
      </c>
      <c r="I501" s="4">
        <f t="shared" si="27"/>
        <v>-1.0246799999999894</v>
      </c>
      <c r="J501" s="3">
        <v>57.95</v>
      </c>
      <c r="K501" s="3">
        <v>20</v>
      </c>
      <c r="L501" s="13">
        <f>YEAR(Weekly_Prices[[#This Row],[Date]])</f>
        <v>2012</v>
      </c>
      <c r="M501" s="13">
        <f>MONTH(Weekly_Prices[[#This Row],[Date]])</f>
        <v>12</v>
      </c>
      <c r="N501" s="3" t="str">
        <f>TEXT(Weekly_Prices[[#This Row],[Date]],"MMMM")</f>
        <v>December</v>
      </c>
      <c r="O501" s="3" t="str">
        <f>YEAR(Weekly_Prices[[#This Row],[Date]])&amp;"-"&amp;TEXT(WEEKNUM(Weekly_Prices[[#This Row],[Date]],2),"00")</f>
        <v>2012-54</v>
      </c>
    </row>
    <row r="502" spans="1:15" x14ac:dyDescent="0.35">
      <c r="A502" s="2">
        <v>41281</v>
      </c>
      <c r="B502" s="3">
        <v>131.86071500000003</v>
      </c>
      <c r="C502" s="4">
        <f t="shared" si="28"/>
        <v>-5.884299999996756E-2</v>
      </c>
      <c r="D502" s="4">
        <f t="shared" si="26"/>
        <v>-0.82076499999996599</v>
      </c>
      <c r="E502" s="3">
        <v>57.95</v>
      </c>
      <c r="F502" s="3">
        <v>20</v>
      </c>
      <c r="G502" s="3">
        <v>139.75267300000002</v>
      </c>
      <c r="H502" s="4">
        <f t="shared" si="29"/>
        <v>-5.8956999999992377E-2</v>
      </c>
      <c r="I502" s="4">
        <f t="shared" si="27"/>
        <v>-1.2519619999999918</v>
      </c>
      <c r="J502" s="3">
        <v>57.95</v>
      </c>
      <c r="K502" s="3">
        <v>20</v>
      </c>
      <c r="L502" s="13">
        <f>YEAR(Weekly_Prices[[#This Row],[Date]])</f>
        <v>2013</v>
      </c>
      <c r="M502" s="13">
        <f>MONTH(Weekly_Prices[[#This Row],[Date]])</f>
        <v>1</v>
      </c>
      <c r="N502" s="3" t="str">
        <f>TEXT(Weekly_Prices[[#This Row],[Date]],"MMMM")</f>
        <v>January</v>
      </c>
      <c r="O502" s="3" t="str">
        <f>YEAR(Weekly_Prices[[#This Row],[Date]])&amp;"-"&amp;TEXT(WEEKNUM(Weekly_Prices[[#This Row],[Date]],2),"00")</f>
        <v>2013-02</v>
      </c>
    </row>
    <row r="503" spans="1:15" x14ac:dyDescent="0.35">
      <c r="A503" s="2">
        <v>41288</v>
      </c>
      <c r="B503" s="3">
        <v>132.000415</v>
      </c>
      <c r="C503" s="4">
        <f t="shared" si="28"/>
        <v>0.1396999999999764</v>
      </c>
      <c r="D503" s="4">
        <f t="shared" ref="D503:D566" si="30">B503-B451</f>
        <v>-1.2937110000000018</v>
      </c>
      <c r="E503" s="3">
        <v>57.95</v>
      </c>
      <c r="F503" s="3">
        <v>20</v>
      </c>
      <c r="G503" s="3">
        <v>139.67838</v>
      </c>
      <c r="H503" s="4">
        <f t="shared" si="29"/>
        <v>-7.4293000000011489E-2</v>
      </c>
      <c r="I503" s="4">
        <f t="shared" ref="I503:I566" si="31">G503-G451</f>
        <v>-2.0075004999999919</v>
      </c>
      <c r="J503" s="3">
        <v>57.95</v>
      </c>
      <c r="K503" s="3">
        <v>20</v>
      </c>
      <c r="L503" s="13">
        <f>YEAR(Weekly_Prices[[#This Row],[Date]])</f>
        <v>2013</v>
      </c>
      <c r="M503" s="13">
        <f>MONTH(Weekly_Prices[[#This Row],[Date]])</f>
        <v>1</v>
      </c>
      <c r="N503" s="3" t="str">
        <f>TEXT(Weekly_Prices[[#This Row],[Date]],"MMMM")</f>
        <v>January</v>
      </c>
      <c r="O503" s="3" t="str">
        <f>YEAR(Weekly_Prices[[#This Row],[Date]])&amp;"-"&amp;TEXT(WEEKNUM(Weekly_Prices[[#This Row],[Date]],2),"00")</f>
        <v>2013-03</v>
      </c>
    </row>
    <row r="504" spans="1:15" x14ac:dyDescent="0.35">
      <c r="A504" s="2">
        <v>41295</v>
      </c>
      <c r="B504" s="3">
        <v>132.21391</v>
      </c>
      <c r="C504" s="4">
        <f t="shared" si="28"/>
        <v>0.21349499999999466</v>
      </c>
      <c r="D504" s="4">
        <f t="shared" si="30"/>
        <v>-1.5072110000000123</v>
      </c>
      <c r="E504" s="3">
        <v>57.95</v>
      </c>
      <c r="F504" s="3">
        <v>20</v>
      </c>
      <c r="G504" s="3">
        <v>139.952684</v>
      </c>
      <c r="H504" s="4">
        <f t="shared" si="29"/>
        <v>0.27430400000000077</v>
      </c>
      <c r="I504" s="4">
        <f t="shared" si="31"/>
        <v>-2.1081499999999664</v>
      </c>
      <c r="J504" s="3">
        <v>57.95</v>
      </c>
      <c r="K504" s="3">
        <v>20</v>
      </c>
      <c r="L504" s="13">
        <f>YEAR(Weekly_Prices[[#This Row],[Date]])</f>
        <v>2013</v>
      </c>
      <c r="M504" s="13">
        <f>MONTH(Weekly_Prices[[#This Row],[Date]])</f>
        <v>1</v>
      </c>
      <c r="N504" s="3" t="str">
        <f>TEXT(Weekly_Prices[[#This Row],[Date]],"MMMM")</f>
        <v>January</v>
      </c>
      <c r="O504" s="3" t="str">
        <f>YEAR(Weekly_Prices[[#This Row],[Date]])&amp;"-"&amp;TEXT(WEEKNUM(Weekly_Prices[[#This Row],[Date]],2),"00")</f>
        <v>2013-04</v>
      </c>
    </row>
    <row r="505" spans="1:15" x14ac:dyDescent="0.35">
      <c r="A505" s="2">
        <v>41302</v>
      </c>
      <c r="B505" s="3">
        <v>132.9495</v>
      </c>
      <c r="C505" s="4">
        <f t="shared" si="28"/>
        <v>0.73559000000000196</v>
      </c>
      <c r="D505" s="4">
        <f t="shared" si="30"/>
        <v>-1.1518839999999955</v>
      </c>
      <c r="E505" s="3">
        <v>57.95</v>
      </c>
      <c r="F505" s="3">
        <v>20</v>
      </c>
      <c r="G505" s="3">
        <v>140.766412</v>
      </c>
      <c r="H505" s="4">
        <f t="shared" si="29"/>
        <v>0.81372799999999756</v>
      </c>
      <c r="I505" s="4">
        <f t="shared" si="31"/>
        <v>-1.6808500000000208</v>
      </c>
      <c r="J505" s="3">
        <v>57.95</v>
      </c>
      <c r="K505" s="3">
        <v>20</v>
      </c>
      <c r="L505" s="13">
        <f>YEAR(Weekly_Prices[[#This Row],[Date]])</f>
        <v>2013</v>
      </c>
      <c r="M505" s="13">
        <f>MONTH(Weekly_Prices[[#This Row],[Date]])</f>
        <v>1</v>
      </c>
      <c r="N505" s="3" t="str">
        <f>TEXT(Weekly_Prices[[#This Row],[Date]],"MMMM")</f>
        <v>January</v>
      </c>
      <c r="O505" s="3" t="str">
        <f>YEAR(Weekly_Prices[[#This Row],[Date]])&amp;"-"&amp;TEXT(WEEKNUM(Weekly_Prices[[#This Row],[Date]],2),"00")</f>
        <v>2013-05</v>
      </c>
    </row>
    <row r="506" spans="1:15" x14ac:dyDescent="0.35">
      <c r="A506" s="2">
        <v>41309</v>
      </c>
      <c r="B506" s="3">
        <v>134.380516</v>
      </c>
      <c r="C506" s="4">
        <f t="shared" si="28"/>
        <v>1.4310159999999996</v>
      </c>
      <c r="D506" s="4">
        <f t="shared" si="30"/>
        <v>0.12749999999999773</v>
      </c>
      <c r="E506" s="3">
        <v>57.95</v>
      </c>
      <c r="F506" s="3">
        <v>20</v>
      </c>
      <c r="G506" s="3">
        <v>141.91007200000001</v>
      </c>
      <c r="H506" s="4">
        <f t="shared" si="29"/>
        <v>1.1436600000000112</v>
      </c>
      <c r="I506" s="4">
        <f t="shared" si="31"/>
        <v>-0.32772800000000757</v>
      </c>
      <c r="J506" s="3">
        <v>57.95</v>
      </c>
      <c r="K506" s="3">
        <v>20</v>
      </c>
      <c r="L506" s="13">
        <f>YEAR(Weekly_Prices[[#This Row],[Date]])</f>
        <v>2013</v>
      </c>
      <c r="M506" s="13">
        <f>MONTH(Weekly_Prices[[#This Row],[Date]])</f>
        <v>2</v>
      </c>
      <c r="N506" s="3" t="str">
        <f>TEXT(Weekly_Prices[[#This Row],[Date]],"MMMM")</f>
        <v>February</v>
      </c>
      <c r="O506" s="3" t="str">
        <f>YEAR(Weekly_Prices[[#This Row],[Date]])&amp;"-"&amp;TEXT(WEEKNUM(Weekly_Prices[[#This Row],[Date]],2),"00")</f>
        <v>2013-06</v>
      </c>
    </row>
    <row r="507" spans="1:15" x14ac:dyDescent="0.35">
      <c r="A507" s="2">
        <v>41316</v>
      </c>
      <c r="B507" s="3">
        <v>135.560969</v>
      </c>
      <c r="C507" s="4">
        <f t="shared" si="28"/>
        <v>1.180453</v>
      </c>
      <c r="D507" s="4">
        <f t="shared" si="30"/>
        <v>0.66355800000002318</v>
      </c>
      <c r="E507" s="3">
        <v>57.95</v>
      </c>
      <c r="F507" s="3">
        <v>20</v>
      </c>
      <c r="G507" s="3">
        <v>143.02667200000002</v>
      </c>
      <c r="H507" s="4">
        <f t="shared" si="29"/>
        <v>1.1166000000000054</v>
      </c>
      <c r="I507" s="4">
        <f t="shared" si="31"/>
        <v>0.20129350000001978</v>
      </c>
      <c r="J507" s="3">
        <v>57.95</v>
      </c>
      <c r="K507" s="3">
        <v>20</v>
      </c>
      <c r="L507" s="13">
        <f>YEAR(Weekly_Prices[[#This Row],[Date]])</f>
        <v>2013</v>
      </c>
      <c r="M507" s="13">
        <f>MONTH(Weekly_Prices[[#This Row],[Date]])</f>
        <v>2</v>
      </c>
      <c r="N507" s="3" t="str">
        <f>TEXT(Weekly_Prices[[#This Row],[Date]],"MMMM")</f>
        <v>February</v>
      </c>
      <c r="O507" s="3" t="str">
        <f>YEAR(Weekly_Prices[[#This Row],[Date]])&amp;"-"&amp;TEXT(WEEKNUM(Weekly_Prices[[#This Row],[Date]],2),"00")</f>
        <v>2013-07</v>
      </c>
    </row>
    <row r="508" spans="1:15" x14ac:dyDescent="0.35">
      <c r="A508" s="2">
        <v>41323</v>
      </c>
      <c r="B508" s="3">
        <v>136.858936</v>
      </c>
      <c r="C508" s="4">
        <f t="shared" si="28"/>
        <v>1.2979669999999999</v>
      </c>
      <c r="D508" s="4">
        <f t="shared" si="30"/>
        <v>1.647499732</v>
      </c>
      <c r="E508" s="3">
        <v>57.95</v>
      </c>
      <c r="F508" s="3">
        <v>20</v>
      </c>
      <c r="G508" s="3">
        <v>144.170064</v>
      </c>
      <c r="H508" s="4">
        <f t="shared" si="29"/>
        <v>1.1433919999999773</v>
      </c>
      <c r="I508" s="4">
        <f t="shared" si="31"/>
        <v>1.0179558449999888</v>
      </c>
      <c r="J508" s="3">
        <v>57.95</v>
      </c>
      <c r="K508" s="3">
        <v>20</v>
      </c>
      <c r="L508" s="13">
        <f>YEAR(Weekly_Prices[[#This Row],[Date]])</f>
        <v>2013</v>
      </c>
      <c r="M508" s="13">
        <f>MONTH(Weekly_Prices[[#This Row],[Date]])</f>
        <v>2</v>
      </c>
      <c r="N508" s="3" t="str">
        <f>TEXT(Weekly_Prices[[#This Row],[Date]],"MMMM")</f>
        <v>February</v>
      </c>
      <c r="O508" s="3" t="str">
        <f>YEAR(Weekly_Prices[[#This Row],[Date]])&amp;"-"&amp;TEXT(WEEKNUM(Weekly_Prices[[#This Row],[Date]],2),"00")</f>
        <v>2013-08</v>
      </c>
    </row>
    <row r="509" spans="1:15" x14ac:dyDescent="0.35">
      <c r="A509" s="2">
        <v>41330</v>
      </c>
      <c r="B509" s="3">
        <v>138.49662400000003</v>
      </c>
      <c r="C509" s="4">
        <f t="shared" si="28"/>
        <v>1.6376880000000256</v>
      </c>
      <c r="D509" s="4">
        <f t="shared" si="30"/>
        <v>2.284274000000039</v>
      </c>
      <c r="E509" s="3">
        <v>57.95</v>
      </c>
      <c r="F509" s="3">
        <v>20</v>
      </c>
      <c r="G509" s="3">
        <v>145.54502000000002</v>
      </c>
      <c r="H509" s="4">
        <f t="shared" si="29"/>
        <v>1.3749560000000258</v>
      </c>
      <c r="I509" s="4">
        <f t="shared" si="31"/>
        <v>1.6245294999999942</v>
      </c>
      <c r="J509" s="3">
        <v>57.95</v>
      </c>
      <c r="K509" s="3">
        <v>20</v>
      </c>
      <c r="L509" s="13">
        <f>YEAR(Weekly_Prices[[#This Row],[Date]])</f>
        <v>2013</v>
      </c>
      <c r="M509" s="13">
        <f>MONTH(Weekly_Prices[[#This Row],[Date]])</f>
        <v>2</v>
      </c>
      <c r="N509" s="3" t="str">
        <f>TEXT(Weekly_Prices[[#This Row],[Date]],"MMMM")</f>
        <v>February</v>
      </c>
      <c r="O509" s="3" t="str">
        <f>YEAR(Weekly_Prices[[#This Row],[Date]])&amp;"-"&amp;TEXT(WEEKNUM(Weekly_Prices[[#This Row],[Date]],2),"00")</f>
        <v>2013-09</v>
      </c>
    </row>
    <row r="510" spans="1:15" x14ac:dyDescent="0.35">
      <c r="A510" s="2">
        <v>41337</v>
      </c>
      <c r="B510" s="3">
        <v>139.47330600000001</v>
      </c>
      <c r="C510" s="4">
        <f t="shared" si="28"/>
        <v>0.97668199999998251</v>
      </c>
      <c r="D510" s="4">
        <f t="shared" si="30"/>
        <v>2.1700440000000185</v>
      </c>
      <c r="E510" s="3">
        <v>57.95</v>
      </c>
      <c r="F510" s="3">
        <v>20</v>
      </c>
      <c r="G510" s="3">
        <v>146.34438</v>
      </c>
      <c r="H510" s="4">
        <f t="shared" si="29"/>
        <v>0.79935999999997875</v>
      </c>
      <c r="I510" s="4">
        <f t="shared" si="31"/>
        <v>1.632874500000014</v>
      </c>
      <c r="J510" s="3">
        <v>57.95</v>
      </c>
      <c r="K510" s="3">
        <v>20</v>
      </c>
      <c r="L510" s="13">
        <f>YEAR(Weekly_Prices[[#This Row],[Date]])</f>
        <v>2013</v>
      </c>
      <c r="M510" s="13">
        <f>MONTH(Weekly_Prices[[#This Row],[Date]])</f>
        <v>3</v>
      </c>
      <c r="N510" s="3" t="str">
        <f>TEXT(Weekly_Prices[[#This Row],[Date]],"MMMM")</f>
        <v>March</v>
      </c>
      <c r="O510" s="3" t="str">
        <f>YEAR(Weekly_Prices[[#This Row],[Date]])&amp;"-"&amp;TEXT(WEEKNUM(Weekly_Prices[[#This Row],[Date]],2),"00")</f>
        <v>2013-10</v>
      </c>
    </row>
    <row r="511" spans="1:15" x14ac:dyDescent="0.35">
      <c r="A511" s="2">
        <v>41344</v>
      </c>
      <c r="B511" s="3">
        <v>139.99731299999999</v>
      </c>
      <c r="C511" s="4">
        <f t="shared" si="28"/>
        <v>0.52400699999998324</v>
      </c>
      <c r="D511" s="4">
        <f t="shared" si="30"/>
        <v>2.0958889999999712</v>
      </c>
      <c r="E511" s="3">
        <v>57.95</v>
      </c>
      <c r="F511" s="3">
        <v>20</v>
      </c>
      <c r="G511" s="3">
        <v>146.71072000000001</v>
      </c>
      <c r="H511" s="4">
        <f t="shared" si="29"/>
        <v>0.3663400000000081</v>
      </c>
      <c r="I511" s="4">
        <f t="shared" si="31"/>
        <v>1.5645920000000046</v>
      </c>
      <c r="J511" s="3">
        <v>57.95</v>
      </c>
      <c r="K511" s="3">
        <v>20</v>
      </c>
      <c r="L511" s="13">
        <f>YEAR(Weekly_Prices[[#This Row],[Date]])</f>
        <v>2013</v>
      </c>
      <c r="M511" s="13">
        <f>MONTH(Weekly_Prices[[#This Row],[Date]])</f>
        <v>3</v>
      </c>
      <c r="N511" s="3" t="str">
        <f>TEXT(Weekly_Prices[[#This Row],[Date]],"MMMM")</f>
        <v>March</v>
      </c>
      <c r="O511" s="3" t="str">
        <f>YEAR(Weekly_Prices[[#This Row],[Date]])&amp;"-"&amp;TEXT(WEEKNUM(Weekly_Prices[[#This Row],[Date]],2),"00")</f>
        <v>2013-11</v>
      </c>
    </row>
    <row r="512" spans="1:15" x14ac:dyDescent="0.35">
      <c r="A512" s="2">
        <v>41351</v>
      </c>
      <c r="B512" s="3">
        <v>137.58264399999999</v>
      </c>
      <c r="C512" s="4">
        <f t="shared" si="28"/>
        <v>-2.4146690000000035</v>
      </c>
      <c r="D512" s="4">
        <f t="shared" si="30"/>
        <v>-1.3747220000000198</v>
      </c>
      <c r="E512" s="3">
        <v>57.95</v>
      </c>
      <c r="F512" s="3">
        <v>20</v>
      </c>
      <c r="G512" s="3">
        <v>144.84169600000001</v>
      </c>
      <c r="H512" s="4">
        <f t="shared" si="29"/>
        <v>-1.869023999999996</v>
      </c>
      <c r="I512" s="4">
        <f t="shared" si="31"/>
        <v>-1.3193394999999555</v>
      </c>
      <c r="J512" s="3">
        <v>57.95</v>
      </c>
      <c r="K512" s="3">
        <v>20</v>
      </c>
      <c r="L512" s="13">
        <f>YEAR(Weekly_Prices[[#This Row],[Date]])</f>
        <v>2013</v>
      </c>
      <c r="M512" s="13">
        <f>MONTH(Weekly_Prices[[#This Row],[Date]])</f>
        <v>3</v>
      </c>
      <c r="N512" s="3" t="str">
        <f>TEXT(Weekly_Prices[[#This Row],[Date]],"MMMM")</f>
        <v>March</v>
      </c>
      <c r="O512" s="3" t="str">
        <f>YEAR(Weekly_Prices[[#This Row],[Date]])&amp;"-"&amp;TEXT(WEEKNUM(Weekly_Prices[[#This Row],[Date]],2),"00")</f>
        <v>2013-12</v>
      </c>
    </row>
    <row r="513" spans="1:15" x14ac:dyDescent="0.35">
      <c r="A513" s="2">
        <v>41358</v>
      </c>
      <c r="B513" s="3">
        <v>137.08594400000001</v>
      </c>
      <c r="C513" s="4">
        <f t="shared" si="28"/>
        <v>-0.49669999999997572</v>
      </c>
      <c r="D513" s="4">
        <f t="shared" si="30"/>
        <v>-2.39421999999999</v>
      </c>
      <c r="E513" s="3">
        <v>57.95</v>
      </c>
      <c r="F513" s="3">
        <v>20</v>
      </c>
      <c r="G513" s="3">
        <v>144.33430200000001</v>
      </c>
      <c r="H513" s="4">
        <f t="shared" si="29"/>
        <v>-0.50739400000000501</v>
      </c>
      <c r="I513" s="4">
        <f t="shared" si="31"/>
        <v>-2.2239634999999964</v>
      </c>
      <c r="J513" s="3">
        <v>57.95</v>
      </c>
      <c r="K513" s="3">
        <v>20</v>
      </c>
      <c r="L513" s="13">
        <f>YEAR(Weekly_Prices[[#This Row],[Date]])</f>
        <v>2013</v>
      </c>
      <c r="M513" s="13">
        <f>MONTH(Weekly_Prices[[#This Row],[Date]])</f>
        <v>3</v>
      </c>
      <c r="N513" s="3" t="str">
        <f>TEXT(Weekly_Prices[[#This Row],[Date]],"MMMM")</f>
        <v>March</v>
      </c>
      <c r="O513" s="3" t="str">
        <f>YEAR(Weekly_Prices[[#This Row],[Date]])&amp;"-"&amp;TEXT(WEEKNUM(Weekly_Prices[[#This Row],[Date]],2),"00")</f>
        <v>2013-13</v>
      </c>
    </row>
    <row r="514" spans="1:15" x14ac:dyDescent="0.35">
      <c r="A514" s="2">
        <v>41365</v>
      </c>
      <c r="B514" s="3">
        <v>137.29717400000001</v>
      </c>
      <c r="C514" s="4">
        <f t="shared" si="28"/>
        <v>0.21123000000000047</v>
      </c>
      <c r="D514" s="4">
        <f t="shared" si="30"/>
        <v>-3.695844999999963</v>
      </c>
      <c r="E514" s="3">
        <v>57.95</v>
      </c>
      <c r="F514" s="3">
        <v>20</v>
      </c>
      <c r="G514" s="3">
        <v>143.506238</v>
      </c>
      <c r="H514" s="4">
        <f t="shared" si="29"/>
        <v>-0.8280640000000119</v>
      </c>
      <c r="I514" s="4">
        <f t="shared" si="31"/>
        <v>-4.1735370000000103</v>
      </c>
      <c r="J514" s="3">
        <v>57.95</v>
      </c>
      <c r="K514" s="3">
        <v>20</v>
      </c>
      <c r="L514" s="13">
        <f>YEAR(Weekly_Prices[[#This Row],[Date]])</f>
        <v>2013</v>
      </c>
      <c r="M514" s="13">
        <f>MONTH(Weekly_Prices[[#This Row],[Date]])</f>
        <v>4</v>
      </c>
      <c r="N514" s="3" t="str">
        <f>TEXT(Weekly_Prices[[#This Row],[Date]],"MMMM")</f>
        <v>April</v>
      </c>
      <c r="O514" s="3" t="str">
        <f>YEAR(Weekly_Prices[[#This Row],[Date]])&amp;"-"&amp;TEXT(WEEKNUM(Weekly_Prices[[#This Row],[Date]],2),"00")</f>
        <v>2013-14</v>
      </c>
    </row>
    <row r="515" spans="1:15" x14ac:dyDescent="0.35">
      <c r="A515" s="2">
        <v>41372</v>
      </c>
      <c r="B515" s="3">
        <v>137.30526600000002</v>
      </c>
      <c r="C515" s="4">
        <f t="shared" ref="C515:C578" si="32">B515-B514</f>
        <v>8.0920000000048731E-3</v>
      </c>
      <c r="D515" s="4">
        <f t="shared" si="30"/>
        <v>-4.6662779999999771</v>
      </c>
      <c r="E515" s="3">
        <v>57.95</v>
      </c>
      <c r="F515" s="3">
        <v>20</v>
      </c>
      <c r="G515" s="3">
        <v>143.13313399999998</v>
      </c>
      <c r="H515" s="4">
        <f t="shared" ref="H515:H578" si="33">G515-G514</f>
        <v>-0.37310400000001209</v>
      </c>
      <c r="I515" s="4">
        <f t="shared" si="31"/>
        <v>-4.8703175000000272</v>
      </c>
      <c r="J515" s="3">
        <v>57.95</v>
      </c>
      <c r="K515" s="3">
        <v>20</v>
      </c>
      <c r="L515" s="13">
        <f>YEAR(Weekly_Prices[[#This Row],[Date]])</f>
        <v>2013</v>
      </c>
      <c r="M515" s="13">
        <f>MONTH(Weekly_Prices[[#This Row],[Date]])</f>
        <v>4</v>
      </c>
      <c r="N515" s="3" t="str">
        <f>TEXT(Weekly_Prices[[#This Row],[Date]],"MMMM")</f>
        <v>April</v>
      </c>
      <c r="O515" s="3" t="str">
        <f>YEAR(Weekly_Prices[[#This Row],[Date]])&amp;"-"&amp;TEXT(WEEKNUM(Weekly_Prices[[#This Row],[Date]],2),"00")</f>
        <v>2013-15</v>
      </c>
    </row>
    <row r="516" spans="1:15" x14ac:dyDescent="0.35">
      <c r="A516" s="2">
        <v>41379</v>
      </c>
      <c r="B516" s="3">
        <v>137.10880200000003</v>
      </c>
      <c r="C516" s="4">
        <f t="shared" si="32"/>
        <v>-0.19646399999999176</v>
      </c>
      <c r="D516" s="4">
        <f t="shared" si="30"/>
        <v>-5.063951999999972</v>
      </c>
      <c r="E516" s="3">
        <v>57.95</v>
      </c>
      <c r="F516" s="3">
        <v>20</v>
      </c>
      <c r="G516" s="3">
        <v>141.66509600000001</v>
      </c>
      <c r="H516" s="4">
        <f t="shared" si="33"/>
        <v>-1.4680379999999786</v>
      </c>
      <c r="I516" s="4">
        <f t="shared" si="31"/>
        <v>-6.3726134999999999</v>
      </c>
      <c r="J516" s="3">
        <v>57.95</v>
      </c>
      <c r="K516" s="3">
        <v>20</v>
      </c>
      <c r="L516" s="13">
        <f>YEAR(Weekly_Prices[[#This Row],[Date]])</f>
        <v>2013</v>
      </c>
      <c r="M516" s="13">
        <f>MONTH(Weekly_Prices[[#This Row],[Date]])</f>
        <v>4</v>
      </c>
      <c r="N516" s="3" t="str">
        <f>TEXT(Weekly_Prices[[#This Row],[Date]],"MMMM")</f>
        <v>April</v>
      </c>
      <c r="O516" s="3" t="str">
        <f>YEAR(Weekly_Prices[[#This Row],[Date]])&amp;"-"&amp;TEXT(WEEKNUM(Weekly_Prices[[#This Row],[Date]],2),"00")</f>
        <v>2013-16</v>
      </c>
    </row>
    <row r="517" spans="1:15" x14ac:dyDescent="0.35">
      <c r="A517" s="2">
        <v>41386</v>
      </c>
      <c r="B517" s="3">
        <v>135.680712</v>
      </c>
      <c r="C517" s="4">
        <f t="shared" si="32"/>
        <v>-1.4280900000000258</v>
      </c>
      <c r="D517" s="4">
        <f t="shared" si="30"/>
        <v>-6.0783079999999927</v>
      </c>
      <c r="E517" s="3">
        <v>57.95</v>
      </c>
      <c r="F517" s="3">
        <v>20</v>
      </c>
      <c r="G517" s="3">
        <v>140.63922599999998</v>
      </c>
      <c r="H517" s="4">
        <f t="shared" si="33"/>
        <v>-1.025870000000026</v>
      </c>
      <c r="I517" s="4">
        <f t="shared" si="31"/>
        <v>-7.3220175000000438</v>
      </c>
      <c r="J517" s="3">
        <v>57.95</v>
      </c>
      <c r="K517" s="3">
        <v>20</v>
      </c>
      <c r="L517" s="13">
        <f>YEAR(Weekly_Prices[[#This Row],[Date]])</f>
        <v>2013</v>
      </c>
      <c r="M517" s="13">
        <f>MONTH(Weekly_Prices[[#This Row],[Date]])</f>
        <v>4</v>
      </c>
      <c r="N517" s="3" t="str">
        <f>TEXT(Weekly_Prices[[#This Row],[Date]],"MMMM")</f>
        <v>April</v>
      </c>
      <c r="O517" s="3" t="str">
        <f>YEAR(Weekly_Prices[[#This Row],[Date]])&amp;"-"&amp;TEXT(WEEKNUM(Weekly_Prices[[#This Row],[Date]],2),"00")</f>
        <v>2013-17</v>
      </c>
    </row>
    <row r="518" spans="1:15" x14ac:dyDescent="0.35">
      <c r="A518" s="2">
        <v>41393</v>
      </c>
      <c r="B518" s="3">
        <v>134.66240100000002</v>
      </c>
      <c r="C518" s="4">
        <f t="shared" si="32"/>
        <v>-1.0183109999999829</v>
      </c>
      <c r="D518" s="4">
        <f t="shared" si="30"/>
        <v>-6.3418109999999785</v>
      </c>
      <c r="E518" s="3">
        <v>57.95</v>
      </c>
      <c r="F518" s="3">
        <v>20</v>
      </c>
      <c r="G518" s="3">
        <v>139.59394400000002</v>
      </c>
      <c r="H518" s="4">
        <f t="shared" si="33"/>
        <v>-1.0452819999999576</v>
      </c>
      <c r="I518" s="4">
        <f t="shared" si="31"/>
        <v>-7.4581224999999733</v>
      </c>
      <c r="J518" s="3">
        <v>57.95</v>
      </c>
      <c r="K518" s="3">
        <v>20</v>
      </c>
      <c r="L518" s="13">
        <f>YEAR(Weekly_Prices[[#This Row],[Date]])</f>
        <v>2013</v>
      </c>
      <c r="M518" s="13">
        <f>MONTH(Weekly_Prices[[#This Row],[Date]])</f>
        <v>4</v>
      </c>
      <c r="N518" s="3" t="str">
        <f>TEXT(Weekly_Prices[[#This Row],[Date]],"MMMM")</f>
        <v>April</v>
      </c>
      <c r="O518" s="3" t="str">
        <f>YEAR(Weekly_Prices[[#This Row],[Date]])&amp;"-"&amp;TEXT(WEEKNUM(Weekly_Prices[[#This Row],[Date]],2),"00")</f>
        <v>2013-18</v>
      </c>
    </row>
    <row r="519" spans="1:15" x14ac:dyDescent="0.35">
      <c r="A519" s="2">
        <v>41400</v>
      </c>
      <c r="B519" s="3">
        <v>133.41651199999998</v>
      </c>
      <c r="C519" s="4">
        <f t="shared" si="32"/>
        <v>-1.2458890000000338</v>
      </c>
      <c r="D519" s="4">
        <f t="shared" si="30"/>
        <v>-6.7199900000000241</v>
      </c>
      <c r="E519" s="3">
        <v>57.95</v>
      </c>
      <c r="F519" s="3">
        <v>20</v>
      </c>
      <c r="G519" s="3">
        <v>138.54057800000001</v>
      </c>
      <c r="H519" s="4">
        <f t="shared" si="33"/>
        <v>-1.0533660000000111</v>
      </c>
      <c r="I519" s="4">
        <f t="shared" si="31"/>
        <v>-7.8556340000000091</v>
      </c>
      <c r="J519" s="3">
        <v>57.95</v>
      </c>
      <c r="K519" s="3">
        <v>20</v>
      </c>
      <c r="L519" s="13">
        <f>YEAR(Weekly_Prices[[#This Row],[Date]])</f>
        <v>2013</v>
      </c>
      <c r="M519" s="13">
        <f>MONTH(Weekly_Prices[[#This Row],[Date]])</f>
        <v>5</v>
      </c>
      <c r="N519" s="3" t="str">
        <f>TEXT(Weekly_Prices[[#This Row],[Date]],"MMMM")</f>
        <v>May</v>
      </c>
      <c r="O519" s="3" t="str">
        <f>YEAR(Weekly_Prices[[#This Row],[Date]])&amp;"-"&amp;TEXT(WEEKNUM(Weekly_Prices[[#This Row],[Date]],2),"00")</f>
        <v>2013-19</v>
      </c>
    </row>
    <row r="520" spans="1:15" x14ac:dyDescent="0.35">
      <c r="A520" s="2">
        <v>41407</v>
      </c>
      <c r="B520" s="3">
        <v>133.11905999999999</v>
      </c>
      <c r="C520" s="4">
        <f t="shared" si="32"/>
        <v>-0.29745199999999272</v>
      </c>
      <c r="D520" s="4">
        <f t="shared" si="30"/>
        <v>-5.1675139999999828</v>
      </c>
      <c r="E520" s="3">
        <v>57.95</v>
      </c>
      <c r="F520" s="3">
        <v>20</v>
      </c>
      <c r="G520" s="3">
        <v>138.26707199999998</v>
      </c>
      <c r="H520" s="4">
        <f t="shared" si="33"/>
        <v>-0.27350600000002601</v>
      </c>
      <c r="I520" s="4">
        <f t="shared" si="31"/>
        <v>-6.2517380000000173</v>
      </c>
      <c r="J520" s="3">
        <v>57.95</v>
      </c>
      <c r="K520" s="3">
        <v>20</v>
      </c>
      <c r="L520" s="13">
        <f>YEAR(Weekly_Prices[[#This Row],[Date]])</f>
        <v>2013</v>
      </c>
      <c r="M520" s="13">
        <f>MONTH(Weekly_Prices[[#This Row],[Date]])</f>
        <v>5</v>
      </c>
      <c r="N520" s="3" t="str">
        <f>TEXT(Weekly_Prices[[#This Row],[Date]],"MMMM")</f>
        <v>May</v>
      </c>
      <c r="O520" s="3" t="str">
        <f>YEAR(Weekly_Prices[[#This Row],[Date]])&amp;"-"&amp;TEXT(WEEKNUM(Weekly_Prices[[#This Row],[Date]],2),"00")</f>
        <v>2013-20</v>
      </c>
    </row>
    <row r="521" spans="1:15" x14ac:dyDescent="0.35">
      <c r="A521" s="2">
        <v>41414</v>
      </c>
      <c r="B521" s="3">
        <v>133.17174200000002</v>
      </c>
      <c r="C521" s="4">
        <f t="shared" si="32"/>
        <v>5.2682000000032758E-2</v>
      </c>
      <c r="D521" s="4">
        <f t="shared" si="30"/>
        <v>-2.5996779999999831</v>
      </c>
      <c r="E521" s="3">
        <v>57.95</v>
      </c>
      <c r="F521" s="3">
        <v>20</v>
      </c>
      <c r="G521" s="3">
        <v>138.424342</v>
      </c>
      <c r="H521" s="4">
        <f t="shared" si="33"/>
        <v>0.15727000000001112</v>
      </c>
      <c r="I521" s="4">
        <f t="shared" si="31"/>
        <v>-3.3222700000000032</v>
      </c>
      <c r="J521" s="3">
        <v>57.95</v>
      </c>
      <c r="K521" s="3">
        <v>20</v>
      </c>
      <c r="L521" s="13">
        <f>YEAR(Weekly_Prices[[#This Row],[Date]])</f>
        <v>2013</v>
      </c>
      <c r="M521" s="13">
        <f>MONTH(Weekly_Prices[[#This Row],[Date]])</f>
        <v>5</v>
      </c>
      <c r="N521" s="3" t="str">
        <f>TEXT(Weekly_Prices[[#This Row],[Date]],"MMMM")</f>
        <v>May</v>
      </c>
      <c r="O521" s="3" t="str">
        <f>YEAR(Weekly_Prices[[#This Row],[Date]])&amp;"-"&amp;TEXT(WEEKNUM(Weekly_Prices[[#This Row],[Date]],2),"00")</f>
        <v>2013-21</v>
      </c>
    </row>
    <row r="522" spans="1:15" x14ac:dyDescent="0.35">
      <c r="A522" s="2">
        <v>41421</v>
      </c>
      <c r="B522" s="3">
        <v>133.63792799999999</v>
      </c>
      <c r="C522" s="4">
        <f t="shared" si="32"/>
        <v>0.46618599999996491</v>
      </c>
      <c r="D522" s="4">
        <f t="shared" si="30"/>
        <v>-0.73666600000004223</v>
      </c>
      <c r="E522" s="3">
        <v>57.95</v>
      </c>
      <c r="F522" s="3">
        <v>20</v>
      </c>
      <c r="G522" s="3">
        <v>138.81604299999998</v>
      </c>
      <c r="H522" s="4">
        <f t="shared" si="33"/>
        <v>0.39170099999998342</v>
      </c>
      <c r="I522" s="4">
        <f t="shared" si="31"/>
        <v>-1.6779510000000073</v>
      </c>
      <c r="J522" s="3">
        <v>57.95</v>
      </c>
      <c r="K522" s="3">
        <v>20</v>
      </c>
      <c r="L522" s="13">
        <f>YEAR(Weekly_Prices[[#This Row],[Date]])</f>
        <v>2013</v>
      </c>
      <c r="M522" s="13">
        <f>MONTH(Weekly_Prices[[#This Row],[Date]])</f>
        <v>5</v>
      </c>
      <c r="N522" s="3" t="str">
        <f>TEXT(Weekly_Prices[[#This Row],[Date]],"MMMM")</f>
        <v>May</v>
      </c>
      <c r="O522" s="3" t="str">
        <f>YEAR(Weekly_Prices[[#This Row],[Date]])&amp;"-"&amp;TEXT(WEEKNUM(Weekly_Prices[[#This Row],[Date]],2),"00")</f>
        <v>2013-22</v>
      </c>
    </row>
    <row r="523" spans="1:15" x14ac:dyDescent="0.35">
      <c r="A523" s="2">
        <v>41428</v>
      </c>
      <c r="B523" s="3">
        <v>134.04443800000001</v>
      </c>
      <c r="C523" s="4">
        <f t="shared" si="32"/>
        <v>0.40651000000002568</v>
      </c>
      <c r="D523" s="4">
        <f t="shared" si="30"/>
        <v>-1.3847999999995864E-2</v>
      </c>
      <c r="E523" s="3">
        <v>57.95</v>
      </c>
      <c r="F523" s="3">
        <v>20</v>
      </c>
      <c r="G523" s="3">
        <v>139.17138699999998</v>
      </c>
      <c r="H523" s="4">
        <f t="shared" si="33"/>
        <v>0.35534400000000232</v>
      </c>
      <c r="I523" s="4">
        <f t="shared" si="31"/>
        <v>-0.78665700000001948</v>
      </c>
      <c r="J523" s="3">
        <v>57.95</v>
      </c>
      <c r="K523" s="3">
        <v>20</v>
      </c>
      <c r="L523" s="13">
        <f>YEAR(Weekly_Prices[[#This Row],[Date]])</f>
        <v>2013</v>
      </c>
      <c r="M523" s="13">
        <f>MONTH(Weekly_Prices[[#This Row],[Date]])</f>
        <v>6</v>
      </c>
      <c r="N523" s="3" t="str">
        <f>TEXT(Weekly_Prices[[#This Row],[Date]],"MMMM")</f>
        <v>June</v>
      </c>
      <c r="O523" s="3" t="str">
        <f>YEAR(Weekly_Prices[[#This Row],[Date]])&amp;"-"&amp;TEXT(WEEKNUM(Weekly_Prices[[#This Row],[Date]],2),"00")</f>
        <v>2013-23</v>
      </c>
    </row>
    <row r="524" spans="1:15" x14ac:dyDescent="0.35">
      <c r="A524" s="2">
        <v>41435</v>
      </c>
      <c r="B524" s="3">
        <v>134.29900899999998</v>
      </c>
      <c r="C524" s="4">
        <f t="shared" si="32"/>
        <v>0.25457099999997013</v>
      </c>
      <c r="D524" s="4">
        <f t="shared" si="30"/>
        <v>0.63139499999999771</v>
      </c>
      <c r="E524" s="3">
        <v>57.95</v>
      </c>
      <c r="F524" s="3">
        <v>20</v>
      </c>
      <c r="G524" s="3">
        <v>139.433402</v>
      </c>
      <c r="H524" s="4">
        <f t="shared" si="33"/>
        <v>0.26201500000001943</v>
      </c>
      <c r="I524" s="4">
        <f t="shared" si="31"/>
        <v>-0.14902399999999716</v>
      </c>
      <c r="J524" s="3">
        <v>57.95</v>
      </c>
      <c r="K524" s="3">
        <v>20</v>
      </c>
      <c r="L524" s="13">
        <f>YEAR(Weekly_Prices[[#This Row],[Date]])</f>
        <v>2013</v>
      </c>
      <c r="M524" s="13">
        <f>MONTH(Weekly_Prices[[#This Row],[Date]])</f>
        <v>6</v>
      </c>
      <c r="N524" s="3" t="str">
        <f>TEXT(Weekly_Prices[[#This Row],[Date]],"MMMM")</f>
        <v>June</v>
      </c>
      <c r="O524" s="3" t="str">
        <f>YEAR(Weekly_Prices[[#This Row],[Date]])&amp;"-"&amp;TEXT(WEEKNUM(Weekly_Prices[[#This Row],[Date]],2),"00")</f>
        <v>2013-24</v>
      </c>
    </row>
    <row r="525" spans="1:15" x14ac:dyDescent="0.35">
      <c r="A525" s="2">
        <v>41442</v>
      </c>
      <c r="B525" s="3">
        <v>134.45768799999999</v>
      </c>
      <c r="C525" s="4">
        <f t="shared" si="32"/>
        <v>0.15867900000000645</v>
      </c>
      <c r="D525" s="4">
        <f t="shared" si="30"/>
        <v>2.4667379999999923</v>
      </c>
      <c r="E525" s="3">
        <v>57.95</v>
      </c>
      <c r="F525" s="3">
        <v>20</v>
      </c>
      <c r="G525" s="3">
        <v>139.536798</v>
      </c>
      <c r="H525" s="4">
        <f t="shared" si="33"/>
        <v>0.1033960000000036</v>
      </c>
      <c r="I525" s="4">
        <f t="shared" si="31"/>
        <v>1.8261540000000025</v>
      </c>
      <c r="J525" s="3">
        <v>57.95</v>
      </c>
      <c r="K525" s="3">
        <v>20</v>
      </c>
      <c r="L525" s="13">
        <f>YEAR(Weekly_Prices[[#This Row],[Date]])</f>
        <v>2013</v>
      </c>
      <c r="M525" s="13">
        <f>MONTH(Weekly_Prices[[#This Row],[Date]])</f>
        <v>6</v>
      </c>
      <c r="N525" s="3" t="str">
        <f>TEXT(Weekly_Prices[[#This Row],[Date]],"MMMM")</f>
        <v>June</v>
      </c>
      <c r="O525" s="3" t="str">
        <f>YEAR(Weekly_Prices[[#This Row],[Date]])&amp;"-"&amp;TEXT(WEEKNUM(Weekly_Prices[[#This Row],[Date]],2),"00")</f>
        <v>2013-25</v>
      </c>
    </row>
    <row r="526" spans="1:15" x14ac:dyDescent="0.35">
      <c r="A526" s="2">
        <v>41449</v>
      </c>
      <c r="B526" s="3">
        <v>134.52005800000001</v>
      </c>
      <c r="C526" s="4">
        <f t="shared" si="32"/>
        <v>6.237000000001558E-2</v>
      </c>
      <c r="D526" s="4">
        <f t="shared" si="30"/>
        <v>2.9741379999999822</v>
      </c>
      <c r="E526" s="3">
        <v>57.95</v>
      </c>
      <c r="F526" s="3">
        <v>20</v>
      </c>
      <c r="G526" s="3">
        <v>139.636392</v>
      </c>
      <c r="H526" s="4">
        <f t="shared" si="33"/>
        <v>9.9593999999996186E-2</v>
      </c>
      <c r="I526" s="4">
        <f t="shared" si="31"/>
        <v>2.4319159999999727</v>
      </c>
      <c r="J526" s="3">
        <v>57.95</v>
      </c>
      <c r="K526" s="3">
        <v>20</v>
      </c>
      <c r="L526" s="13">
        <f>YEAR(Weekly_Prices[[#This Row],[Date]])</f>
        <v>2013</v>
      </c>
      <c r="M526" s="13">
        <f>MONTH(Weekly_Prices[[#This Row],[Date]])</f>
        <v>6</v>
      </c>
      <c r="N526" s="3" t="str">
        <f>TEXT(Weekly_Prices[[#This Row],[Date]],"MMMM")</f>
        <v>June</v>
      </c>
      <c r="O526" s="3" t="str">
        <f>YEAR(Weekly_Prices[[#This Row],[Date]])&amp;"-"&amp;TEXT(WEEKNUM(Weekly_Prices[[#This Row],[Date]],2),"00")</f>
        <v>2013-26</v>
      </c>
    </row>
    <row r="527" spans="1:15" x14ac:dyDescent="0.35">
      <c r="A527" s="2">
        <v>41456</v>
      </c>
      <c r="B527" s="3">
        <v>133.44030800000002</v>
      </c>
      <c r="C527" s="4">
        <f t="shared" si="32"/>
        <v>-1.07974999999999</v>
      </c>
      <c r="D527" s="4">
        <f t="shared" si="30"/>
        <v>2.9429460000000063</v>
      </c>
      <c r="E527" s="3">
        <v>57.95</v>
      </c>
      <c r="F527" s="3">
        <v>20</v>
      </c>
      <c r="G527" s="3">
        <v>138.514228</v>
      </c>
      <c r="H527" s="4">
        <f t="shared" si="33"/>
        <v>-1.1221639999999979</v>
      </c>
      <c r="I527" s="4">
        <f t="shared" si="31"/>
        <v>2.6068579999999884</v>
      </c>
      <c r="J527" s="3">
        <v>57.95</v>
      </c>
      <c r="K527" s="3">
        <v>20</v>
      </c>
      <c r="L527" s="13">
        <f>YEAR(Weekly_Prices[[#This Row],[Date]])</f>
        <v>2013</v>
      </c>
      <c r="M527" s="13">
        <f>MONTH(Weekly_Prices[[#This Row],[Date]])</f>
        <v>7</v>
      </c>
      <c r="N527" s="3" t="str">
        <f>TEXT(Weekly_Prices[[#This Row],[Date]],"MMMM")</f>
        <v>July</v>
      </c>
      <c r="O527" s="3" t="str">
        <f>YEAR(Weekly_Prices[[#This Row],[Date]])&amp;"-"&amp;TEXT(WEEKNUM(Weekly_Prices[[#This Row],[Date]],2),"00")</f>
        <v>2013-27</v>
      </c>
    </row>
    <row r="528" spans="1:15" x14ac:dyDescent="0.35">
      <c r="A528" s="2">
        <v>41463</v>
      </c>
      <c r="B528" s="3">
        <v>133.76930400000001</v>
      </c>
      <c r="C528" s="4">
        <f t="shared" si="32"/>
        <v>0.32899599999998941</v>
      </c>
      <c r="D528" s="4">
        <f t="shared" si="30"/>
        <v>2.7125880000000109</v>
      </c>
      <c r="E528" s="3">
        <v>57.95</v>
      </c>
      <c r="F528" s="3">
        <v>20</v>
      </c>
      <c r="G528" s="3">
        <v>138.730852</v>
      </c>
      <c r="H528" s="4">
        <f t="shared" si="33"/>
        <v>0.21662399999999593</v>
      </c>
      <c r="I528" s="4">
        <f t="shared" si="31"/>
        <v>2.2941140000000075</v>
      </c>
      <c r="J528" s="3">
        <v>57.95</v>
      </c>
      <c r="K528" s="3">
        <v>20</v>
      </c>
      <c r="L528" s="13">
        <f>YEAR(Weekly_Prices[[#This Row],[Date]])</f>
        <v>2013</v>
      </c>
      <c r="M528" s="13">
        <f>MONTH(Weekly_Prices[[#This Row],[Date]])</f>
        <v>7</v>
      </c>
      <c r="N528" s="3" t="str">
        <f>TEXT(Weekly_Prices[[#This Row],[Date]],"MMMM")</f>
        <v>July</v>
      </c>
      <c r="O528" s="3" t="str">
        <f>YEAR(Weekly_Prices[[#This Row],[Date]])&amp;"-"&amp;TEXT(WEEKNUM(Weekly_Prices[[#This Row],[Date]],2),"00")</f>
        <v>2013-28</v>
      </c>
    </row>
    <row r="529" spans="1:15" x14ac:dyDescent="0.35">
      <c r="A529" s="2">
        <v>41470</v>
      </c>
      <c r="B529" s="3">
        <v>134.94647799999998</v>
      </c>
      <c r="C529" s="4">
        <f t="shared" si="32"/>
        <v>1.1771739999999795</v>
      </c>
      <c r="D529" s="4">
        <f t="shared" si="30"/>
        <v>3.4563499999999863</v>
      </c>
      <c r="E529" s="3">
        <v>57.95</v>
      </c>
      <c r="F529" s="3">
        <v>20</v>
      </c>
      <c r="G529" s="3">
        <v>139.83587</v>
      </c>
      <c r="H529" s="4">
        <f t="shared" si="33"/>
        <v>1.1050180000000012</v>
      </c>
      <c r="I529" s="4">
        <f t="shared" si="31"/>
        <v>2.9886360000000138</v>
      </c>
      <c r="J529" s="3">
        <v>57.95</v>
      </c>
      <c r="K529" s="3">
        <v>20</v>
      </c>
      <c r="L529" s="13">
        <f>YEAR(Weekly_Prices[[#This Row],[Date]])</f>
        <v>2013</v>
      </c>
      <c r="M529" s="13">
        <f>MONTH(Weekly_Prices[[#This Row],[Date]])</f>
        <v>7</v>
      </c>
      <c r="N529" s="3" t="str">
        <f>TEXT(Weekly_Prices[[#This Row],[Date]],"MMMM")</f>
        <v>July</v>
      </c>
      <c r="O529" s="3" t="str">
        <f>YEAR(Weekly_Prices[[#This Row],[Date]])&amp;"-"&amp;TEXT(WEEKNUM(Weekly_Prices[[#This Row],[Date]],2),"00")</f>
        <v>2013-29</v>
      </c>
    </row>
    <row r="530" spans="1:15" x14ac:dyDescent="0.35">
      <c r="A530" s="2">
        <v>41477</v>
      </c>
      <c r="B530" s="3">
        <v>136.036168</v>
      </c>
      <c r="C530" s="4">
        <f t="shared" si="32"/>
        <v>1.0896900000000187</v>
      </c>
      <c r="D530" s="4">
        <f t="shared" si="30"/>
        <v>3.8219620000000134</v>
      </c>
      <c r="E530" s="3">
        <v>57.95</v>
      </c>
      <c r="F530" s="3">
        <v>20</v>
      </c>
      <c r="G530" s="3">
        <v>140.72110600000002</v>
      </c>
      <c r="H530" s="4">
        <f t="shared" si="33"/>
        <v>0.88523600000002034</v>
      </c>
      <c r="I530" s="4">
        <f t="shared" si="31"/>
        <v>3.0006480000000124</v>
      </c>
      <c r="J530" s="3">
        <v>57.95</v>
      </c>
      <c r="K530" s="3">
        <v>20</v>
      </c>
      <c r="L530" s="13">
        <f>YEAR(Weekly_Prices[[#This Row],[Date]])</f>
        <v>2013</v>
      </c>
      <c r="M530" s="13">
        <f>MONTH(Weekly_Prices[[#This Row],[Date]])</f>
        <v>7</v>
      </c>
      <c r="N530" s="3" t="str">
        <f>TEXT(Weekly_Prices[[#This Row],[Date]],"MMMM")</f>
        <v>July</v>
      </c>
      <c r="O530" s="3" t="str">
        <f>YEAR(Weekly_Prices[[#This Row],[Date]])&amp;"-"&amp;TEXT(WEEKNUM(Weekly_Prices[[#This Row],[Date]],2),"00")</f>
        <v>2013-30</v>
      </c>
    </row>
    <row r="531" spans="1:15" x14ac:dyDescent="0.35">
      <c r="A531" s="2">
        <v>41484</v>
      </c>
      <c r="B531" s="3">
        <v>136.86846699999998</v>
      </c>
      <c r="C531" s="4">
        <f t="shared" si="32"/>
        <v>0.8322989999999777</v>
      </c>
      <c r="D531" s="4">
        <f t="shared" si="30"/>
        <v>4.0910979999999881</v>
      </c>
      <c r="E531" s="3">
        <v>57.95</v>
      </c>
      <c r="F531" s="3">
        <v>20</v>
      </c>
      <c r="G531" s="3">
        <v>141.4359</v>
      </c>
      <c r="H531" s="4">
        <f t="shared" si="33"/>
        <v>0.7147939999999835</v>
      </c>
      <c r="I531" s="4">
        <f t="shared" si="31"/>
        <v>3.1848520000000065</v>
      </c>
      <c r="J531" s="3">
        <v>57.95</v>
      </c>
      <c r="K531" s="3">
        <v>20</v>
      </c>
      <c r="L531" s="13">
        <f>YEAR(Weekly_Prices[[#This Row],[Date]])</f>
        <v>2013</v>
      </c>
      <c r="M531" s="13">
        <f>MONTH(Weekly_Prices[[#This Row],[Date]])</f>
        <v>7</v>
      </c>
      <c r="N531" s="3" t="str">
        <f>TEXT(Weekly_Prices[[#This Row],[Date]],"MMMM")</f>
        <v>July</v>
      </c>
      <c r="O531" s="3" t="str">
        <f>YEAR(Weekly_Prices[[#This Row],[Date]])&amp;"-"&amp;TEXT(WEEKNUM(Weekly_Prices[[#This Row],[Date]],2),"00")</f>
        <v>2013-31</v>
      </c>
    </row>
    <row r="532" spans="1:15" x14ac:dyDescent="0.35">
      <c r="A532" s="2">
        <v>41491</v>
      </c>
      <c r="B532" s="3">
        <v>137.015534</v>
      </c>
      <c r="C532" s="4">
        <f t="shared" si="32"/>
        <v>0.14706700000002115</v>
      </c>
      <c r="D532" s="4">
        <f t="shared" si="30"/>
        <v>3.6258480000000191</v>
      </c>
      <c r="E532" s="3">
        <v>57.95</v>
      </c>
      <c r="F532" s="3">
        <v>20</v>
      </c>
      <c r="G532" s="3">
        <v>141.67454000000001</v>
      </c>
      <c r="H532" s="4">
        <f t="shared" si="33"/>
        <v>0.23864000000000374</v>
      </c>
      <c r="I532" s="4">
        <f t="shared" si="31"/>
        <v>2.8852400000000102</v>
      </c>
      <c r="J532" s="3">
        <v>57.95</v>
      </c>
      <c r="K532" s="3">
        <v>20</v>
      </c>
      <c r="L532" s="13">
        <f>YEAR(Weekly_Prices[[#This Row],[Date]])</f>
        <v>2013</v>
      </c>
      <c r="M532" s="13">
        <f>MONTH(Weekly_Prices[[#This Row],[Date]])</f>
        <v>8</v>
      </c>
      <c r="N532" s="3" t="str">
        <f>TEXT(Weekly_Prices[[#This Row],[Date]],"MMMM")</f>
        <v>August</v>
      </c>
      <c r="O532" s="3" t="str">
        <f>YEAR(Weekly_Prices[[#This Row],[Date]])&amp;"-"&amp;TEXT(WEEKNUM(Weekly_Prices[[#This Row],[Date]],2),"00")</f>
        <v>2013-32</v>
      </c>
    </row>
    <row r="533" spans="1:15" x14ac:dyDescent="0.35">
      <c r="A533" s="2">
        <v>41498</v>
      </c>
      <c r="B533" s="3">
        <v>137.13020200000003</v>
      </c>
      <c r="C533" s="4">
        <f t="shared" si="32"/>
        <v>0.11466800000002308</v>
      </c>
      <c r="D533" s="4">
        <f t="shared" si="30"/>
        <v>2.8617080000000215</v>
      </c>
      <c r="E533" s="3">
        <v>57.95</v>
      </c>
      <c r="F533" s="3">
        <v>20</v>
      </c>
      <c r="G533" s="3">
        <v>141.822056</v>
      </c>
      <c r="H533" s="4">
        <f t="shared" si="33"/>
        <v>0.14751599999999598</v>
      </c>
      <c r="I533" s="4">
        <f t="shared" si="31"/>
        <v>2.3614939999999933</v>
      </c>
      <c r="J533" s="3">
        <v>57.95</v>
      </c>
      <c r="K533" s="3">
        <v>20</v>
      </c>
      <c r="L533" s="13">
        <f>YEAR(Weekly_Prices[[#This Row],[Date]])</f>
        <v>2013</v>
      </c>
      <c r="M533" s="13">
        <f>MONTH(Weekly_Prices[[#This Row],[Date]])</f>
        <v>8</v>
      </c>
      <c r="N533" s="3" t="str">
        <f>TEXT(Weekly_Prices[[#This Row],[Date]],"MMMM")</f>
        <v>August</v>
      </c>
      <c r="O533" s="3" t="str">
        <f>YEAR(Weekly_Prices[[#This Row],[Date]])&amp;"-"&amp;TEXT(WEEKNUM(Weekly_Prices[[#This Row],[Date]],2),"00")</f>
        <v>2013-33</v>
      </c>
    </row>
    <row r="534" spans="1:15" x14ac:dyDescent="0.35">
      <c r="A534" s="2">
        <v>41505</v>
      </c>
      <c r="B534" s="3">
        <v>136.998616</v>
      </c>
      <c r="C534" s="4">
        <f t="shared" si="32"/>
        <v>-0.13158600000002707</v>
      </c>
      <c r="D534" s="4">
        <f t="shared" si="30"/>
        <v>1.274704000000014</v>
      </c>
      <c r="E534" s="3">
        <v>57.95</v>
      </c>
      <c r="F534" s="3">
        <v>20</v>
      </c>
      <c r="G534" s="3">
        <v>141.73261600000004</v>
      </c>
      <c r="H534" s="4">
        <f t="shared" si="33"/>
        <v>-8.9439999999967768E-2</v>
      </c>
      <c r="I534" s="4">
        <f t="shared" si="31"/>
        <v>0.94691000000000258</v>
      </c>
      <c r="J534" s="3">
        <v>57.95</v>
      </c>
      <c r="K534" s="3">
        <v>20</v>
      </c>
      <c r="L534" s="13">
        <f>YEAR(Weekly_Prices[[#This Row],[Date]])</f>
        <v>2013</v>
      </c>
      <c r="M534" s="13">
        <f>MONTH(Weekly_Prices[[#This Row],[Date]])</f>
        <v>8</v>
      </c>
      <c r="N534" s="3" t="str">
        <f>TEXT(Weekly_Prices[[#This Row],[Date]],"MMMM")</f>
        <v>August</v>
      </c>
      <c r="O534" s="3" t="str">
        <f>YEAR(Weekly_Prices[[#This Row],[Date]])&amp;"-"&amp;TEXT(WEEKNUM(Weekly_Prices[[#This Row],[Date]],2),"00")</f>
        <v>2013-34</v>
      </c>
    </row>
    <row r="535" spans="1:15" x14ac:dyDescent="0.35">
      <c r="A535" s="2">
        <v>41514</v>
      </c>
      <c r="B535" s="3">
        <v>136.82743200000002</v>
      </c>
      <c r="C535" s="4">
        <f t="shared" si="32"/>
        <v>-0.17118399999998246</v>
      </c>
      <c r="D535" s="4">
        <f t="shared" si="30"/>
        <v>-0.27076999999999884</v>
      </c>
      <c r="E535" s="3">
        <v>57.95</v>
      </c>
      <c r="F535" s="3">
        <v>20</v>
      </c>
      <c r="G535" s="3">
        <v>141.777568</v>
      </c>
      <c r="H535" s="4">
        <f t="shared" si="33"/>
        <v>4.4951999999966574E-2</v>
      </c>
      <c r="I535" s="4">
        <f t="shared" si="31"/>
        <v>-0.39126799999999662</v>
      </c>
      <c r="J535" s="3">
        <v>57.95</v>
      </c>
      <c r="K535" s="3">
        <v>20</v>
      </c>
      <c r="L535" s="13">
        <f>YEAR(Weekly_Prices[[#This Row],[Date]])</f>
        <v>2013</v>
      </c>
      <c r="M535" s="13">
        <f>MONTH(Weekly_Prices[[#This Row],[Date]])</f>
        <v>8</v>
      </c>
      <c r="N535" s="3" t="str">
        <f>TEXT(Weekly_Prices[[#This Row],[Date]],"MMMM")</f>
        <v>August</v>
      </c>
      <c r="O535" s="3" t="str">
        <f>YEAR(Weekly_Prices[[#This Row],[Date]])&amp;"-"&amp;TEXT(WEEKNUM(Weekly_Prices[[#This Row],[Date]],2),"00")</f>
        <v>2013-35</v>
      </c>
    </row>
    <row r="536" spans="1:15" x14ac:dyDescent="0.35">
      <c r="A536" s="2">
        <v>41519</v>
      </c>
      <c r="B536" s="3">
        <v>137.13656</v>
      </c>
      <c r="C536" s="4">
        <f t="shared" si="32"/>
        <v>0.30912799999998697</v>
      </c>
      <c r="D536" s="4">
        <f t="shared" si="30"/>
        <v>-0.89238799999998264</v>
      </c>
      <c r="E536" s="3">
        <v>57.95</v>
      </c>
      <c r="F536" s="3">
        <v>20</v>
      </c>
      <c r="G536" s="3">
        <v>142.09303799999998</v>
      </c>
      <c r="H536" s="4">
        <f t="shared" si="33"/>
        <v>0.31546999999997638</v>
      </c>
      <c r="I536" s="4">
        <f t="shared" si="31"/>
        <v>-0.77883400000004599</v>
      </c>
      <c r="J536" s="3">
        <v>57.95</v>
      </c>
      <c r="K536" s="3">
        <v>20</v>
      </c>
      <c r="L536" s="13">
        <f>YEAR(Weekly_Prices[[#This Row],[Date]])</f>
        <v>2013</v>
      </c>
      <c r="M536" s="13">
        <f>MONTH(Weekly_Prices[[#This Row],[Date]])</f>
        <v>9</v>
      </c>
      <c r="N536" s="3" t="str">
        <f>TEXT(Weekly_Prices[[#This Row],[Date]],"MMMM")</f>
        <v>September</v>
      </c>
      <c r="O536" s="3" t="str">
        <f>YEAR(Weekly_Prices[[#This Row],[Date]])&amp;"-"&amp;TEXT(WEEKNUM(Weekly_Prices[[#This Row],[Date]],2),"00")</f>
        <v>2013-36</v>
      </c>
    </row>
    <row r="537" spans="1:15" x14ac:dyDescent="0.35">
      <c r="A537" s="2">
        <v>41526</v>
      </c>
      <c r="B537" s="3">
        <v>137.60209899999998</v>
      </c>
      <c r="C537" s="4">
        <f t="shared" si="32"/>
        <v>0.46553899999997839</v>
      </c>
      <c r="D537" s="4">
        <f t="shared" si="30"/>
        <v>-1.3037370000000408</v>
      </c>
      <c r="E537" s="3">
        <v>57.95</v>
      </c>
      <c r="F537" s="3">
        <v>20</v>
      </c>
      <c r="G537" s="3">
        <v>142.67081200000001</v>
      </c>
      <c r="H537" s="4">
        <f t="shared" si="33"/>
        <v>0.57777400000003354</v>
      </c>
      <c r="I537" s="4">
        <f t="shared" si="31"/>
        <v>-0.98431199999998853</v>
      </c>
      <c r="J537" s="3">
        <v>57.95</v>
      </c>
      <c r="K537" s="3">
        <v>20</v>
      </c>
      <c r="L537" s="13">
        <f>YEAR(Weekly_Prices[[#This Row],[Date]])</f>
        <v>2013</v>
      </c>
      <c r="M537" s="13">
        <f>MONTH(Weekly_Prices[[#This Row],[Date]])</f>
        <v>9</v>
      </c>
      <c r="N537" s="3" t="str">
        <f>TEXT(Weekly_Prices[[#This Row],[Date]],"MMMM")</f>
        <v>September</v>
      </c>
      <c r="O537" s="3" t="str">
        <f>YEAR(Weekly_Prices[[#This Row],[Date]])&amp;"-"&amp;TEXT(WEEKNUM(Weekly_Prices[[#This Row],[Date]],2),"00")</f>
        <v>2013-37</v>
      </c>
    </row>
    <row r="538" spans="1:15" x14ac:dyDescent="0.35">
      <c r="A538" s="2">
        <v>41533</v>
      </c>
      <c r="B538" s="3">
        <v>137.47292899999999</v>
      </c>
      <c r="C538" s="4">
        <f t="shared" si="32"/>
        <v>-0.12916999999998779</v>
      </c>
      <c r="D538" s="4">
        <f t="shared" si="30"/>
        <v>-1.9479110000000048</v>
      </c>
      <c r="E538" s="3">
        <v>57.95</v>
      </c>
      <c r="F538" s="3">
        <v>20</v>
      </c>
      <c r="G538" s="3">
        <v>142.52039400000001</v>
      </c>
      <c r="H538" s="4">
        <f t="shared" si="33"/>
        <v>-0.15041800000000194</v>
      </c>
      <c r="I538" s="4">
        <f t="shared" si="31"/>
        <v>-1.654892000000018</v>
      </c>
      <c r="J538" s="3">
        <v>57.95</v>
      </c>
      <c r="K538" s="3">
        <v>20</v>
      </c>
      <c r="L538" s="13">
        <f>YEAR(Weekly_Prices[[#This Row],[Date]])</f>
        <v>2013</v>
      </c>
      <c r="M538" s="13">
        <f>MONTH(Weekly_Prices[[#This Row],[Date]])</f>
        <v>9</v>
      </c>
      <c r="N538" s="3" t="str">
        <f>TEXT(Weekly_Prices[[#This Row],[Date]],"MMMM")</f>
        <v>September</v>
      </c>
      <c r="O538" s="3" t="str">
        <f>YEAR(Weekly_Prices[[#This Row],[Date]])&amp;"-"&amp;TEXT(WEEKNUM(Weekly_Prices[[#This Row],[Date]],2),"00")</f>
        <v>2013-38</v>
      </c>
    </row>
    <row r="539" spans="1:15" x14ac:dyDescent="0.35">
      <c r="A539" s="2">
        <v>41540</v>
      </c>
      <c r="B539" s="3">
        <v>136.95380399999999</v>
      </c>
      <c r="C539" s="4">
        <f t="shared" si="32"/>
        <v>-0.5191250000000025</v>
      </c>
      <c r="D539" s="4">
        <f t="shared" si="30"/>
        <v>-2.5818979999999954</v>
      </c>
      <c r="E539" s="3">
        <v>57.95</v>
      </c>
      <c r="F539" s="3">
        <v>20</v>
      </c>
      <c r="G539" s="3">
        <v>142.08849599999999</v>
      </c>
      <c r="H539" s="4">
        <f t="shared" si="33"/>
        <v>-0.4318980000000181</v>
      </c>
      <c r="I539" s="4">
        <f t="shared" si="31"/>
        <v>-2.2681579999999997</v>
      </c>
      <c r="J539" s="3">
        <v>57.95</v>
      </c>
      <c r="K539" s="3">
        <v>20</v>
      </c>
      <c r="L539" s="13">
        <f>YEAR(Weekly_Prices[[#This Row],[Date]])</f>
        <v>2013</v>
      </c>
      <c r="M539" s="13">
        <f>MONTH(Weekly_Prices[[#This Row],[Date]])</f>
        <v>9</v>
      </c>
      <c r="N539" s="3" t="str">
        <f>TEXT(Weekly_Prices[[#This Row],[Date]],"MMMM")</f>
        <v>September</v>
      </c>
      <c r="O539" s="3" t="str">
        <f>YEAR(Weekly_Prices[[#This Row],[Date]])&amp;"-"&amp;TEXT(WEEKNUM(Weekly_Prices[[#This Row],[Date]],2),"00")</f>
        <v>2013-39</v>
      </c>
    </row>
    <row r="540" spans="1:15" x14ac:dyDescent="0.35">
      <c r="A540" s="2">
        <v>41547</v>
      </c>
      <c r="B540" s="3">
        <v>133.40168199999999</v>
      </c>
      <c r="C540" s="4">
        <f t="shared" si="32"/>
        <v>-3.5521219999999971</v>
      </c>
      <c r="D540" s="4">
        <f t="shared" si="30"/>
        <v>-5.0311810000000037</v>
      </c>
      <c r="E540" s="3">
        <v>57.95</v>
      </c>
      <c r="F540" s="3">
        <v>20</v>
      </c>
      <c r="G540" s="3">
        <v>140.19415999999998</v>
      </c>
      <c r="H540" s="4">
        <f t="shared" si="33"/>
        <v>-1.8943360000000098</v>
      </c>
      <c r="I540" s="4">
        <f t="shared" si="31"/>
        <v>-3.0895740000000274</v>
      </c>
      <c r="J540" s="3">
        <v>57.95</v>
      </c>
      <c r="K540" s="3">
        <v>20</v>
      </c>
      <c r="L540" s="13">
        <f>YEAR(Weekly_Prices[[#This Row],[Date]])</f>
        <v>2013</v>
      </c>
      <c r="M540" s="13">
        <f>MONTH(Weekly_Prices[[#This Row],[Date]])</f>
        <v>9</v>
      </c>
      <c r="N540" s="3" t="str">
        <f>TEXT(Weekly_Prices[[#This Row],[Date]],"MMMM")</f>
        <v>September</v>
      </c>
      <c r="O540" s="3" t="str">
        <f>YEAR(Weekly_Prices[[#This Row],[Date]])&amp;"-"&amp;TEXT(WEEKNUM(Weekly_Prices[[#This Row],[Date]],2),"00")</f>
        <v>2013-40</v>
      </c>
    </row>
    <row r="541" spans="1:15" x14ac:dyDescent="0.35">
      <c r="A541" s="2">
        <v>41554</v>
      </c>
      <c r="B541" s="3">
        <v>131.620834</v>
      </c>
      <c r="C541" s="4">
        <f t="shared" si="32"/>
        <v>-1.7808479999999918</v>
      </c>
      <c r="D541" s="4">
        <f t="shared" si="30"/>
        <v>-6.6159519999999929</v>
      </c>
      <c r="E541" s="3">
        <v>57.95</v>
      </c>
      <c r="F541" s="3">
        <v>20</v>
      </c>
      <c r="G541" s="3">
        <v>138.833854</v>
      </c>
      <c r="H541" s="4">
        <f t="shared" si="33"/>
        <v>-1.36030599999998</v>
      </c>
      <c r="I541" s="4">
        <f t="shared" si="31"/>
        <v>-4.2127440000000149</v>
      </c>
      <c r="J541" s="3">
        <v>57.95</v>
      </c>
      <c r="K541" s="3">
        <v>20</v>
      </c>
      <c r="L541" s="13">
        <f>YEAR(Weekly_Prices[[#This Row],[Date]])</f>
        <v>2013</v>
      </c>
      <c r="M541" s="13">
        <f>MONTH(Weekly_Prices[[#This Row],[Date]])</f>
        <v>10</v>
      </c>
      <c r="N541" s="3" t="str">
        <f>TEXT(Weekly_Prices[[#This Row],[Date]],"MMMM")</f>
        <v>October</v>
      </c>
      <c r="O541" s="3" t="str">
        <f>YEAR(Weekly_Prices[[#This Row],[Date]])&amp;"-"&amp;TEXT(WEEKNUM(Weekly_Prices[[#This Row],[Date]],2),"00")</f>
        <v>2013-41</v>
      </c>
    </row>
    <row r="542" spans="1:15" x14ac:dyDescent="0.35">
      <c r="A542" s="2">
        <v>41561</v>
      </c>
      <c r="B542" s="3">
        <v>131.674207</v>
      </c>
      <c r="C542" s="4">
        <f t="shared" si="32"/>
        <v>5.3372999999993453E-2</v>
      </c>
      <c r="D542" s="4">
        <f t="shared" si="30"/>
        <v>-6.6736130000000173</v>
      </c>
      <c r="E542" s="3">
        <v>57.95</v>
      </c>
      <c r="F542" s="3">
        <v>20</v>
      </c>
      <c r="G542" s="3">
        <v>139.15173300000004</v>
      </c>
      <c r="H542" s="4">
        <f t="shared" si="33"/>
        <v>0.31787900000003333</v>
      </c>
      <c r="I542" s="4">
        <f t="shared" si="31"/>
        <v>-4.0832229999999754</v>
      </c>
      <c r="J542" s="3">
        <v>57.95</v>
      </c>
      <c r="K542" s="3">
        <v>20</v>
      </c>
      <c r="L542" s="13">
        <f>YEAR(Weekly_Prices[[#This Row],[Date]])</f>
        <v>2013</v>
      </c>
      <c r="M542" s="13">
        <f>MONTH(Weekly_Prices[[#This Row],[Date]])</f>
        <v>10</v>
      </c>
      <c r="N542" s="3" t="str">
        <f>TEXT(Weekly_Prices[[#This Row],[Date]],"MMMM")</f>
        <v>October</v>
      </c>
      <c r="O542" s="3" t="str">
        <f>YEAR(Weekly_Prices[[#This Row],[Date]])&amp;"-"&amp;TEXT(WEEKNUM(Weekly_Prices[[#This Row],[Date]],2),"00")</f>
        <v>2013-42</v>
      </c>
    </row>
    <row r="543" spans="1:15" x14ac:dyDescent="0.35">
      <c r="A543" s="2">
        <v>41568</v>
      </c>
      <c r="B543" s="3">
        <v>131.533006</v>
      </c>
      <c r="C543" s="4">
        <f t="shared" si="32"/>
        <v>-0.14120099999999525</v>
      </c>
      <c r="D543" s="4">
        <f t="shared" si="30"/>
        <v>-6.7593850000000089</v>
      </c>
      <c r="E543" s="3">
        <v>57.95</v>
      </c>
      <c r="F543" s="3">
        <v>20</v>
      </c>
      <c r="G543" s="3">
        <v>138.99436399999999</v>
      </c>
      <c r="H543" s="4">
        <f t="shared" si="33"/>
        <v>-0.15736900000004539</v>
      </c>
      <c r="I543" s="4">
        <f t="shared" si="31"/>
        <v>-4.2326140000000123</v>
      </c>
      <c r="J543" s="3">
        <v>57.95</v>
      </c>
      <c r="K543" s="3">
        <v>20</v>
      </c>
      <c r="L543" s="13">
        <f>YEAR(Weekly_Prices[[#This Row],[Date]])</f>
        <v>2013</v>
      </c>
      <c r="M543" s="13">
        <f>MONTH(Weekly_Prices[[#This Row],[Date]])</f>
        <v>10</v>
      </c>
      <c r="N543" s="3" t="str">
        <f>TEXT(Weekly_Prices[[#This Row],[Date]],"MMMM")</f>
        <v>October</v>
      </c>
      <c r="O543" s="3" t="str">
        <f>YEAR(Weekly_Prices[[#This Row],[Date]])&amp;"-"&amp;TEXT(WEEKNUM(Weekly_Prices[[#This Row],[Date]],2),"00")</f>
        <v>2013-43</v>
      </c>
    </row>
    <row r="544" spans="1:15" x14ac:dyDescent="0.35">
      <c r="A544" s="2">
        <v>41575</v>
      </c>
      <c r="B544" s="3">
        <v>131.41811599999997</v>
      </c>
      <c r="C544" s="4">
        <f t="shared" si="32"/>
        <v>-0.11489000000003102</v>
      </c>
      <c r="D544" s="4">
        <f t="shared" si="30"/>
        <v>-5.5654830000000288</v>
      </c>
      <c r="E544" s="3">
        <v>57.95</v>
      </c>
      <c r="F544" s="3">
        <v>20</v>
      </c>
      <c r="G544" s="3">
        <v>138.87785500000001</v>
      </c>
      <c r="H544" s="4">
        <f t="shared" si="33"/>
        <v>-0.11650899999997932</v>
      </c>
      <c r="I544" s="4">
        <f t="shared" si="31"/>
        <v>-4.1202109999999834</v>
      </c>
      <c r="J544" s="3">
        <v>57.95</v>
      </c>
      <c r="K544" s="3">
        <v>20</v>
      </c>
      <c r="L544" s="13">
        <f>YEAR(Weekly_Prices[[#This Row],[Date]])</f>
        <v>2013</v>
      </c>
      <c r="M544" s="13">
        <f>MONTH(Weekly_Prices[[#This Row],[Date]])</f>
        <v>10</v>
      </c>
      <c r="N544" s="3" t="str">
        <f>TEXT(Weekly_Prices[[#This Row],[Date]],"MMMM")</f>
        <v>October</v>
      </c>
      <c r="O544" s="3" t="str">
        <f>YEAR(Weekly_Prices[[#This Row],[Date]])&amp;"-"&amp;TEXT(WEEKNUM(Weekly_Prices[[#This Row],[Date]],2),"00")</f>
        <v>2013-44</v>
      </c>
    </row>
    <row r="545" spans="1:15" x14ac:dyDescent="0.35">
      <c r="A545" s="2">
        <v>41582</v>
      </c>
      <c r="B545" s="3">
        <v>129.92194499999999</v>
      </c>
      <c r="C545" s="4">
        <f t="shared" si="32"/>
        <v>-1.4961709999999755</v>
      </c>
      <c r="D545" s="4">
        <f t="shared" si="30"/>
        <v>-6.5110699999999895</v>
      </c>
      <c r="E545" s="3">
        <v>57.95</v>
      </c>
      <c r="F545" s="3">
        <v>20</v>
      </c>
      <c r="G545" s="3">
        <v>137.51446800000002</v>
      </c>
      <c r="H545" s="4">
        <f t="shared" si="33"/>
        <v>-1.3633869999999888</v>
      </c>
      <c r="I545" s="4">
        <f t="shared" si="31"/>
        <v>-5.238964999999979</v>
      </c>
      <c r="J545" s="3">
        <v>57.95</v>
      </c>
      <c r="K545" s="3">
        <v>20</v>
      </c>
      <c r="L545" s="13">
        <f>YEAR(Weekly_Prices[[#This Row],[Date]])</f>
        <v>2013</v>
      </c>
      <c r="M545" s="13">
        <f>MONTH(Weekly_Prices[[#This Row],[Date]])</f>
        <v>11</v>
      </c>
      <c r="N545" s="3" t="str">
        <f>TEXT(Weekly_Prices[[#This Row],[Date]],"MMMM")</f>
        <v>November</v>
      </c>
      <c r="O545" s="3" t="str">
        <f>YEAR(Weekly_Prices[[#This Row],[Date]])&amp;"-"&amp;TEXT(WEEKNUM(Weekly_Prices[[#This Row],[Date]],2),"00")</f>
        <v>2013-45</v>
      </c>
    </row>
    <row r="546" spans="1:15" x14ac:dyDescent="0.35">
      <c r="A546" s="2">
        <v>41589</v>
      </c>
      <c r="B546" s="3">
        <v>129.705026</v>
      </c>
      <c r="C546" s="4">
        <f t="shared" si="32"/>
        <v>-0.21691899999999009</v>
      </c>
      <c r="D546" s="4">
        <f t="shared" si="30"/>
        <v>-5.3809889999999996</v>
      </c>
      <c r="E546" s="3">
        <v>57.95</v>
      </c>
      <c r="F546" s="3">
        <v>20</v>
      </c>
      <c r="G546" s="3">
        <v>137.32368400000001</v>
      </c>
      <c r="H546" s="4">
        <f t="shared" si="33"/>
        <v>-0.19078400000000784</v>
      </c>
      <c r="I546" s="4">
        <f t="shared" si="31"/>
        <v>-4.4193559999999934</v>
      </c>
      <c r="J546" s="3">
        <v>57.95</v>
      </c>
      <c r="K546" s="3">
        <v>20</v>
      </c>
      <c r="L546" s="13">
        <f>YEAR(Weekly_Prices[[#This Row],[Date]])</f>
        <v>2013</v>
      </c>
      <c r="M546" s="13">
        <f>MONTH(Weekly_Prices[[#This Row],[Date]])</f>
        <v>11</v>
      </c>
      <c r="N546" s="3" t="str">
        <f>TEXT(Weekly_Prices[[#This Row],[Date]],"MMMM")</f>
        <v>November</v>
      </c>
      <c r="O546" s="3" t="str">
        <f>YEAR(Weekly_Prices[[#This Row],[Date]])&amp;"-"&amp;TEXT(WEEKNUM(Weekly_Prices[[#This Row],[Date]],2),"00")</f>
        <v>2013-46</v>
      </c>
    </row>
    <row r="547" spans="1:15" x14ac:dyDescent="0.35">
      <c r="A547" s="2">
        <v>41596</v>
      </c>
      <c r="B547" s="3">
        <v>129.88799799999998</v>
      </c>
      <c r="C547" s="4">
        <f t="shared" si="32"/>
        <v>0.18297199999997815</v>
      </c>
      <c r="D547" s="4">
        <f t="shared" si="30"/>
        <v>-4.6732090000000142</v>
      </c>
      <c r="E547" s="3">
        <v>57.95</v>
      </c>
      <c r="F547" s="3">
        <v>20</v>
      </c>
      <c r="G547" s="3">
        <v>137.47142200000002</v>
      </c>
      <c r="H547" s="4">
        <f t="shared" si="33"/>
        <v>0.14773800000000392</v>
      </c>
      <c r="I547" s="4">
        <f t="shared" si="31"/>
        <v>-3.8563339999999755</v>
      </c>
      <c r="J547" s="3">
        <v>57.95</v>
      </c>
      <c r="K547" s="3">
        <v>20</v>
      </c>
      <c r="L547" s="13">
        <f>YEAR(Weekly_Prices[[#This Row],[Date]])</f>
        <v>2013</v>
      </c>
      <c r="M547" s="13">
        <f>MONTH(Weekly_Prices[[#This Row],[Date]])</f>
        <v>11</v>
      </c>
      <c r="N547" s="3" t="str">
        <f>TEXT(Weekly_Prices[[#This Row],[Date]],"MMMM")</f>
        <v>November</v>
      </c>
      <c r="O547" s="3" t="str">
        <f>YEAR(Weekly_Prices[[#This Row],[Date]])&amp;"-"&amp;TEXT(WEEKNUM(Weekly_Prices[[#This Row],[Date]],2),"00")</f>
        <v>2013-47</v>
      </c>
    </row>
    <row r="548" spans="1:15" x14ac:dyDescent="0.35">
      <c r="A548" s="2">
        <v>41603</v>
      </c>
      <c r="B548" s="3">
        <v>130.03340399999999</v>
      </c>
      <c r="C548" s="4">
        <f t="shared" si="32"/>
        <v>0.14540600000000836</v>
      </c>
      <c r="D548" s="4">
        <f t="shared" si="30"/>
        <v>-4.3425050000000169</v>
      </c>
      <c r="E548" s="3">
        <v>57.95</v>
      </c>
      <c r="F548" s="3">
        <v>20</v>
      </c>
      <c r="G548" s="3">
        <v>137.72114300000001</v>
      </c>
      <c r="H548" s="4">
        <f t="shared" si="33"/>
        <v>0.24972099999999386</v>
      </c>
      <c r="I548" s="4">
        <f t="shared" si="31"/>
        <v>-3.4065650000000005</v>
      </c>
      <c r="J548" s="3">
        <v>57.95</v>
      </c>
      <c r="K548" s="3">
        <v>20</v>
      </c>
      <c r="L548" s="13">
        <f>YEAR(Weekly_Prices[[#This Row],[Date]])</f>
        <v>2013</v>
      </c>
      <c r="M548" s="13">
        <f>MONTH(Weekly_Prices[[#This Row],[Date]])</f>
        <v>11</v>
      </c>
      <c r="N548" s="3" t="str">
        <f>TEXT(Weekly_Prices[[#This Row],[Date]],"MMMM")</f>
        <v>November</v>
      </c>
      <c r="O548" s="3" t="str">
        <f>YEAR(Weekly_Prices[[#This Row],[Date]])&amp;"-"&amp;TEXT(WEEKNUM(Weekly_Prices[[#This Row],[Date]],2),"00")</f>
        <v>2013-48</v>
      </c>
    </row>
    <row r="549" spans="1:15" x14ac:dyDescent="0.35">
      <c r="A549" s="2">
        <v>41610</v>
      </c>
      <c r="B549" s="3">
        <v>130.253998</v>
      </c>
      <c r="C549" s="4">
        <f t="shared" si="32"/>
        <v>0.22059400000000551</v>
      </c>
      <c r="D549" s="4">
        <f t="shared" si="30"/>
        <v>-2.7956350000000043</v>
      </c>
      <c r="E549" s="3">
        <v>57.95</v>
      </c>
      <c r="F549" s="3">
        <v>20</v>
      </c>
      <c r="G549" s="3">
        <v>137.89805999999999</v>
      </c>
      <c r="H549" s="4">
        <f t="shared" si="33"/>
        <v>0.17691699999997468</v>
      </c>
      <c r="I549" s="4">
        <f t="shared" si="31"/>
        <v>-3.0072040000000015</v>
      </c>
      <c r="J549" s="3">
        <v>57.95</v>
      </c>
      <c r="K549" s="3">
        <v>20</v>
      </c>
      <c r="L549" s="13">
        <f>YEAR(Weekly_Prices[[#This Row],[Date]])</f>
        <v>2013</v>
      </c>
      <c r="M549" s="13">
        <f>MONTH(Weekly_Prices[[#This Row],[Date]])</f>
        <v>12</v>
      </c>
      <c r="N549" s="3" t="str">
        <f>TEXT(Weekly_Prices[[#This Row],[Date]],"MMMM")</f>
        <v>December</v>
      </c>
      <c r="O549" s="3" t="str">
        <f>YEAR(Weekly_Prices[[#This Row],[Date]])&amp;"-"&amp;TEXT(WEEKNUM(Weekly_Prices[[#This Row],[Date]],2),"00")</f>
        <v>2013-49</v>
      </c>
    </row>
    <row r="550" spans="1:15" x14ac:dyDescent="0.35">
      <c r="A550" s="2">
        <v>41617</v>
      </c>
      <c r="B550" s="3">
        <v>130.76437099999998</v>
      </c>
      <c r="C550" s="4">
        <f t="shared" si="32"/>
        <v>0.51037299999998709</v>
      </c>
      <c r="D550" s="4">
        <f t="shared" si="30"/>
        <v>-1.7842620000000124</v>
      </c>
      <c r="E550" s="3">
        <v>57.95</v>
      </c>
      <c r="F550" s="3">
        <v>20</v>
      </c>
      <c r="G550" s="3">
        <v>138.55344100000002</v>
      </c>
      <c r="H550" s="4">
        <f t="shared" si="33"/>
        <v>0.65538100000003396</v>
      </c>
      <c r="I550" s="4">
        <f t="shared" si="31"/>
        <v>-2.2107989999999802</v>
      </c>
      <c r="J550" s="3">
        <v>57.95</v>
      </c>
      <c r="K550" s="3">
        <v>20</v>
      </c>
      <c r="L550" s="13">
        <f>YEAR(Weekly_Prices[[#This Row],[Date]])</f>
        <v>2013</v>
      </c>
      <c r="M550" s="13">
        <f>MONTH(Weekly_Prices[[#This Row],[Date]])</f>
        <v>12</v>
      </c>
      <c r="N550" s="3" t="str">
        <f>TEXT(Weekly_Prices[[#This Row],[Date]],"MMMM")</f>
        <v>December</v>
      </c>
      <c r="O550" s="3" t="str">
        <f>YEAR(Weekly_Prices[[#This Row],[Date]])&amp;"-"&amp;TEXT(WEEKNUM(Weekly_Prices[[#This Row],[Date]],2),"00")</f>
        <v>2013-50</v>
      </c>
    </row>
    <row r="551" spans="1:15" x14ac:dyDescent="0.35">
      <c r="A551" s="2">
        <v>41624</v>
      </c>
      <c r="B551" s="3">
        <v>130.96074199999998</v>
      </c>
      <c r="C551" s="4">
        <f t="shared" si="32"/>
        <v>0.19637099999999919</v>
      </c>
      <c r="D551" s="4">
        <f t="shared" si="30"/>
        <v>-1.015905000000032</v>
      </c>
      <c r="E551" s="3">
        <v>57.95</v>
      </c>
      <c r="F551" s="3">
        <v>20</v>
      </c>
      <c r="G551" s="3">
        <v>138.84163799999999</v>
      </c>
      <c r="H551" s="4">
        <f t="shared" si="33"/>
        <v>0.28819699999996828</v>
      </c>
      <c r="I551" s="4">
        <f t="shared" si="31"/>
        <v>-1.2377319999999941</v>
      </c>
      <c r="J551" s="3">
        <v>57.95</v>
      </c>
      <c r="K551" s="3">
        <v>20</v>
      </c>
      <c r="L551" s="13">
        <f>YEAR(Weekly_Prices[[#This Row],[Date]])</f>
        <v>2013</v>
      </c>
      <c r="M551" s="13">
        <f>MONTH(Weekly_Prices[[#This Row],[Date]])</f>
        <v>12</v>
      </c>
      <c r="N551" s="3" t="str">
        <f>TEXT(Weekly_Prices[[#This Row],[Date]],"MMMM")</f>
        <v>December</v>
      </c>
      <c r="O551" s="3" t="str">
        <f>YEAR(Weekly_Prices[[#This Row],[Date]])&amp;"-"&amp;TEXT(WEEKNUM(Weekly_Prices[[#This Row],[Date]],2),"00")</f>
        <v>2013-51</v>
      </c>
    </row>
    <row r="552" spans="1:15" x14ac:dyDescent="0.35">
      <c r="A552" s="2">
        <v>41631</v>
      </c>
      <c r="B552" s="3">
        <v>130.05188100000001</v>
      </c>
      <c r="C552" s="4">
        <f t="shared" si="32"/>
        <v>-0.90886099999997327</v>
      </c>
      <c r="D552" s="4">
        <f t="shared" si="30"/>
        <v>-1.9000819999999976</v>
      </c>
      <c r="E552" s="3">
        <v>57.95</v>
      </c>
      <c r="F552" s="3">
        <v>20</v>
      </c>
      <c r="G552" s="3">
        <v>138.16987</v>
      </c>
      <c r="H552" s="4">
        <f t="shared" si="33"/>
        <v>-0.67176799999998593</v>
      </c>
      <c r="I552" s="4">
        <f t="shared" si="31"/>
        <v>-1.6687239999999974</v>
      </c>
      <c r="J552" s="3">
        <v>57.95</v>
      </c>
      <c r="K552" s="3">
        <v>20</v>
      </c>
      <c r="L552" s="13">
        <f>YEAR(Weekly_Prices[[#This Row],[Date]])</f>
        <v>2013</v>
      </c>
      <c r="M552" s="13">
        <f>MONTH(Weekly_Prices[[#This Row],[Date]])</f>
        <v>12</v>
      </c>
      <c r="N552" s="3" t="str">
        <f>TEXT(Weekly_Prices[[#This Row],[Date]],"MMMM")</f>
        <v>December</v>
      </c>
      <c r="O552" s="3" t="str">
        <f>YEAR(Weekly_Prices[[#This Row],[Date]])&amp;"-"&amp;TEXT(WEEKNUM(Weekly_Prices[[#This Row],[Date]],2),"00")</f>
        <v>2013-52</v>
      </c>
    </row>
    <row r="553" spans="1:15" x14ac:dyDescent="0.35">
      <c r="A553" s="2">
        <v>41638</v>
      </c>
      <c r="B553" s="3">
        <v>130.03394499999999</v>
      </c>
      <c r="C553" s="4">
        <f t="shared" si="32"/>
        <v>-1.7936000000020158E-2</v>
      </c>
      <c r="D553" s="4">
        <f t="shared" si="30"/>
        <v>-1.8856130000000064</v>
      </c>
      <c r="E553" s="3">
        <v>57.95</v>
      </c>
      <c r="F553" s="3">
        <v>20</v>
      </c>
      <c r="G553" s="3">
        <v>137.97954800000002</v>
      </c>
      <c r="H553" s="4">
        <f t="shared" si="33"/>
        <v>-0.19032199999998056</v>
      </c>
      <c r="I553" s="4">
        <f t="shared" si="31"/>
        <v>-1.8320819999999856</v>
      </c>
      <c r="J553" s="3">
        <v>57.95</v>
      </c>
      <c r="K553" s="3">
        <v>20</v>
      </c>
      <c r="L553" s="13">
        <f>YEAR(Weekly_Prices[[#This Row],[Date]])</f>
        <v>2013</v>
      </c>
      <c r="M553" s="13">
        <f>MONTH(Weekly_Prices[[#This Row],[Date]])</f>
        <v>12</v>
      </c>
      <c r="N553" s="3" t="str">
        <f>TEXT(Weekly_Prices[[#This Row],[Date]],"MMMM")</f>
        <v>December</v>
      </c>
      <c r="O553" s="3" t="str">
        <f>YEAR(Weekly_Prices[[#This Row],[Date]])&amp;"-"&amp;TEXT(WEEKNUM(Weekly_Prices[[#This Row],[Date]],2),"00")</f>
        <v>2013-53</v>
      </c>
    </row>
    <row r="554" spans="1:15" x14ac:dyDescent="0.35">
      <c r="A554" s="2">
        <v>41645</v>
      </c>
      <c r="B554" s="3">
        <v>130.256192</v>
      </c>
      <c r="C554" s="4">
        <f t="shared" si="32"/>
        <v>0.22224700000001008</v>
      </c>
      <c r="D554" s="4">
        <f t="shared" si="30"/>
        <v>-1.6045230000000288</v>
      </c>
      <c r="E554" s="3">
        <v>57.95</v>
      </c>
      <c r="F554" s="3">
        <v>20</v>
      </c>
      <c r="G554" s="3">
        <v>138.114304</v>
      </c>
      <c r="H554" s="4">
        <f t="shared" si="33"/>
        <v>0.13475599999998167</v>
      </c>
      <c r="I554" s="4">
        <f t="shared" si="31"/>
        <v>-1.6383690000000115</v>
      </c>
      <c r="J554" s="3">
        <v>57.95</v>
      </c>
      <c r="K554" s="3">
        <v>20</v>
      </c>
      <c r="L554" s="13">
        <f>YEAR(Weekly_Prices[[#This Row],[Date]])</f>
        <v>2014</v>
      </c>
      <c r="M554" s="13">
        <f>MONTH(Weekly_Prices[[#This Row],[Date]])</f>
        <v>1</v>
      </c>
      <c r="N554" s="3" t="str">
        <f>TEXT(Weekly_Prices[[#This Row],[Date]],"MMMM")</f>
        <v>January</v>
      </c>
      <c r="O554" s="3" t="str">
        <f>YEAR(Weekly_Prices[[#This Row],[Date]])&amp;"-"&amp;TEXT(WEEKNUM(Weekly_Prices[[#This Row],[Date]],2),"00")</f>
        <v>2014-02</v>
      </c>
    </row>
    <row r="555" spans="1:15" x14ac:dyDescent="0.35">
      <c r="A555" s="2">
        <v>41652</v>
      </c>
      <c r="B555" s="3">
        <v>130.35634899999999</v>
      </c>
      <c r="C555" s="4">
        <f t="shared" si="32"/>
        <v>0.10015699999999583</v>
      </c>
      <c r="D555" s="4">
        <f t="shared" si="30"/>
        <v>-1.6440660000000094</v>
      </c>
      <c r="E555" s="3">
        <v>57.95</v>
      </c>
      <c r="F555" s="3">
        <v>20</v>
      </c>
      <c r="G555" s="3">
        <v>138.33954900000001</v>
      </c>
      <c r="H555" s="4">
        <f t="shared" si="33"/>
        <v>0.22524500000000103</v>
      </c>
      <c r="I555" s="4">
        <f t="shared" si="31"/>
        <v>-1.338830999999999</v>
      </c>
      <c r="J555" s="3">
        <v>57.95</v>
      </c>
      <c r="K555" s="3">
        <v>20</v>
      </c>
      <c r="L555" s="13">
        <f>YEAR(Weekly_Prices[[#This Row],[Date]])</f>
        <v>2014</v>
      </c>
      <c r="M555" s="13">
        <f>MONTH(Weekly_Prices[[#This Row],[Date]])</f>
        <v>1</v>
      </c>
      <c r="N555" s="3" t="str">
        <f>TEXT(Weekly_Prices[[#This Row],[Date]],"MMMM")</f>
        <v>January</v>
      </c>
      <c r="O555" s="3" t="str">
        <f>YEAR(Weekly_Prices[[#This Row],[Date]])&amp;"-"&amp;TEXT(WEEKNUM(Weekly_Prices[[#This Row],[Date]],2),"00")</f>
        <v>2014-03</v>
      </c>
    </row>
    <row r="556" spans="1:15" x14ac:dyDescent="0.35">
      <c r="A556" s="2">
        <v>41659</v>
      </c>
      <c r="B556" s="3">
        <v>129.36717099999998</v>
      </c>
      <c r="C556" s="4">
        <f t="shared" si="32"/>
        <v>-0.98917800000000966</v>
      </c>
      <c r="D556" s="4">
        <f t="shared" si="30"/>
        <v>-2.8467390000000137</v>
      </c>
      <c r="E556" s="3">
        <v>57.95</v>
      </c>
      <c r="F556" s="3">
        <v>20</v>
      </c>
      <c r="G556" s="3">
        <v>137.23146600000001</v>
      </c>
      <c r="H556" s="4">
        <f t="shared" si="33"/>
        <v>-1.1080829999999935</v>
      </c>
      <c r="I556" s="4">
        <f t="shared" si="31"/>
        <v>-2.7212179999999933</v>
      </c>
      <c r="J556" s="3">
        <v>57.95</v>
      </c>
      <c r="K556" s="3">
        <v>20</v>
      </c>
      <c r="L556" s="13">
        <f>YEAR(Weekly_Prices[[#This Row],[Date]])</f>
        <v>2014</v>
      </c>
      <c r="M556" s="13">
        <f>MONTH(Weekly_Prices[[#This Row],[Date]])</f>
        <v>1</v>
      </c>
      <c r="N556" s="3" t="str">
        <f>TEXT(Weekly_Prices[[#This Row],[Date]],"MMMM")</f>
        <v>January</v>
      </c>
      <c r="O556" s="3" t="str">
        <f>YEAR(Weekly_Prices[[#This Row],[Date]])&amp;"-"&amp;TEXT(WEEKNUM(Weekly_Prices[[#This Row],[Date]],2),"00")</f>
        <v>2014-04</v>
      </c>
    </row>
    <row r="557" spans="1:15" x14ac:dyDescent="0.35">
      <c r="A557" s="2">
        <v>41666</v>
      </c>
      <c r="B557" s="3">
        <v>129.02084399999998</v>
      </c>
      <c r="C557" s="4">
        <f t="shared" si="32"/>
        <v>-0.34632700000000227</v>
      </c>
      <c r="D557" s="4">
        <f t="shared" si="30"/>
        <v>-3.9286560000000179</v>
      </c>
      <c r="E557" s="3">
        <v>57.95</v>
      </c>
      <c r="F557" s="3">
        <v>20</v>
      </c>
      <c r="G557" s="3">
        <v>136.93848</v>
      </c>
      <c r="H557" s="4">
        <f t="shared" si="33"/>
        <v>-0.29298600000001329</v>
      </c>
      <c r="I557" s="4">
        <f t="shared" si="31"/>
        <v>-3.8279320000000041</v>
      </c>
      <c r="J557" s="3">
        <v>57.95</v>
      </c>
      <c r="K557" s="3">
        <v>20</v>
      </c>
      <c r="L557" s="13">
        <f>YEAR(Weekly_Prices[[#This Row],[Date]])</f>
        <v>2014</v>
      </c>
      <c r="M557" s="13">
        <f>MONTH(Weekly_Prices[[#This Row],[Date]])</f>
        <v>1</v>
      </c>
      <c r="N557" s="3" t="str">
        <f>TEXT(Weekly_Prices[[#This Row],[Date]],"MMMM")</f>
        <v>January</v>
      </c>
      <c r="O557" s="3" t="str">
        <f>YEAR(Weekly_Prices[[#This Row],[Date]])&amp;"-"&amp;TEXT(WEEKNUM(Weekly_Prices[[#This Row],[Date]],2),"00")</f>
        <v>2014-05</v>
      </c>
    </row>
    <row r="558" spans="1:15" x14ac:dyDescent="0.35">
      <c r="A558" s="2">
        <v>41673</v>
      </c>
      <c r="B558" s="3">
        <v>128.854164</v>
      </c>
      <c r="C558" s="4">
        <f t="shared" si="32"/>
        <v>-0.16667999999998528</v>
      </c>
      <c r="D558" s="4">
        <f t="shared" si="30"/>
        <v>-5.5263520000000028</v>
      </c>
      <c r="E558" s="3">
        <v>57.95</v>
      </c>
      <c r="F558" s="3">
        <v>20</v>
      </c>
      <c r="G558" s="3">
        <v>136.843692</v>
      </c>
      <c r="H558" s="4">
        <f t="shared" si="33"/>
        <v>-9.4787999999994099E-2</v>
      </c>
      <c r="I558" s="4">
        <f t="shared" si="31"/>
        <v>-5.0663800000000094</v>
      </c>
      <c r="J558" s="3">
        <v>57.95</v>
      </c>
      <c r="K558" s="3">
        <v>20</v>
      </c>
      <c r="L558" s="13">
        <f>YEAR(Weekly_Prices[[#This Row],[Date]])</f>
        <v>2014</v>
      </c>
      <c r="M558" s="13">
        <f>MONTH(Weekly_Prices[[#This Row],[Date]])</f>
        <v>2</v>
      </c>
      <c r="N558" s="3" t="str">
        <f>TEXT(Weekly_Prices[[#This Row],[Date]],"MMMM")</f>
        <v>February</v>
      </c>
      <c r="O558" s="3" t="str">
        <f>YEAR(Weekly_Prices[[#This Row],[Date]])&amp;"-"&amp;TEXT(WEEKNUM(Weekly_Prices[[#This Row],[Date]],2),"00")</f>
        <v>2014-06</v>
      </c>
    </row>
    <row r="559" spans="1:15" x14ac:dyDescent="0.35">
      <c r="A559" s="2">
        <v>41680</v>
      </c>
      <c r="B559" s="3">
        <v>128.813028</v>
      </c>
      <c r="C559" s="4">
        <f t="shared" si="32"/>
        <v>-4.113599999999451E-2</v>
      </c>
      <c r="D559" s="4">
        <f t="shared" si="30"/>
        <v>-6.7479409999999973</v>
      </c>
      <c r="E559" s="3">
        <v>57.95</v>
      </c>
      <c r="F559" s="3">
        <v>20</v>
      </c>
      <c r="G559" s="3">
        <v>136.84497999999999</v>
      </c>
      <c r="H559" s="4">
        <f t="shared" si="33"/>
        <v>1.2879999999881875E-3</v>
      </c>
      <c r="I559" s="4">
        <f t="shared" si="31"/>
        <v>-6.1816920000000266</v>
      </c>
      <c r="J559" s="3">
        <v>57.95</v>
      </c>
      <c r="K559" s="3">
        <v>20</v>
      </c>
      <c r="L559" s="13">
        <f>YEAR(Weekly_Prices[[#This Row],[Date]])</f>
        <v>2014</v>
      </c>
      <c r="M559" s="13">
        <f>MONTH(Weekly_Prices[[#This Row],[Date]])</f>
        <v>2</v>
      </c>
      <c r="N559" s="3" t="str">
        <f>TEXT(Weekly_Prices[[#This Row],[Date]],"MMMM")</f>
        <v>February</v>
      </c>
      <c r="O559" s="3" t="str">
        <f>YEAR(Weekly_Prices[[#This Row],[Date]])&amp;"-"&amp;TEXT(WEEKNUM(Weekly_Prices[[#This Row],[Date]],2),"00")</f>
        <v>2014-07</v>
      </c>
    </row>
    <row r="560" spans="1:15" x14ac:dyDescent="0.35">
      <c r="A560" s="2">
        <v>41687</v>
      </c>
      <c r="B560" s="3">
        <v>129.156083</v>
      </c>
      <c r="C560" s="4">
        <f t="shared" si="32"/>
        <v>0.34305499999999256</v>
      </c>
      <c r="D560" s="4">
        <f t="shared" si="30"/>
        <v>-7.7028530000000046</v>
      </c>
      <c r="E560" s="3">
        <v>57.95</v>
      </c>
      <c r="F560" s="3">
        <v>20</v>
      </c>
      <c r="G560" s="3">
        <v>136.80595300000002</v>
      </c>
      <c r="H560" s="4">
        <f t="shared" si="33"/>
        <v>-3.9026999999975942E-2</v>
      </c>
      <c r="I560" s="4">
        <f t="shared" si="31"/>
        <v>-7.3641109999999799</v>
      </c>
      <c r="J560" s="3">
        <v>57.95</v>
      </c>
      <c r="K560" s="3">
        <v>20</v>
      </c>
      <c r="L560" s="13">
        <f>YEAR(Weekly_Prices[[#This Row],[Date]])</f>
        <v>2014</v>
      </c>
      <c r="M560" s="13">
        <f>MONTH(Weekly_Prices[[#This Row],[Date]])</f>
        <v>2</v>
      </c>
      <c r="N560" s="3" t="str">
        <f>TEXT(Weekly_Prices[[#This Row],[Date]],"MMMM")</f>
        <v>February</v>
      </c>
      <c r="O560" s="3" t="str">
        <f>YEAR(Weekly_Prices[[#This Row],[Date]])&amp;"-"&amp;TEXT(WEEKNUM(Weekly_Prices[[#This Row],[Date]],2),"00")</f>
        <v>2014-08</v>
      </c>
    </row>
    <row r="561" spans="1:15" x14ac:dyDescent="0.35">
      <c r="A561" s="2">
        <v>41694</v>
      </c>
      <c r="B561" s="3">
        <v>129.20190500000001</v>
      </c>
      <c r="C561" s="4">
        <f t="shared" si="32"/>
        <v>4.582200000001535E-2</v>
      </c>
      <c r="D561" s="4">
        <f t="shared" si="30"/>
        <v>-9.2947190000000148</v>
      </c>
      <c r="E561" s="3">
        <v>57.95</v>
      </c>
      <c r="F561" s="3">
        <v>20</v>
      </c>
      <c r="G561" s="3">
        <v>136.94979799999999</v>
      </c>
      <c r="H561" s="4">
        <f t="shared" si="33"/>
        <v>0.14384499999997047</v>
      </c>
      <c r="I561" s="4">
        <f t="shared" si="31"/>
        <v>-8.5952220000000352</v>
      </c>
      <c r="J561" s="3">
        <v>57.95</v>
      </c>
      <c r="K561" s="3">
        <v>20</v>
      </c>
      <c r="L561" s="13">
        <f>YEAR(Weekly_Prices[[#This Row],[Date]])</f>
        <v>2014</v>
      </c>
      <c r="M561" s="13">
        <f>MONTH(Weekly_Prices[[#This Row],[Date]])</f>
        <v>2</v>
      </c>
      <c r="N561" s="3" t="str">
        <f>TEXT(Weekly_Prices[[#This Row],[Date]],"MMMM")</f>
        <v>February</v>
      </c>
      <c r="O561" s="3" t="str">
        <f>YEAR(Weekly_Prices[[#This Row],[Date]])&amp;"-"&amp;TEXT(WEEKNUM(Weekly_Prices[[#This Row],[Date]],2),"00")</f>
        <v>2014-09</v>
      </c>
    </row>
    <row r="562" spans="1:15" x14ac:dyDescent="0.35">
      <c r="A562" s="2">
        <v>41701</v>
      </c>
      <c r="B562" s="3">
        <v>129.35819599999999</v>
      </c>
      <c r="C562" s="4">
        <f t="shared" si="32"/>
        <v>0.15629099999998175</v>
      </c>
      <c r="D562" s="4">
        <f t="shared" si="30"/>
        <v>-10.115110000000016</v>
      </c>
      <c r="E562" s="3">
        <v>57.95</v>
      </c>
      <c r="F562" s="3">
        <v>20</v>
      </c>
      <c r="G562" s="3">
        <v>137.15048899999999</v>
      </c>
      <c r="H562" s="4">
        <f t="shared" si="33"/>
        <v>0.20069100000000617</v>
      </c>
      <c r="I562" s="4">
        <f t="shared" si="31"/>
        <v>-9.1938910000000078</v>
      </c>
      <c r="J562" s="3">
        <v>57.95</v>
      </c>
      <c r="K562" s="3">
        <v>20</v>
      </c>
      <c r="L562" s="13">
        <f>YEAR(Weekly_Prices[[#This Row],[Date]])</f>
        <v>2014</v>
      </c>
      <c r="M562" s="13">
        <f>MONTH(Weekly_Prices[[#This Row],[Date]])</f>
        <v>3</v>
      </c>
      <c r="N562" s="3" t="str">
        <f>TEXT(Weekly_Prices[[#This Row],[Date]],"MMMM")</f>
        <v>March</v>
      </c>
      <c r="O562" s="3" t="str">
        <f>YEAR(Weekly_Prices[[#This Row],[Date]])&amp;"-"&amp;TEXT(WEEKNUM(Weekly_Prices[[#This Row],[Date]],2),"00")</f>
        <v>2014-10</v>
      </c>
    </row>
    <row r="563" spans="1:15" x14ac:dyDescent="0.35">
      <c r="A563" s="2">
        <v>41708</v>
      </c>
      <c r="B563" s="3">
        <v>129.385392</v>
      </c>
      <c r="C563" s="4">
        <f t="shared" si="32"/>
        <v>2.7196000000003551E-2</v>
      </c>
      <c r="D563" s="4">
        <f t="shared" si="30"/>
        <v>-10.611920999999995</v>
      </c>
      <c r="E563" s="3">
        <v>57.95</v>
      </c>
      <c r="F563" s="3">
        <v>20</v>
      </c>
      <c r="G563" s="3">
        <v>137.07808700000001</v>
      </c>
      <c r="H563" s="4">
        <f t="shared" si="33"/>
        <v>-7.2401999999982536E-2</v>
      </c>
      <c r="I563" s="4">
        <f t="shared" si="31"/>
        <v>-9.6326329999999984</v>
      </c>
      <c r="J563" s="3">
        <v>57.95</v>
      </c>
      <c r="K563" s="3">
        <v>20</v>
      </c>
      <c r="L563" s="13">
        <f>YEAR(Weekly_Prices[[#This Row],[Date]])</f>
        <v>2014</v>
      </c>
      <c r="M563" s="13">
        <f>MONTH(Weekly_Prices[[#This Row],[Date]])</f>
        <v>3</v>
      </c>
      <c r="N563" s="3" t="str">
        <f>TEXT(Weekly_Prices[[#This Row],[Date]],"MMMM")</f>
        <v>March</v>
      </c>
      <c r="O563" s="3" t="str">
        <f>YEAR(Weekly_Prices[[#This Row],[Date]])&amp;"-"&amp;TEXT(WEEKNUM(Weekly_Prices[[#This Row],[Date]],2),"00")</f>
        <v>2014-11</v>
      </c>
    </row>
    <row r="564" spans="1:15" x14ac:dyDescent="0.35">
      <c r="A564" s="2">
        <v>41715</v>
      </c>
      <c r="B564" s="3">
        <v>128.75718499999999</v>
      </c>
      <c r="C564" s="4">
        <f t="shared" si="32"/>
        <v>-0.62820700000000329</v>
      </c>
      <c r="D564" s="4">
        <f t="shared" si="30"/>
        <v>-8.8254589999999951</v>
      </c>
      <c r="E564" s="3">
        <v>57.95</v>
      </c>
      <c r="F564" s="3">
        <v>20</v>
      </c>
      <c r="G564" s="3">
        <v>136.26726400000001</v>
      </c>
      <c r="H564" s="4">
        <f t="shared" si="33"/>
        <v>-0.81082299999999918</v>
      </c>
      <c r="I564" s="4">
        <f t="shared" si="31"/>
        <v>-8.5744320000000016</v>
      </c>
      <c r="J564" s="3">
        <v>57.95</v>
      </c>
      <c r="K564" s="3">
        <v>20</v>
      </c>
      <c r="L564" s="13">
        <f>YEAR(Weekly_Prices[[#This Row],[Date]])</f>
        <v>2014</v>
      </c>
      <c r="M564" s="13">
        <f>MONTH(Weekly_Prices[[#This Row],[Date]])</f>
        <v>3</v>
      </c>
      <c r="N564" s="3" t="str">
        <f>TEXT(Weekly_Prices[[#This Row],[Date]],"MMMM")</f>
        <v>March</v>
      </c>
      <c r="O564" s="3" t="str">
        <f>YEAR(Weekly_Prices[[#This Row],[Date]])&amp;"-"&amp;TEXT(WEEKNUM(Weekly_Prices[[#This Row],[Date]],2),"00")</f>
        <v>2014-12</v>
      </c>
    </row>
    <row r="565" spans="1:15" x14ac:dyDescent="0.35">
      <c r="A565" s="2">
        <v>41722</v>
      </c>
      <c r="B565" s="3">
        <v>128.57118199999999</v>
      </c>
      <c r="C565" s="4">
        <f t="shared" si="32"/>
        <v>-0.18600299999999947</v>
      </c>
      <c r="D565" s="4">
        <f t="shared" si="30"/>
        <v>-8.5147620000000188</v>
      </c>
      <c r="E565" s="3">
        <v>57.95</v>
      </c>
      <c r="F565" s="3">
        <v>20</v>
      </c>
      <c r="G565" s="3">
        <v>135.99780400000003</v>
      </c>
      <c r="H565" s="4">
        <f t="shared" si="33"/>
        <v>-0.26945999999998094</v>
      </c>
      <c r="I565" s="4">
        <f t="shared" si="31"/>
        <v>-8.3364979999999775</v>
      </c>
      <c r="J565" s="3">
        <v>57.95</v>
      </c>
      <c r="K565" s="3">
        <v>20</v>
      </c>
      <c r="L565" s="13">
        <f>YEAR(Weekly_Prices[[#This Row],[Date]])</f>
        <v>2014</v>
      </c>
      <c r="M565" s="13">
        <f>MONTH(Weekly_Prices[[#This Row],[Date]])</f>
        <v>3</v>
      </c>
      <c r="N565" s="3" t="str">
        <f>TEXT(Weekly_Prices[[#This Row],[Date]],"MMMM")</f>
        <v>March</v>
      </c>
      <c r="O565" s="3" t="str">
        <f>YEAR(Weekly_Prices[[#This Row],[Date]])&amp;"-"&amp;TEXT(WEEKNUM(Weekly_Prices[[#This Row],[Date]],2),"00")</f>
        <v>2014-13</v>
      </c>
    </row>
    <row r="566" spans="1:15" x14ac:dyDescent="0.35">
      <c r="A566" s="2">
        <v>41729</v>
      </c>
      <c r="B566" s="3">
        <v>128.76130999999998</v>
      </c>
      <c r="C566" s="4">
        <f t="shared" si="32"/>
        <v>0.1901279999999872</v>
      </c>
      <c r="D566" s="4">
        <f t="shared" si="30"/>
        <v>-8.5358640000000321</v>
      </c>
      <c r="E566" s="3">
        <v>57.95</v>
      </c>
      <c r="F566" s="3">
        <v>20</v>
      </c>
      <c r="G566" s="3">
        <v>135.886517</v>
      </c>
      <c r="H566" s="4">
        <f t="shared" si="33"/>
        <v>-0.11128700000003278</v>
      </c>
      <c r="I566" s="4">
        <f t="shared" si="31"/>
        <v>-7.6197209999999984</v>
      </c>
      <c r="J566" s="3">
        <v>57.95</v>
      </c>
      <c r="K566" s="3">
        <v>20</v>
      </c>
      <c r="L566" s="13">
        <f>YEAR(Weekly_Prices[[#This Row],[Date]])</f>
        <v>2014</v>
      </c>
      <c r="M566" s="13">
        <f>MONTH(Weekly_Prices[[#This Row],[Date]])</f>
        <v>3</v>
      </c>
      <c r="N566" s="3" t="str">
        <f>TEXT(Weekly_Prices[[#This Row],[Date]],"MMMM")</f>
        <v>March</v>
      </c>
      <c r="O566" s="3" t="str">
        <f>YEAR(Weekly_Prices[[#This Row],[Date]])&amp;"-"&amp;TEXT(WEEKNUM(Weekly_Prices[[#This Row],[Date]],2),"00")</f>
        <v>2014-14</v>
      </c>
    </row>
    <row r="567" spans="1:15" x14ac:dyDescent="0.35">
      <c r="A567" s="2">
        <v>41736</v>
      </c>
      <c r="B567" s="3">
        <v>128.71284299999999</v>
      </c>
      <c r="C567" s="4">
        <f t="shared" si="32"/>
        <v>-4.8466999999988047E-2</v>
      </c>
      <c r="D567" s="4">
        <f t="shared" ref="D567:D630" si="34">B567-B515</f>
        <v>-8.592423000000025</v>
      </c>
      <c r="E567" s="3">
        <v>57.95</v>
      </c>
      <c r="F567" s="3">
        <v>20</v>
      </c>
      <c r="G567" s="3">
        <v>136.00898599999999</v>
      </c>
      <c r="H567" s="4">
        <f t="shared" si="33"/>
        <v>0.12246899999999528</v>
      </c>
      <c r="I567" s="4">
        <f t="shared" ref="I567:I630" si="35">G567-G515</f>
        <v>-7.124147999999991</v>
      </c>
      <c r="J567" s="3">
        <v>57.95</v>
      </c>
      <c r="K567" s="3">
        <v>20</v>
      </c>
      <c r="L567" s="13">
        <f>YEAR(Weekly_Prices[[#This Row],[Date]])</f>
        <v>2014</v>
      </c>
      <c r="M567" s="13">
        <f>MONTH(Weekly_Prices[[#This Row],[Date]])</f>
        <v>4</v>
      </c>
      <c r="N567" s="3" t="str">
        <f>TEXT(Weekly_Prices[[#This Row],[Date]],"MMMM")</f>
        <v>April</v>
      </c>
      <c r="O567" s="3" t="str">
        <f>YEAR(Weekly_Prices[[#This Row],[Date]])&amp;"-"&amp;TEXT(WEEKNUM(Weekly_Prices[[#This Row],[Date]],2),"00")</f>
        <v>2014-15</v>
      </c>
    </row>
    <row r="568" spans="1:15" x14ac:dyDescent="0.35">
      <c r="A568" s="2">
        <v>41743</v>
      </c>
      <c r="B568" s="3">
        <v>128.89086800000001</v>
      </c>
      <c r="C568" s="4">
        <f t="shared" si="32"/>
        <v>0.17802500000001942</v>
      </c>
      <c r="D568" s="4">
        <f t="shared" si="34"/>
        <v>-8.2179340000000138</v>
      </c>
      <c r="E568" s="3">
        <v>57.95</v>
      </c>
      <c r="F568" s="3">
        <v>20</v>
      </c>
      <c r="G568" s="3">
        <v>136.05353000000002</v>
      </c>
      <c r="H568" s="4">
        <f t="shared" si="33"/>
        <v>4.4544000000030337E-2</v>
      </c>
      <c r="I568" s="4">
        <f t="shared" si="35"/>
        <v>-5.6115659999999821</v>
      </c>
      <c r="J568" s="3">
        <v>57.95</v>
      </c>
      <c r="K568" s="3">
        <v>20</v>
      </c>
      <c r="L568" s="13">
        <f>YEAR(Weekly_Prices[[#This Row],[Date]])</f>
        <v>2014</v>
      </c>
      <c r="M568" s="13">
        <f>MONTH(Weekly_Prices[[#This Row],[Date]])</f>
        <v>4</v>
      </c>
      <c r="N568" s="3" t="str">
        <f>TEXT(Weekly_Prices[[#This Row],[Date]],"MMMM")</f>
        <v>April</v>
      </c>
      <c r="O568" s="3" t="str">
        <f>YEAR(Weekly_Prices[[#This Row],[Date]])&amp;"-"&amp;TEXT(WEEKNUM(Weekly_Prices[[#This Row],[Date]],2),"00")</f>
        <v>2014-16</v>
      </c>
    </row>
    <row r="569" spans="1:15" x14ac:dyDescent="0.35">
      <c r="A569" s="2">
        <v>41750</v>
      </c>
      <c r="B569" s="3">
        <v>129.11240000000001</v>
      </c>
      <c r="C569" s="4">
        <f t="shared" si="32"/>
        <v>0.22153199999999629</v>
      </c>
      <c r="D569" s="4">
        <f t="shared" si="34"/>
        <v>-6.5683119999999917</v>
      </c>
      <c r="E569" s="3">
        <v>57.95</v>
      </c>
      <c r="F569" s="3">
        <v>20</v>
      </c>
      <c r="G569" s="3">
        <v>136.11527100000001</v>
      </c>
      <c r="H569" s="4">
        <f t="shared" si="33"/>
        <v>6.1740999999983615E-2</v>
      </c>
      <c r="I569" s="4">
        <f t="shared" si="35"/>
        <v>-4.5239549999999724</v>
      </c>
      <c r="J569" s="3">
        <v>57.95</v>
      </c>
      <c r="K569" s="3">
        <v>20</v>
      </c>
      <c r="L569" s="13">
        <f>YEAR(Weekly_Prices[[#This Row],[Date]])</f>
        <v>2014</v>
      </c>
      <c r="M569" s="13">
        <f>MONTH(Weekly_Prices[[#This Row],[Date]])</f>
        <v>4</v>
      </c>
      <c r="N569" s="3" t="str">
        <f>TEXT(Weekly_Prices[[#This Row],[Date]],"MMMM")</f>
        <v>April</v>
      </c>
      <c r="O569" s="3" t="str">
        <f>YEAR(Weekly_Prices[[#This Row],[Date]])&amp;"-"&amp;TEXT(WEEKNUM(Weekly_Prices[[#This Row],[Date]],2),"00")</f>
        <v>2014-17</v>
      </c>
    </row>
    <row r="570" spans="1:15" x14ac:dyDescent="0.35">
      <c r="A570" s="2">
        <v>41757</v>
      </c>
      <c r="B570" s="3">
        <v>129.09442099999998</v>
      </c>
      <c r="C570" s="4">
        <f t="shared" si="32"/>
        <v>-1.797900000002528E-2</v>
      </c>
      <c r="D570" s="4">
        <f t="shared" si="34"/>
        <v>-5.5679800000000341</v>
      </c>
      <c r="E570" s="3">
        <v>57.95</v>
      </c>
      <c r="F570" s="3">
        <v>20</v>
      </c>
      <c r="G570" s="3">
        <v>135.93039400000001</v>
      </c>
      <c r="H570" s="4">
        <f t="shared" si="33"/>
        <v>-0.18487700000000018</v>
      </c>
      <c r="I570" s="4">
        <f t="shared" si="35"/>
        <v>-3.663550000000015</v>
      </c>
      <c r="J570" s="3">
        <v>57.95</v>
      </c>
      <c r="K570" s="3">
        <v>20</v>
      </c>
      <c r="L570" s="13">
        <f>YEAR(Weekly_Prices[[#This Row],[Date]])</f>
        <v>2014</v>
      </c>
      <c r="M570" s="13">
        <f>MONTH(Weekly_Prices[[#This Row],[Date]])</f>
        <v>4</v>
      </c>
      <c r="N570" s="3" t="str">
        <f>TEXT(Weekly_Prices[[#This Row],[Date]],"MMMM")</f>
        <v>April</v>
      </c>
      <c r="O570" s="3" t="str">
        <f>YEAR(Weekly_Prices[[#This Row],[Date]])&amp;"-"&amp;TEXT(WEEKNUM(Weekly_Prices[[#This Row],[Date]],2),"00")</f>
        <v>2014-18</v>
      </c>
    </row>
    <row r="571" spans="1:15" x14ac:dyDescent="0.35">
      <c r="A571" s="2">
        <v>41764</v>
      </c>
      <c r="B571" s="3">
        <v>129.26613199999997</v>
      </c>
      <c r="C571" s="4">
        <f t="shared" si="32"/>
        <v>0.17171099999998773</v>
      </c>
      <c r="D571" s="4">
        <f t="shared" si="34"/>
        <v>-4.1503800000000126</v>
      </c>
      <c r="E571" s="3">
        <v>57.95</v>
      </c>
      <c r="F571" s="3">
        <v>20</v>
      </c>
      <c r="G571" s="3">
        <v>136.16088500000001</v>
      </c>
      <c r="H571" s="4">
        <f t="shared" si="33"/>
        <v>0.23049100000000067</v>
      </c>
      <c r="I571" s="4">
        <f t="shared" si="35"/>
        <v>-2.3796930000000032</v>
      </c>
      <c r="J571" s="3">
        <v>57.95</v>
      </c>
      <c r="K571" s="3">
        <v>20</v>
      </c>
      <c r="L571" s="13">
        <f>YEAR(Weekly_Prices[[#This Row],[Date]])</f>
        <v>2014</v>
      </c>
      <c r="M571" s="13">
        <f>MONTH(Weekly_Prices[[#This Row],[Date]])</f>
        <v>5</v>
      </c>
      <c r="N571" s="3" t="str">
        <f>TEXT(Weekly_Prices[[#This Row],[Date]],"MMMM")</f>
        <v>May</v>
      </c>
      <c r="O571" s="3" t="str">
        <f>YEAR(Weekly_Prices[[#This Row],[Date]])&amp;"-"&amp;TEXT(WEEKNUM(Weekly_Prices[[#This Row],[Date]],2),"00")</f>
        <v>2014-19</v>
      </c>
    </row>
    <row r="572" spans="1:15" x14ac:dyDescent="0.35">
      <c r="A572" s="2">
        <v>41771</v>
      </c>
      <c r="B572" s="3">
        <v>129.49770899999999</v>
      </c>
      <c r="C572" s="4">
        <f t="shared" si="32"/>
        <v>0.23157700000001569</v>
      </c>
      <c r="D572" s="4">
        <f t="shared" si="34"/>
        <v>-3.6213510000000042</v>
      </c>
      <c r="E572" s="3">
        <v>57.95</v>
      </c>
      <c r="F572" s="3">
        <v>20</v>
      </c>
      <c r="G572" s="3">
        <v>136.36838600000002</v>
      </c>
      <c r="H572" s="4">
        <f t="shared" si="33"/>
        <v>0.20750100000000771</v>
      </c>
      <c r="I572" s="4">
        <f t="shared" si="35"/>
        <v>-1.8986859999999695</v>
      </c>
      <c r="J572" s="3">
        <v>57.95</v>
      </c>
      <c r="K572" s="3">
        <v>20</v>
      </c>
      <c r="L572" s="13">
        <f>YEAR(Weekly_Prices[[#This Row],[Date]])</f>
        <v>2014</v>
      </c>
      <c r="M572" s="13">
        <f>MONTH(Weekly_Prices[[#This Row],[Date]])</f>
        <v>5</v>
      </c>
      <c r="N572" s="3" t="str">
        <f>TEXT(Weekly_Prices[[#This Row],[Date]],"MMMM")</f>
        <v>May</v>
      </c>
      <c r="O572" s="3" t="str">
        <f>YEAR(Weekly_Prices[[#This Row],[Date]])&amp;"-"&amp;TEXT(WEEKNUM(Weekly_Prices[[#This Row],[Date]],2),"00")</f>
        <v>2014-20</v>
      </c>
    </row>
    <row r="573" spans="1:15" x14ac:dyDescent="0.35">
      <c r="A573" s="2">
        <v>41778</v>
      </c>
      <c r="B573" s="3">
        <v>129.41837900000002</v>
      </c>
      <c r="C573" s="4">
        <f t="shared" si="32"/>
        <v>-7.9329999999970369E-2</v>
      </c>
      <c r="D573" s="4">
        <f t="shared" si="34"/>
        <v>-3.7533630000000073</v>
      </c>
      <c r="E573" s="3">
        <v>57.95</v>
      </c>
      <c r="F573" s="3">
        <v>20</v>
      </c>
      <c r="G573" s="3">
        <v>136.16587900000002</v>
      </c>
      <c r="H573" s="4">
        <f t="shared" si="33"/>
        <v>-0.20250699999999711</v>
      </c>
      <c r="I573" s="4">
        <f t="shared" si="35"/>
        <v>-2.2584629999999777</v>
      </c>
      <c r="J573" s="3">
        <v>57.95</v>
      </c>
      <c r="K573" s="3">
        <v>20</v>
      </c>
      <c r="L573" s="13">
        <f>YEAR(Weekly_Prices[[#This Row],[Date]])</f>
        <v>2014</v>
      </c>
      <c r="M573" s="13">
        <f>MONTH(Weekly_Prices[[#This Row],[Date]])</f>
        <v>5</v>
      </c>
      <c r="N573" s="3" t="str">
        <f>TEXT(Weekly_Prices[[#This Row],[Date]],"MMMM")</f>
        <v>May</v>
      </c>
      <c r="O573" s="3" t="str">
        <f>YEAR(Weekly_Prices[[#This Row],[Date]])&amp;"-"&amp;TEXT(WEEKNUM(Weekly_Prices[[#This Row],[Date]],2),"00")</f>
        <v>2014-21</v>
      </c>
    </row>
    <row r="574" spans="1:15" x14ac:dyDescent="0.35">
      <c r="A574" s="2">
        <v>41785</v>
      </c>
      <c r="B574" s="3">
        <v>129.51083600000001</v>
      </c>
      <c r="C574" s="4">
        <f t="shared" si="32"/>
        <v>9.2456999999996015E-2</v>
      </c>
      <c r="D574" s="4">
        <f t="shared" si="34"/>
        <v>-4.1270919999999762</v>
      </c>
      <c r="E574" s="3">
        <v>57.95</v>
      </c>
      <c r="F574" s="3">
        <v>20</v>
      </c>
      <c r="G574" s="3">
        <v>136.35768300000001</v>
      </c>
      <c r="H574" s="4">
        <f t="shared" si="33"/>
        <v>0.19180399999999054</v>
      </c>
      <c r="I574" s="4">
        <f t="shared" si="35"/>
        <v>-2.4583599999999706</v>
      </c>
      <c r="J574" s="3">
        <v>57.95</v>
      </c>
      <c r="K574" s="3">
        <v>20</v>
      </c>
      <c r="L574" s="13">
        <f>YEAR(Weekly_Prices[[#This Row],[Date]])</f>
        <v>2014</v>
      </c>
      <c r="M574" s="13">
        <f>MONTH(Weekly_Prices[[#This Row],[Date]])</f>
        <v>5</v>
      </c>
      <c r="N574" s="3" t="str">
        <f>TEXT(Weekly_Prices[[#This Row],[Date]],"MMMM")</f>
        <v>May</v>
      </c>
      <c r="O574" s="3" t="str">
        <f>YEAR(Weekly_Prices[[#This Row],[Date]])&amp;"-"&amp;TEXT(WEEKNUM(Weekly_Prices[[#This Row],[Date]],2),"00")</f>
        <v>2014-22</v>
      </c>
    </row>
    <row r="575" spans="1:15" x14ac:dyDescent="0.35">
      <c r="A575" s="2">
        <v>41792</v>
      </c>
      <c r="B575" s="3">
        <v>129.63180999999997</v>
      </c>
      <c r="C575" s="4">
        <f t="shared" si="32"/>
        <v>0.12097399999996128</v>
      </c>
      <c r="D575" s="4">
        <f t="shared" si="34"/>
        <v>-4.4126280000000406</v>
      </c>
      <c r="E575" s="3">
        <v>57.95</v>
      </c>
      <c r="F575" s="3">
        <v>20</v>
      </c>
      <c r="G575" s="3">
        <v>136.37573</v>
      </c>
      <c r="H575" s="4">
        <f t="shared" si="33"/>
        <v>1.8046999999995705E-2</v>
      </c>
      <c r="I575" s="4">
        <f t="shared" si="35"/>
        <v>-2.7956569999999772</v>
      </c>
      <c r="J575" s="3">
        <v>57.95</v>
      </c>
      <c r="K575" s="3">
        <v>20</v>
      </c>
      <c r="L575" s="13">
        <f>YEAR(Weekly_Prices[[#This Row],[Date]])</f>
        <v>2014</v>
      </c>
      <c r="M575" s="13">
        <f>MONTH(Weekly_Prices[[#This Row],[Date]])</f>
        <v>6</v>
      </c>
      <c r="N575" s="3" t="str">
        <f>TEXT(Weekly_Prices[[#This Row],[Date]],"MMMM")</f>
        <v>June</v>
      </c>
      <c r="O575" s="3" t="str">
        <f>YEAR(Weekly_Prices[[#This Row],[Date]])&amp;"-"&amp;TEXT(WEEKNUM(Weekly_Prices[[#This Row],[Date]],2),"00")</f>
        <v>2014-23</v>
      </c>
    </row>
    <row r="576" spans="1:15" x14ac:dyDescent="0.35">
      <c r="A576" s="2">
        <v>41799</v>
      </c>
      <c r="B576" s="3">
        <v>129.69266399999998</v>
      </c>
      <c r="C576" s="4">
        <f t="shared" si="32"/>
        <v>6.0854000000006181E-2</v>
      </c>
      <c r="D576" s="4">
        <f t="shared" si="34"/>
        <v>-4.6063450000000046</v>
      </c>
      <c r="E576" s="3">
        <v>57.95</v>
      </c>
      <c r="F576" s="3">
        <v>20</v>
      </c>
      <c r="G576" s="3">
        <v>136.040524</v>
      </c>
      <c r="H576" s="4">
        <f t="shared" si="33"/>
        <v>-0.33520599999999945</v>
      </c>
      <c r="I576" s="4">
        <f t="shared" si="35"/>
        <v>-3.3928779999999961</v>
      </c>
      <c r="J576" s="3">
        <v>57.95</v>
      </c>
      <c r="K576" s="3">
        <v>20</v>
      </c>
      <c r="L576" s="13">
        <f>YEAR(Weekly_Prices[[#This Row],[Date]])</f>
        <v>2014</v>
      </c>
      <c r="M576" s="13">
        <f>MONTH(Weekly_Prices[[#This Row],[Date]])</f>
        <v>6</v>
      </c>
      <c r="N576" s="3" t="str">
        <f>TEXT(Weekly_Prices[[#This Row],[Date]],"MMMM")</f>
        <v>June</v>
      </c>
      <c r="O576" s="3" t="str">
        <f>YEAR(Weekly_Prices[[#This Row],[Date]])&amp;"-"&amp;TEXT(WEEKNUM(Weekly_Prices[[#This Row],[Date]],2),"00")</f>
        <v>2014-24</v>
      </c>
    </row>
    <row r="577" spans="1:15" x14ac:dyDescent="0.35">
      <c r="A577" s="2">
        <v>41806</v>
      </c>
      <c r="B577" s="3">
        <v>129.880144</v>
      </c>
      <c r="C577" s="4">
        <f t="shared" si="32"/>
        <v>0.18748000000002207</v>
      </c>
      <c r="D577" s="4">
        <f t="shared" si="34"/>
        <v>-4.577543999999989</v>
      </c>
      <c r="E577" s="3">
        <v>57.95</v>
      </c>
      <c r="F577" s="3">
        <v>20</v>
      </c>
      <c r="G577" s="3">
        <v>135.54180200000002</v>
      </c>
      <c r="H577" s="4">
        <f t="shared" si="33"/>
        <v>-0.49872199999998656</v>
      </c>
      <c r="I577" s="4">
        <f t="shared" si="35"/>
        <v>-3.9949959999999862</v>
      </c>
      <c r="J577" s="3">
        <v>57.95</v>
      </c>
      <c r="K577" s="3">
        <v>20</v>
      </c>
      <c r="L577" s="13">
        <f>YEAR(Weekly_Prices[[#This Row],[Date]])</f>
        <v>2014</v>
      </c>
      <c r="M577" s="13">
        <f>MONTH(Weekly_Prices[[#This Row],[Date]])</f>
        <v>6</v>
      </c>
      <c r="N577" s="3" t="str">
        <f>TEXT(Weekly_Prices[[#This Row],[Date]],"MMMM")</f>
        <v>June</v>
      </c>
      <c r="O577" s="3" t="str">
        <f>YEAR(Weekly_Prices[[#This Row],[Date]])&amp;"-"&amp;TEXT(WEEKNUM(Weekly_Prices[[#This Row],[Date]],2),"00")</f>
        <v>2014-25</v>
      </c>
    </row>
    <row r="578" spans="1:15" x14ac:dyDescent="0.35">
      <c r="A578" s="2">
        <v>41813</v>
      </c>
      <c r="B578" s="3">
        <v>130.142156</v>
      </c>
      <c r="C578" s="4">
        <f t="shared" si="32"/>
        <v>0.26201199999999858</v>
      </c>
      <c r="D578" s="4">
        <f t="shared" si="34"/>
        <v>-4.377902000000006</v>
      </c>
      <c r="E578" s="3">
        <v>57.95</v>
      </c>
      <c r="F578" s="3">
        <v>20</v>
      </c>
      <c r="G578" s="3">
        <v>135.500857</v>
      </c>
      <c r="H578" s="4">
        <f t="shared" si="33"/>
        <v>-4.0945000000021992E-2</v>
      </c>
      <c r="I578" s="4">
        <f t="shared" si="35"/>
        <v>-4.1355350000000044</v>
      </c>
      <c r="J578" s="3">
        <v>57.95</v>
      </c>
      <c r="K578" s="3">
        <v>20</v>
      </c>
      <c r="L578" s="13">
        <f>YEAR(Weekly_Prices[[#This Row],[Date]])</f>
        <v>2014</v>
      </c>
      <c r="M578" s="13">
        <f>MONTH(Weekly_Prices[[#This Row],[Date]])</f>
        <v>6</v>
      </c>
      <c r="N578" s="3" t="str">
        <f>TEXT(Weekly_Prices[[#This Row],[Date]],"MMMM")</f>
        <v>June</v>
      </c>
      <c r="O578" s="3" t="str">
        <f>YEAR(Weekly_Prices[[#This Row],[Date]])&amp;"-"&amp;TEXT(WEEKNUM(Weekly_Prices[[#This Row],[Date]],2),"00")</f>
        <v>2014-26</v>
      </c>
    </row>
    <row r="579" spans="1:15" x14ac:dyDescent="0.35">
      <c r="A579" s="2">
        <v>41820</v>
      </c>
      <c r="B579" s="3">
        <v>130.68705</v>
      </c>
      <c r="C579" s="4">
        <f t="shared" ref="C579:C642" si="36">B579-B578</f>
        <v>0.54489399999999932</v>
      </c>
      <c r="D579" s="4">
        <f t="shared" si="34"/>
        <v>-2.7532580000000166</v>
      </c>
      <c r="E579" s="3">
        <v>57.95</v>
      </c>
      <c r="F579" s="3">
        <v>20</v>
      </c>
      <c r="G579" s="3">
        <v>136.03758400000001</v>
      </c>
      <c r="H579" s="4">
        <f t="shared" ref="H579:H642" si="37">G579-G578</f>
        <v>0.53672700000001328</v>
      </c>
      <c r="I579" s="4">
        <f t="shared" si="35"/>
        <v>-2.4766439999999932</v>
      </c>
      <c r="J579" s="3">
        <v>57.95</v>
      </c>
      <c r="K579" s="3">
        <v>20</v>
      </c>
      <c r="L579" s="13">
        <f>YEAR(Weekly_Prices[[#This Row],[Date]])</f>
        <v>2014</v>
      </c>
      <c r="M579" s="13">
        <f>MONTH(Weekly_Prices[[#This Row],[Date]])</f>
        <v>6</v>
      </c>
      <c r="N579" s="3" t="str">
        <f>TEXT(Weekly_Prices[[#This Row],[Date]],"MMMM")</f>
        <v>June</v>
      </c>
      <c r="O579" s="3" t="str">
        <f>YEAR(Weekly_Prices[[#This Row],[Date]])&amp;"-"&amp;TEXT(WEEKNUM(Weekly_Prices[[#This Row],[Date]],2),"00")</f>
        <v>2014-27</v>
      </c>
    </row>
    <row r="580" spans="1:15" x14ac:dyDescent="0.35">
      <c r="A580" s="2">
        <v>41827</v>
      </c>
      <c r="B580" s="3">
        <v>131.099919</v>
      </c>
      <c r="C580" s="4">
        <f t="shared" si="36"/>
        <v>0.4128690000000006</v>
      </c>
      <c r="D580" s="4">
        <f t="shared" si="34"/>
        <v>-2.6693850000000054</v>
      </c>
      <c r="E580" s="3">
        <v>57.95</v>
      </c>
      <c r="F580" s="3">
        <v>20</v>
      </c>
      <c r="G580" s="3">
        <v>136.21809500000001</v>
      </c>
      <c r="H580" s="4">
        <f t="shared" si="37"/>
        <v>0.18051099999999565</v>
      </c>
      <c r="I580" s="4">
        <f t="shared" si="35"/>
        <v>-2.5127569999999935</v>
      </c>
      <c r="J580" s="3">
        <v>57.95</v>
      </c>
      <c r="K580" s="3">
        <v>20</v>
      </c>
      <c r="L580" s="13">
        <f>YEAR(Weekly_Prices[[#This Row],[Date]])</f>
        <v>2014</v>
      </c>
      <c r="M580" s="13">
        <f>MONTH(Weekly_Prices[[#This Row],[Date]])</f>
        <v>7</v>
      </c>
      <c r="N580" s="3" t="str">
        <f>TEXT(Weekly_Prices[[#This Row],[Date]],"MMMM")</f>
        <v>July</v>
      </c>
      <c r="O580" s="3" t="str">
        <f>YEAR(Weekly_Prices[[#This Row],[Date]])&amp;"-"&amp;TEXT(WEEKNUM(Weekly_Prices[[#This Row],[Date]],2),"00")</f>
        <v>2014-28</v>
      </c>
    </row>
    <row r="581" spans="1:15" x14ac:dyDescent="0.35">
      <c r="A581" s="2">
        <v>41834</v>
      </c>
      <c r="B581" s="3">
        <v>131.11149700000001</v>
      </c>
      <c r="C581" s="4">
        <f t="shared" si="36"/>
        <v>1.1578000000014299E-2</v>
      </c>
      <c r="D581" s="4">
        <f t="shared" si="34"/>
        <v>-3.8349809999999707</v>
      </c>
      <c r="E581" s="3">
        <v>57.95</v>
      </c>
      <c r="F581" s="3">
        <v>20</v>
      </c>
      <c r="G581" s="3">
        <v>136.17090200000001</v>
      </c>
      <c r="H581" s="4">
        <f t="shared" si="37"/>
        <v>-4.7192999999992935E-2</v>
      </c>
      <c r="I581" s="4">
        <f t="shared" si="35"/>
        <v>-3.6649679999999876</v>
      </c>
      <c r="J581" s="3">
        <v>57.95</v>
      </c>
      <c r="K581" s="3">
        <v>20</v>
      </c>
      <c r="L581" s="13">
        <f>YEAR(Weekly_Prices[[#This Row],[Date]])</f>
        <v>2014</v>
      </c>
      <c r="M581" s="13">
        <f>MONTH(Weekly_Prices[[#This Row],[Date]])</f>
        <v>7</v>
      </c>
      <c r="N581" s="3" t="str">
        <f>TEXT(Weekly_Prices[[#This Row],[Date]],"MMMM")</f>
        <v>July</v>
      </c>
      <c r="O581" s="3" t="str">
        <f>YEAR(Weekly_Prices[[#This Row],[Date]])&amp;"-"&amp;TEXT(WEEKNUM(Weekly_Prices[[#This Row],[Date]],2),"00")</f>
        <v>2014-29</v>
      </c>
    </row>
    <row r="582" spans="1:15" x14ac:dyDescent="0.35">
      <c r="A582" s="2">
        <v>41841</v>
      </c>
      <c r="B582" s="3">
        <v>131.04472099999998</v>
      </c>
      <c r="C582" s="4">
        <f t="shared" si="36"/>
        <v>-6.6776000000032809E-2</v>
      </c>
      <c r="D582" s="4">
        <f t="shared" si="34"/>
        <v>-4.9914470000000222</v>
      </c>
      <c r="E582" s="3">
        <v>57.95</v>
      </c>
      <c r="F582" s="3">
        <v>20</v>
      </c>
      <c r="G582" s="3">
        <v>135.68729200000001</v>
      </c>
      <c r="H582" s="4">
        <f t="shared" si="37"/>
        <v>-0.48360999999999876</v>
      </c>
      <c r="I582" s="4">
        <f t="shared" si="35"/>
        <v>-5.0338140000000067</v>
      </c>
      <c r="J582" s="3">
        <v>57.95</v>
      </c>
      <c r="K582" s="3">
        <v>20</v>
      </c>
      <c r="L582" s="13">
        <f>YEAR(Weekly_Prices[[#This Row],[Date]])</f>
        <v>2014</v>
      </c>
      <c r="M582" s="13">
        <f>MONTH(Weekly_Prices[[#This Row],[Date]])</f>
        <v>7</v>
      </c>
      <c r="N582" s="3" t="str">
        <f>TEXT(Weekly_Prices[[#This Row],[Date]],"MMMM")</f>
        <v>July</v>
      </c>
      <c r="O582" s="3" t="str">
        <f>YEAR(Weekly_Prices[[#This Row],[Date]])&amp;"-"&amp;TEXT(WEEKNUM(Weekly_Prices[[#This Row],[Date]],2),"00")</f>
        <v>2014-30</v>
      </c>
    </row>
    <row r="583" spans="1:15" x14ac:dyDescent="0.35">
      <c r="A583" s="2">
        <v>41848</v>
      </c>
      <c r="B583" s="3">
        <v>130.829579</v>
      </c>
      <c r="C583" s="4">
        <f t="shared" si="36"/>
        <v>-0.21514199999998596</v>
      </c>
      <c r="D583" s="4">
        <f t="shared" si="34"/>
        <v>-6.0388879999999858</v>
      </c>
      <c r="E583" s="3">
        <v>57.95</v>
      </c>
      <c r="F583" s="3">
        <v>20</v>
      </c>
      <c r="G583" s="3">
        <v>135.504648</v>
      </c>
      <c r="H583" s="4">
        <f t="shared" si="37"/>
        <v>-0.18264400000001046</v>
      </c>
      <c r="I583" s="4">
        <f t="shared" si="35"/>
        <v>-5.9312520000000006</v>
      </c>
      <c r="J583" s="3">
        <v>57.95</v>
      </c>
      <c r="K583" s="3">
        <v>20</v>
      </c>
      <c r="L583" s="13">
        <f>YEAR(Weekly_Prices[[#This Row],[Date]])</f>
        <v>2014</v>
      </c>
      <c r="M583" s="13">
        <f>MONTH(Weekly_Prices[[#This Row],[Date]])</f>
        <v>7</v>
      </c>
      <c r="N583" s="3" t="str">
        <f>TEXT(Weekly_Prices[[#This Row],[Date]],"MMMM")</f>
        <v>July</v>
      </c>
      <c r="O583" s="3" t="str">
        <f>YEAR(Weekly_Prices[[#This Row],[Date]])&amp;"-"&amp;TEXT(WEEKNUM(Weekly_Prices[[#This Row],[Date]],2),"00")</f>
        <v>2014-31</v>
      </c>
    </row>
    <row r="584" spans="1:15" x14ac:dyDescent="0.35">
      <c r="A584" s="2">
        <v>41855</v>
      </c>
      <c r="B584" s="3">
        <v>129.62610100000001</v>
      </c>
      <c r="C584" s="4">
        <f t="shared" si="36"/>
        <v>-1.2034779999999898</v>
      </c>
      <c r="D584" s="4">
        <f t="shared" si="34"/>
        <v>-7.3894329999999968</v>
      </c>
      <c r="E584" s="3">
        <v>57.95</v>
      </c>
      <c r="F584" s="3">
        <v>20</v>
      </c>
      <c r="G584" s="3">
        <v>134.30514200000002</v>
      </c>
      <c r="H584" s="4">
        <f t="shared" si="37"/>
        <v>-1.1995059999999853</v>
      </c>
      <c r="I584" s="4">
        <f t="shared" si="35"/>
        <v>-7.3693979999999897</v>
      </c>
      <c r="J584" s="3">
        <v>57.95</v>
      </c>
      <c r="K584" s="3">
        <v>20</v>
      </c>
      <c r="L584" s="13">
        <f>YEAR(Weekly_Prices[[#This Row],[Date]])</f>
        <v>2014</v>
      </c>
      <c r="M584" s="13">
        <f>MONTH(Weekly_Prices[[#This Row],[Date]])</f>
        <v>8</v>
      </c>
      <c r="N584" s="3" t="str">
        <f>TEXT(Weekly_Prices[[#This Row],[Date]],"MMMM")</f>
        <v>August</v>
      </c>
      <c r="O584" s="3" t="str">
        <f>YEAR(Weekly_Prices[[#This Row],[Date]])&amp;"-"&amp;TEXT(WEEKNUM(Weekly_Prices[[#This Row],[Date]],2),"00")</f>
        <v>2014-32</v>
      </c>
    </row>
    <row r="585" spans="1:15" x14ac:dyDescent="0.35">
      <c r="A585" s="2">
        <v>41862</v>
      </c>
      <c r="B585" s="3">
        <v>129.41438299999999</v>
      </c>
      <c r="C585" s="4">
        <f t="shared" si="36"/>
        <v>-0.21171800000001895</v>
      </c>
      <c r="D585" s="4">
        <f t="shared" si="34"/>
        <v>-7.7158190000000388</v>
      </c>
      <c r="E585" s="3">
        <v>57.95</v>
      </c>
      <c r="F585" s="3">
        <v>20</v>
      </c>
      <c r="G585" s="3">
        <v>133.851055</v>
      </c>
      <c r="H585" s="4">
        <f t="shared" si="37"/>
        <v>-0.45408700000001545</v>
      </c>
      <c r="I585" s="4">
        <f t="shared" si="35"/>
        <v>-7.9710010000000011</v>
      </c>
      <c r="J585" s="3">
        <v>57.95</v>
      </c>
      <c r="K585" s="3">
        <v>20</v>
      </c>
      <c r="L585" s="13">
        <f>YEAR(Weekly_Prices[[#This Row],[Date]])</f>
        <v>2014</v>
      </c>
      <c r="M585" s="13">
        <f>MONTH(Weekly_Prices[[#This Row],[Date]])</f>
        <v>8</v>
      </c>
      <c r="N585" s="3" t="str">
        <f>TEXT(Weekly_Prices[[#This Row],[Date]],"MMMM")</f>
        <v>August</v>
      </c>
      <c r="O585" s="3" t="str">
        <f>YEAR(Weekly_Prices[[#This Row],[Date]])&amp;"-"&amp;TEXT(WEEKNUM(Weekly_Prices[[#This Row],[Date]],2),"00")</f>
        <v>2014-33</v>
      </c>
    </row>
    <row r="586" spans="1:15" x14ac:dyDescent="0.35">
      <c r="A586" s="2">
        <v>41869</v>
      </c>
      <c r="B586" s="3">
        <v>129.291968</v>
      </c>
      <c r="C586" s="4">
        <f t="shared" si="36"/>
        <v>-0.1224149999999895</v>
      </c>
      <c r="D586" s="4">
        <f t="shared" si="34"/>
        <v>-7.7066480000000013</v>
      </c>
      <c r="E586" s="3">
        <v>57.95</v>
      </c>
      <c r="F586" s="3">
        <v>20</v>
      </c>
      <c r="G586" s="3">
        <v>133.74293299999999</v>
      </c>
      <c r="H586" s="4">
        <f t="shared" si="37"/>
        <v>-0.10812200000000871</v>
      </c>
      <c r="I586" s="4">
        <f t="shared" si="35"/>
        <v>-7.9896830000000421</v>
      </c>
      <c r="J586" s="3">
        <v>57.95</v>
      </c>
      <c r="K586" s="3">
        <v>20</v>
      </c>
      <c r="L586" s="13">
        <f>YEAR(Weekly_Prices[[#This Row],[Date]])</f>
        <v>2014</v>
      </c>
      <c r="M586" s="13">
        <f>MONTH(Weekly_Prices[[#This Row],[Date]])</f>
        <v>8</v>
      </c>
      <c r="N586" s="3" t="str">
        <f>TEXT(Weekly_Prices[[#This Row],[Date]],"MMMM")</f>
        <v>August</v>
      </c>
      <c r="O586" s="3" t="str">
        <f>YEAR(Weekly_Prices[[#This Row],[Date]])&amp;"-"&amp;TEXT(WEEKNUM(Weekly_Prices[[#This Row],[Date]],2),"00")</f>
        <v>2014-34</v>
      </c>
    </row>
    <row r="587" spans="1:15" x14ac:dyDescent="0.35">
      <c r="A587" s="2">
        <v>41876</v>
      </c>
      <c r="B587" s="3">
        <v>128.342308078489</v>
      </c>
      <c r="C587" s="4">
        <f t="shared" si="36"/>
        <v>-0.94965992151099954</v>
      </c>
      <c r="D587" s="4">
        <f t="shared" si="34"/>
        <v>-8.4851239215110184</v>
      </c>
      <c r="E587" s="3">
        <v>57.95</v>
      </c>
      <c r="F587" s="3">
        <v>20</v>
      </c>
      <c r="G587" s="3">
        <v>133.1618836912464</v>
      </c>
      <c r="H587" s="4">
        <f t="shared" si="37"/>
        <v>-0.58104930875359173</v>
      </c>
      <c r="I587" s="4">
        <f t="shared" si="35"/>
        <v>-8.6156843087536004</v>
      </c>
      <c r="J587" s="3">
        <v>57.95</v>
      </c>
      <c r="K587" s="3">
        <v>20</v>
      </c>
      <c r="L587" s="13">
        <f>YEAR(Weekly_Prices[[#This Row],[Date]])</f>
        <v>2014</v>
      </c>
      <c r="M587" s="13">
        <f>MONTH(Weekly_Prices[[#This Row],[Date]])</f>
        <v>8</v>
      </c>
      <c r="N587" s="3" t="str">
        <f>TEXT(Weekly_Prices[[#This Row],[Date]],"MMMM")</f>
        <v>August</v>
      </c>
      <c r="O587" s="3" t="str">
        <f>YEAR(Weekly_Prices[[#This Row],[Date]])&amp;"-"&amp;TEXT(WEEKNUM(Weekly_Prices[[#This Row],[Date]],2),"00")</f>
        <v>2014-35</v>
      </c>
    </row>
    <row r="588" spans="1:15" x14ac:dyDescent="0.35">
      <c r="A588" s="2">
        <v>41883</v>
      </c>
      <c r="B588" s="3">
        <v>128.00941659328362</v>
      </c>
      <c r="C588" s="4">
        <f t="shared" si="36"/>
        <v>-0.33289148520537992</v>
      </c>
      <c r="D588" s="4">
        <f t="shared" si="34"/>
        <v>-9.1271434067163852</v>
      </c>
      <c r="E588" s="3">
        <v>57.95</v>
      </c>
      <c r="F588" s="3">
        <v>20</v>
      </c>
      <c r="G588" s="3">
        <v>132.76814251684459</v>
      </c>
      <c r="H588" s="4">
        <f t="shared" si="37"/>
        <v>-0.39374117440181067</v>
      </c>
      <c r="I588" s="4">
        <f t="shared" si="35"/>
        <v>-9.3248954831553874</v>
      </c>
      <c r="J588" s="3">
        <v>57.95</v>
      </c>
      <c r="K588" s="3">
        <v>20</v>
      </c>
      <c r="L588" s="13">
        <f>YEAR(Weekly_Prices[[#This Row],[Date]])</f>
        <v>2014</v>
      </c>
      <c r="M588" s="13">
        <f>MONTH(Weekly_Prices[[#This Row],[Date]])</f>
        <v>9</v>
      </c>
      <c r="N588" s="3" t="str">
        <f>TEXT(Weekly_Prices[[#This Row],[Date]],"MMMM")</f>
        <v>September</v>
      </c>
      <c r="O588" s="3" t="str">
        <f>YEAR(Weekly_Prices[[#This Row],[Date]])&amp;"-"&amp;TEXT(WEEKNUM(Weekly_Prices[[#This Row],[Date]],2),"00")</f>
        <v>2014-36</v>
      </c>
    </row>
    <row r="589" spans="1:15" x14ac:dyDescent="0.35">
      <c r="A589" s="2">
        <v>41890</v>
      </c>
      <c r="B589" s="3">
        <v>128.34305732556072</v>
      </c>
      <c r="C589" s="4">
        <f t="shared" si="36"/>
        <v>0.33364073227710378</v>
      </c>
      <c r="D589" s="4">
        <f t="shared" si="34"/>
        <v>-9.2590416744392599</v>
      </c>
      <c r="E589" s="3">
        <v>57.95</v>
      </c>
      <c r="F589" s="3">
        <v>20</v>
      </c>
      <c r="G589" s="3">
        <v>133.09017074232111</v>
      </c>
      <c r="H589" s="4">
        <f t="shared" si="37"/>
        <v>0.32202822547651522</v>
      </c>
      <c r="I589" s="4">
        <f t="shared" si="35"/>
        <v>-9.5806412576789057</v>
      </c>
      <c r="J589" s="3">
        <v>57.95</v>
      </c>
      <c r="K589" s="3">
        <v>20</v>
      </c>
      <c r="L589" s="13">
        <f>YEAR(Weekly_Prices[[#This Row],[Date]])</f>
        <v>2014</v>
      </c>
      <c r="M589" s="13">
        <f>MONTH(Weekly_Prices[[#This Row],[Date]])</f>
        <v>9</v>
      </c>
      <c r="N589" s="3" t="str">
        <f>TEXT(Weekly_Prices[[#This Row],[Date]],"MMMM")</f>
        <v>September</v>
      </c>
      <c r="O589" s="3" t="str">
        <f>YEAR(Weekly_Prices[[#This Row],[Date]])&amp;"-"&amp;TEXT(WEEKNUM(Weekly_Prices[[#This Row],[Date]],2),"00")</f>
        <v>2014-37</v>
      </c>
    </row>
    <row r="590" spans="1:15" x14ac:dyDescent="0.35">
      <c r="A590" s="2">
        <v>41897</v>
      </c>
      <c r="B590" s="3">
        <v>128.43335735216516</v>
      </c>
      <c r="C590" s="4">
        <f t="shared" si="36"/>
        <v>9.0300026604438699E-2</v>
      </c>
      <c r="D590" s="4">
        <f t="shared" si="34"/>
        <v>-9.0395716478348334</v>
      </c>
      <c r="E590" s="3">
        <v>57.95</v>
      </c>
      <c r="F590" s="3">
        <v>20</v>
      </c>
      <c r="G590" s="3">
        <v>133.13145405940608</v>
      </c>
      <c r="H590" s="4">
        <f t="shared" si="37"/>
        <v>4.1283317084975124E-2</v>
      </c>
      <c r="I590" s="4">
        <f t="shared" si="35"/>
        <v>-9.3889399405939287</v>
      </c>
      <c r="J590" s="3">
        <v>57.95</v>
      </c>
      <c r="K590" s="3">
        <v>20</v>
      </c>
      <c r="L590" s="13">
        <f>YEAR(Weekly_Prices[[#This Row],[Date]])</f>
        <v>2014</v>
      </c>
      <c r="M590" s="13">
        <f>MONTH(Weekly_Prices[[#This Row],[Date]])</f>
        <v>9</v>
      </c>
      <c r="N590" s="3" t="str">
        <f>TEXT(Weekly_Prices[[#This Row],[Date]],"MMMM")</f>
        <v>September</v>
      </c>
      <c r="O590" s="3" t="str">
        <f>YEAR(Weekly_Prices[[#This Row],[Date]])&amp;"-"&amp;TEXT(WEEKNUM(Weekly_Prices[[#This Row],[Date]],2),"00")</f>
        <v>2014-38</v>
      </c>
    </row>
    <row r="591" spans="1:15" x14ac:dyDescent="0.35">
      <c r="A591" s="2">
        <v>41904</v>
      </c>
      <c r="B591" s="3">
        <v>128.61695035375567</v>
      </c>
      <c r="C591" s="4">
        <f t="shared" si="36"/>
        <v>0.18359300159050918</v>
      </c>
      <c r="D591" s="4">
        <f t="shared" si="34"/>
        <v>-8.3368536462443217</v>
      </c>
      <c r="E591" s="3">
        <v>57.95</v>
      </c>
      <c r="F591" s="3">
        <v>20</v>
      </c>
      <c r="G591" s="3">
        <v>133.31890915296231</v>
      </c>
      <c r="H591" s="4">
        <f t="shared" si="37"/>
        <v>0.18745509355622403</v>
      </c>
      <c r="I591" s="4">
        <f t="shared" si="35"/>
        <v>-8.7695868470376865</v>
      </c>
      <c r="J591" s="3">
        <v>57.95</v>
      </c>
      <c r="K591" s="3">
        <v>20</v>
      </c>
      <c r="L591" s="13">
        <f>YEAR(Weekly_Prices[[#This Row],[Date]])</f>
        <v>2014</v>
      </c>
      <c r="M591" s="13">
        <f>MONTH(Weekly_Prices[[#This Row],[Date]])</f>
        <v>9</v>
      </c>
      <c r="N591" s="3" t="str">
        <f>TEXT(Weekly_Prices[[#This Row],[Date]],"MMMM")</f>
        <v>September</v>
      </c>
      <c r="O591" s="3" t="str">
        <f>YEAR(Weekly_Prices[[#This Row],[Date]])&amp;"-"&amp;TEXT(WEEKNUM(Weekly_Prices[[#This Row],[Date]],2),"00")</f>
        <v>2014-39</v>
      </c>
    </row>
    <row r="592" spans="1:15" x14ac:dyDescent="0.35">
      <c r="A592" s="2">
        <v>41911</v>
      </c>
      <c r="B592" s="3">
        <v>128.59320006130426</v>
      </c>
      <c r="C592" s="4">
        <f t="shared" si="36"/>
        <v>-2.375029245141036E-2</v>
      </c>
      <c r="D592" s="4">
        <f t="shared" si="34"/>
        <v>-4.8084819386957349</v>
      </c>
      <c r="E592" s="3">
        <v>57.95</v>
      </c>
      <c r="F592" s="3">
        <v>20</v>
      </c>
      <c r="G592" s="3">
        <v>133.23312085690392</v>
      </c>
      <c r="H592" s="4">
        <f t="shared" si="37"/>
        <v>-8.578829605838223E-2</v>
      </c>
      <c r="I592" s="4">
        <f t="shared" si="35"/>
        <v>-6.961039143096059</v>
      </c>
      <c r="J592" s="3">
        <v>57.95</v>
      </c>
      <c r="K592" s="3">
        <v>20</v>
      </c>
      <c r="L592" s="13">
        <f>YEAR(Weekly_Prices[[#This Row],[Date]])</f>
        <v>2014</v>
      </c>
      <c r="M592" s="13">
        <f>MONTH(Weekly_Prices[[#This Row],[Date]])</f>
        <v>9</v>
      </c>
      <c r="N592" s="3" t="str">
        <f>TEXT(Weekly_Prices[[#This Row],[Date]],"MMMM")</f>
        <v>September</v>
      </c>
      <c r="O592" s="3" t="str">
        <f>YEAR(Weekly_Prices[[#This Row],[Date]])&amp;"-"&amp;TEXT(WEEKNUM(Weekly_Prices[[#This Row],[Date]],2),"00")</f>
        <v>2014-40</v>
      </c>
    </row>
    <row r="593" spans="1:15" x14ac:dyDescent="0.35">
      <c r="A593" s="2">
        <v>41918</v>
      </c>
      <c r="B593" s="3">
        <v>126.78491776759481</v>
      </c>
      <c r="C593" s="4">
        <f t="shared" si="36"/>
        <v>-1.8082822937094534</v>
      </c>
      <c r="D593" s="4">
        <f t="shared" si="34"/>
        <v>-4.8359162324051965</v>
      </c>
      <c r="E593" s="3">
        <v>57.95</v>
      </c>
      <c r="F593" s="3">
        <v>20</v>
      </c>
      <c r="G593" s="3">
        <v>131.43183198251728</v>
      </c>
      <c r="H593" s="4">
        <f t="shared" si="37"/>
        <v>-1.8012888743866426</v>
      </c>
      <c r="I593" s="4">
        <f t="shared" si="35"/>
        <v>-7.4020220174827216</v>
      </c>
      <c r="J593" s="3">
        <v>57.95</v>
      </c>
      <c r="K593" s="3">
        <v>20</v>
      </c>
      <c r="L593" s="13">
        <f>YEAR(Weekly_Prices[[#This Row],[Date]])</f>
        <v>2014</v>
      </c>
      <c r="M593" s="13">
        <f>MONTH(Weekly_Prices[[#This Row],[Date]])</f>
        <v>10</v>
      </c>
      <c r="N593" s="3" t="str">
        <f>TEXT(Weekly_Prices[[#This Row],[Date]],"MMMM")</f>
        <v>October</v>
      </c>
      <c r="O593" s="3" t="str">
        <f>YEAR(Weekly_Prices[[#This Row],[Date]])&amp;"-"&amp;TEXT(WEEKNUM(Weekly_Prices[[#This Row],[Date]],2),"00")</f>
        <v>2014-41</v>
      </c>
    </row>
    <row r="594" spans="1:15" x14ac:dyDescent="0.35">
      <c r="A594" s="2">
        <v>41925</v>
      </c>
      <c r="B594" s="3">
        <v>126.49926711709757</v>
      </c>
      <c r="C594" s="4">
        <f t="shared" si="36"/>
        <v>-0.2856506504972316</v>
      </c>
      <c r="D594" s="4">
        <f t="shared" si="34"/>
        <v>-5.1749398829024216</v>
      </c>
      <c r="E594" s="3">
        <v>57.95</v>
      </c>
      <c r="F594" s="3">
        <v>20</v>
      </c>
      <c r="G594" s="3">
        <v>131.0819765451586</v>
      </c>
      <c r="H594" s="4">
        <f t="shared" si="37"/>
        <v>-0.34985543735868418</v>
      </c>
      <c r="I594" s="4">
        <f t="shared" si="35"/>
        <v>-8.0697564548414391</v>
      </c>
      <c r="J594" s="3">
        <v>57.95</v>
      </c>
      <c r="K594" s="3">
        <v>20</v>
      </c>
      <c r="L594" s="13">
        <f>YEAR(Weekly_Prices[[#This Row],[Date]])</f>
        <v>2014</v>
      </c>
      <c r="M594" s="13">
        <f>MONTH(Weekly_Prices[[#This Row],[Date]])</f>
        <v>10</v>
      </c>
      <c r="N594" s="3" t="str">
        <f>TEXT(Weekly_Prices[[#This Row],[Date]],"MMMM")</f>
        <v>October</v>
      </c>
      <c r="O594" s="3" t="str">
        <f>YEAR(Weekly_Prices[[#This Row],[Date]])&amp;"-"&amp;TEXT(WEEKNUM(Weekly_Prices[[#This Row],[Date]],2),"00")</f>
        <v>2014-42</v>
      </c>
    </row>
    <row r="595" spans="1:15" x14ac:dyDescent="0.35">
      <c r="A595" s="2">
        <v>41932</v>
      </c>
      <c r="B595" s="3">
        <v>125.40349229072044</v>
      </c>
      <c r="C595" s="4">
        <f t="shared" si="36"/>
        <v>-1.0957748263771379</v>
      </c>
      <c r="D595" s="4">
        <f t="shared" si="34"/>
        <v>-6.1295137092795642</v>
      </c>
      <c r="E595" s="3">
        <v>57.95</v>
      </c>
      <c r="F595" s="3">
        <v>20</v>
      </c>
      <c r="G595" s="3">
        <v>129.99717782692747</v>
      </c>
      <c r="H595" s="4">
        <f t="shared" si="37"/>
        <v>-1.0847987182311272</v>
      </c>
      <c r="I595" s="4">
        <f t="shared" si="35"/>
        <v>-8.9971861730725209</v>
      </c>
      <c r="J595" s="3">
        <v>57.95</v>
      </c>
      <c r="K595" s="3">
        <v>20</v>
      </c>
      <c r="L595" s="13">
        <f>YEAR(Weekly_Prices[[#This Row],[Date]])</f>
        <v>2014</v>
      </c>
      <c r="M595" s="13">
        <f>MONTH(Weekly_Prices[[#This Row],[Date]])</f>
        <v>10</v>
      </c>
      <c r="N595" s="3" t="str">
        <f>TEXT(Weekly_Prices[[#This Row],[Date]],"MMMM")</f>
        <v>October</v>
      </c>
      <c r="O595" s="3" t="str">
        <f>YEAR(Weekly_Prices[[#This Row],[Date]])&amp;"-"&amp;TEXT(WEEKNUM(Weekly_Prices[[#This Row],[Date]],2),"00")</f>
        <v>2014-43</v>
      </c>
    </row>
    <row r="596" spans="1:15" x14ac:dyDescent="0.35">
      <c r="A596" s="2">
        <v>41939</v>
      </c>
      <c r="B596" s="3">
        <v>125.11373542785068</v>
      </c>
      <c r="C596" s="4">
        <f t="shared" si="36"/>
        <v>-0.28975686286975133</v>
      </c>
      <c r="D596" s="4">
        <f t="shared" si="34"/>
        <v>-6.3043805721492845</v>
      </c>
      <c r="E596" s="3">
        <v>57.95</v>
      </c>
      <c r="F596" s="3">
        <v>20</v>
      </c>
      <c r="G596" s="3">
        <v>129.71674404436067</v>
      </c>
      <c r="H596" s="4">
        <f t="shared" si="37"/>
        <v>-0.28043378256680285</v>
      </c>
      <c r="I596" s="4">
        <f t="shared" si="35"/>
        <v>-9.1611109556393444</v>
      </c>
      <c r="J596" s="3">
        <v>57.95</v>
      </c>
      <c r="K596" s="3">
        <v>20</v>
      </c>
      <c r="L596" s="13">
        <f>YEAR(Weekly_Prices[[#This Row],[Date]])</f>
        <v>2014</v>
      </c>
      <c r="M596" s="13">
        <f>MONTH(Weekly_Prices[[#This Row],[Date]])</f>
        <v>10</v>
      </c>
      <c r="N596" s="3" t="str">
        <f>TEXT(Weekly_Prices[[#This Row],[Date]],"MMMM")</f>
        <v>October</v>
      </c>
      <c r="O596" s="3" t="str">
        <f>YEAR(Weekly_Prices[[#This Row],[Date]])&amp;"-"&amp;TEXT(WEEKNUM(Weekly_Prices[[#This Row],[Date]],2),"00")</f>
        <v>2014-44</v>
      </c>
    </row>
    <row r="597" spans="1:15" x14ac:dyDescent="0.35">
      <c r="A597" s="2">
        <v>41946</v>
      </c>
      <c r="B597" s="3">
        <v>123.93878706354707</v>
      </c>
      <c r="C597" s="4">
        <f t="shared" si="36"/>
        <v>-1.1749483643036172</v>
      </c>
      <c r="D597" s="4">
        <f t="shared" si="34"/>
        <v>-5.9831579364529262</v>
      </c>
      <c r="E597" s="3">
        <v>57.95</v>
      </c>
      <c r="F597" s="3">
        <v>20</v>
      </c>
      <c r="G597" s="3">
        <v>128.55709969866805</v>
      </c>
      <c r="H597" s="4">
        <f t="shared" si="37"/>
        <v>-1.1596443456926124</v>
      </c>
      <c r="I597" s="4">
        <f t="shared" si="35"/>
        <v>-8.957368301331968</v>
      </c>
      <c r="J597" s="3">
        <v>57.95</v>
      </c>
      <c r="K597" s="3">
        <v>20</v>
      </c>
      <c r="L597" s="13">
        <f>YEAR(Weekly_Prices[[#This Row],[Date]])</f>
        <v>2014</v>
      </c>
      <c r="M597" s="13">
        <f>MONTH(Weekly_Prices[[#This Row],[Date]])</f>
        <v>11</v>
      </c>
      <c r="N597" s="3" t="str">
        <f>TEXT(Weekly_Prices[[#This Row],[Date]],"MMMM")</f>
        <v>November</v>
      </c>
      <c r="O597" s="3" t="str">
        <f>YEAR(Weekly_Prices[[#This Row],[Date]])&amp;"-"&amp;TEXT(WEEKNUM(Weekly_Prices[[#This Row],[Date]],2),"00")</f>
        <v>2014-45</v>
      </c>
    </row>
    <row r="598" spans="1:15" x14ac:dyDescent="0.35">
      <c r="A598" s="2">
        <v>41953</v>
      </c>
      <c r="B598" s="3">
        <v>122.94293023483374</v>
      </c>
      <c r="C598" s="4">
        <f t="shared" si="36"/>
        <v>-0.99585682871332892</v>
      </c>
      <c r="D598" s="4">
        <f t="shared" si="34"/>
        <v>-6.762095765166265</v>
      </c>
      <c r="E598" s="3">
        <v>57.95</v>
      </c>
      <c r="F598" s="3">
        <v>20</v>
      </c>
      <c r="G598" s="3">
        <v>127.59488314642692</v>
      </c>
      <c r="H598" s="4">
        <f t="shared" si="37"/>
        <v>-0.96221655224113078</v>
      </c>
      <c r="I598" s="4">
        <f t="shared" si="35"/>
        <v>-9.728800853573091</v>
      </c>
      <c r="J598" s="3">
        <v>57.95</v>
      </c>
      <c r="K598" s="3">
        <v>20</v>
      </c>
      <c r="L598" s="13">
        <f>YEAR(Weekly_Prices[[#This Row],[Date]])</f>
        <v>2014</v>
      </c>
      <c r="M598" s="13">
        <f>MONTH(Weekly_Prices[[#This Row],[Date]])</f>
        <v>11</v>
      </c>
      <c r="N598" s="3" t="str">
        <f>TEXT(Weekly_Prices[[#This Row],[Date]],"MMMM")</f>
        <v>November</v>
      </c>
      <c r="O598" s="3" t="str">
        <f>YEAR(Weekly_Prices[[#This Row],[Date]])&amp;"-"&amp;TEXT(WEEKNUM(Weekly_Prices[[#This Row],[Date]],2),"00")</f>
        <v>2014-46</v>
      </c>
    </row>
    <row r="599" spans="1:15" x14ac:dyDescent="0.35">
      <c r="A599" s="2">
        <v>41960</v>
      </c>
      <c r="B599" s="3">
        <v>122.50137777603679</v>
      </c>
      <c r="C599" s="4">
        <f t="shared" si="36"/>
        <v>-0.4415524587969486</v>
      </c>
      <c r="D599" s="4">
        <f t="shared" si="34"/>
        <v>-7.3866202239631917</v>
      </c>
      <c r="E599" s="3">
        <v>57.95</v>
      </c>
      <c r="F599" s="3">
        <v>20</v>
      </c>
      <c r="G599" s="3">
        <v>127.30886460251439</v>
      </c>
      <c r="H599" s="4">
        <f t="shared" si="37"/>
        <v>-0.28601854391253312</v>
      </c>
      <c r="I599" s="4">
        <f t="shared" si="35"/>
        <v>-10.162557397485628</v>
      </c>
      <c r="J599" s="3">
        <v>57.95</v>
      </c>
      <c r="K599" s="3">
        <v>20</v>
      </c>
      <c r="L599" s="13">
        <f>YEAR(Weekly_Prices[[#This Row],[Date]])</f>
        <v>2014</v>
      </c>
      <c r="M599" s="13">
        <f>MONTH(Weekly_Prices[[#This Row],[Date]])</f>
        <v>11</v>
      </c>
      <c r="N599" s="3" t="str">
        <f>TEXT(Weekly_Prices[[#This Row],[Date]],"MMMM")</f>
        <v>November</v>
      </c>
      <c r="O599" s="3" t="str">
        <f>YEAR(Weekly_Prices[[#This Row],[Date]])&amp;"-"&amp;TEXT(WEEKNUM(Weekly_Prices[[#This Row],[Date]],2),"00")</f>
        <v>2014-47</v>
      </c>
    </row>
    <row r="600" spans="1:15" x14ac:dyDescent="0.35">
      <c r="A600" s="2">
        <v>41967</v>
      </c>
      <c r="B600" s="3">
        <v>122.29458215198052</v>
      </c>
      <c r="C600" s="4">
        <f t="shared" si="36"/>
        <v>-0.20679562405626939</v>
      </c>
      <c r="D600" s="4">
        <f t="shared" si="34"/>
        <v>-7.7388218480194695</v>
      </c>
      <c r="E600" s="3">
        <v>57.95</v>
      </c>
      <c r="F600" s="3">
        <v>20</v>
      </c>
      <c r="G600" s="3">
        <v>127.16689626675107</v>
      </c>
      <c r="H600" s="4">
        <f t="shared" si="37"/>
        <v>-0.14196833576332324</v>
      </c>
      <c r="I600" s="4">
        <f t="shared" si="35"/>
        <v>-10.554246733248945</v>
      </c>
      <c r="J600" s="3">
        <v>57.95</v>
      </c>
      <c r="K600" s="3">
        <v>20</v>
      </c>
      <c r="L600" s="13">
        <f>YEAR(Weekly_Prices[[#This Row],[Date]])</f>
        <v>2014</v>
      </c>
      <c r="M600" s="13">
        <f>MONTH(Weekly_Prices[[#This Row],[Date]])</f>
        <v>11</v>
      </c>
      <c r="N600" s="3" t="str">
        <f>TEXT(Weekly_Prices[[#This Row],[Date]],"MMMM")</f>
        <v>November</v>
      </c>
      <c r="O600" s="3" t="str">
        <f>YEAR(Weekly_Prices[[#This Row],[Date]])&amp;"-"&amp;TEXT(WEEKNUM(Weekly_Prices[[#This Row],[Date]],2),"00")</f>
        <v>2014-48</v>
      </c>
    </row>
    <row r="601" spans="1:15" x14ac:dyDescent="0.35">
      <c r="A601" s="2">
        <v>41974</v>
      </c>
      <c r="B601" s="3">
        <v>121.17819332596842</v>
      </c>
      <c r="C601" s="4">
        <f t="shared" si="36"/>
        <v>-1.1163888260120984</v>
      </c>
      <c r="D601" s="4">
        <f t="shared" si="34"/>
        <v>-9.0758046740315734</v>
      </c>
      <c r="E601" s="3">
        <v>57.95</v>
      </c>
      <c r="F601" s="3">
        <v>20</v>
      </c>
      <c r="G601" s="3">
        <v>126.11136628651238</v>
      </c>
      <c r="H601" s="4">
        <f t="shared" si="37"/>
        <v>-1.0555299802386884</v>
      </c>
      <c r="I601" s="4">
        <f t="shared" si="35"/>
        <v>-11.786693713487608</v>
      </c>
      <c r="J601" s="3">
        <v>57.95</v>
      </c>
      <c r="K601" s="3">
        <v>20</v>
      </c>
      <c r="L601" s="13">
        <f>YEAR(Weekly_Prices[[#This Row],[Date]])</f>
        <v>2014</v>
      </c>
      <c r="M601" s="13">
        <f>MONTH(Weekly_Prices[[#This Row],[Date]])</f>
        <v>12</v>
      </c>
      <c r="N601" s="3" t="str">
        <f>TEXT(Weekly_Prices[[#This Row],[Date]],"MMMM")</f>
        <v>December</v>
      </c>
      <c r="O601" s="3" t="str">
        <f>YEAR(Weekly_Prices[[#This Row],[Date]])&amp;"-"&amp;TEXT(WEEKNUM(Weekly_Prices[[#This Row],[Date]],2),"00")</f>
        <v>2014-49</v>
      </c>
    </row>
    <row r="602" spans="1:15" x14ac:dyDescent="0.35">
      <c r="A602" s="2">
        <v>41981</v>
      </c>
      <c r="B602" s="3">
        <v>119.83314859532217</v>
      </c>
      <c r="C602" s="4">
        <f t="shared" si="36"/>
        <v>-1.3450447306462507</v>
      </c>
      <c r="D602" s="4">
        <f t="shared" si="34"/>
        <v>-10.931222404677811</v>
      </c>
      <c r="E602" s="3">
        <v>57.95</v>
      </c>
      <c r="F602" s="3">
        <v>20</v>
      </c>
      <c r="G602" s="3">
        <v>124.78581491139718</v>
      </c>
      <c r="H602" s="4">
        <f t="shared" si="37"/>
        <v>-1.3255513751151966</v>
      </c>
      <c r="I602" s="4">
        <f t="shared" si="35"/>
        <v>-13.767626088602839</v>
      </c>
      <c r="J602" s="3">
        <v>57.95</v>
      </c>
      <c r="K602" s="3">
        <v>20</v>
      </c>
      <c r="L602" s="13">
        <f>YEAR(Weekly_Prices[[#This Row],[Date]])</f>
        <v>2014</v>
      </c>
      <c r="M602" s="13">
        <f>MONTH(Weekly_Prices[[#This Row],[Date]])</f>
        <v>12</v>
      </c>
      <c r="N602" s="3" t="str">
        <f>TEXT(Weekly_Prices[[#This Row],[Date]],"MMMM")</f>
        <v>December</v>
      </c>
      <c r="O602" s="3" t="str">
        <f>YEAR(Weekly_Prices[[#This Row],[Date]])&amp;"-"&amp;TEXT(WEEKNUM(Weekly_Prices[[#This Row],[Date]],2),"00")</f>
        <v>2014-50</v>
      </c>
    </row>
    <row r="603" spans="1:15" x14ac:dyDescent="0.35">
      <c r="A603" s="2">
        <v>41988</v>
      </c>
      <c r="B603" s="3">
        <v>116.30130202079251</v>
      </c>
      <c r="C603" s="4">
        <f t="shared" si="36"/>
        <v>-3.5318465745296663</v>
      </c>
      <c r="D603" s="4">
        <f t="shared" si="34"/>
        <v>-14.659439979207477</v>
      </c>
      <c r="E603" s="3">
        <v>57.95</v>
      </c>
      <c r="F603" s="3">
        <v>20</v>
      </c>
      <c r="G603" s="3">
        <v>122.43040990582345</v>
      </c>
      <c r="H603" s="4">
        <f t="shared" si="37"/>
        <v>-2.3554050055737292</v>
      </c>
      <c r="I603" s="4">
        <f t="shared" si="35"/>
        <v>-16.411228094176536</v>
      </c>
      <c r="J603" s="3">
        <v>57.95</v>
      </c>
      <c r="K603" s="3">
        <v>20</v>
      </c>
      <c r="L603" s="13">
        <f>YEAR(Weekly_Prices[[#This Row],[Date]])</f>
        <v>2014</v>
      </c>
      <c r="M603" s="13">
        <f>MONTH(Weekly_Prices[[#This Row],[Date]])</f>
        <v>12</v>
      </c>
      <c r="N603" s="3" t="str">
        <f>TEXT(Weekly_Prices[[#This Row],[Date]],"MMMM")</f>
        <v>December</v>
      </c>
      <c r="O603" s="3" t="str">
        <f>YEAR(Weekly_Prices[[#This Row],[Date]])&amp;"-"&amp;TEXT(WEEKNUM(Weekly_Prices[[#This Row],[Date]],2),"00")</f>
        <v>2014-51</v>
      </c>
    </row>
    <row r="604" spans="1:15" x14ac:dyDescent="0.35">
      <c r="A604" s="2">
        <v>41995</v>
      </c>
      <c r="B604" s="3">
        <v>113.66277198261409</v>
      </c>
      <c r="C604" s="4">
        <f t="shared" si="36"/>
        <v>-2.6385300381784162</v>
      </c>
      <c r="D604" s="4">
        <f t="shared" si="34"/>
        <v>-16.38910901738592</v>
      </c>
      <c r="E604" s="3">
        <v>57.95</v>
      </c>
      <c r="F604" s="3">
        <v>20</v>
      </c>
      <c r="G604" s="3">
        <v>120.81395354935341</v>
      </c>
      <c r="H604" s="4">
        <f t="shared" si="37"/>
        <v>-1.6164563564700387</v>
      </c>
      <c r="I604" s="4">
        <f t="shared" si="35"/>
        <v>-17.355916450646589</v>
      </c>
      <c r="J604" s="3">
        <v>57.95</v>
      </c>
      <c r="K604" s="3">
        <v>20</v>
      </c>
      <c r="L604" s="13">
        <f>YEAR(Weekly_Prices[[#This Row],[Date]])</f>
        <v>2014</v>
      </c>
      <c r="M604" s="13">
        <f>MONTH(Weekly_Prices[[#This Row],[Date]])</f>
        <v>12</v>
      </c>
      <c r="N604" s="3" t="str">
        <f>TEXT(Weekly_Prices[[#This Row],[Date]],"MMMM")</f>
        <v>December</v>
      </c>
      <c r="O604" s="3" t="str">
        <f>YEAR(Weekly_Prices[[#This Row],[Date]])&amp;"-"&amp;TEXT(WEEKNUM(Weekly_Prices[[#This Row],[Date]],2),"00")</f>
        <v>2014-52</v>
      </c>
    </row>
    <row r="605" spans="1:15" x14ac:dyDescent="0.35">
      <c r="A605" s="2">
        <v>42002</v>
      </c>
      <c r="B605" s="3">
        <v>113.16029904817108</v>
      </c>
      <c r="C605" s="4">
        <f t="shared" si="36"/>
        <v>-0.50247293444300567</v>
      </c>
      <c r="D605" s="4">
        <f t="shared" si="34"/>
        <v>-16.873645951828905</v>
      </c>
      <c r="E605" s="3">
        <v>57.95</v>
      </c>
      <c r="F605" s="3">
        <v>20</v>
      </c>
      <c r="G605" s="3">
        <v>120.36327337434955</v>
      </c>
      <c r="H605" s="4">
        <f t="shared" si="37"/>
        <v>-0.45068017500386759</v>
      </c>
      <c r="I605" s="4">
        <f t="shared" si="35"/>
        <v>-17.616274625650476</v>
      </c>
      <c r="J605" s="3">
        <v>57.95</v>
      </c>
      <c r="K605" s="3">
        <v>20</v>
      </c>
      <c r="L605" s="13">
        <f>YEAR(Weekly_Prices[[#This Row],[Date]])</f>
        <v>2014</v>
      </c>
      <c r="M605" s="13">
        <f>MONTH(Weekly_Prices[[#This Row],[Date]])</f>
        <v>12</v>
      </c>
      <c r="N605" s="3" t="str">
        <f>TEXT(Weekly_Prices[[#This Row],[Date]],"MMMM")</f>
        <v>December</v>
      </c>
      <c r="O605" s="3" t="str">
        <f>YEAR(Weekly_Prices[[#This Row],[Date]])&amp;"-"&amp;TEXT(WEEKNUM(Weekly_Prices[[#This Row],[Date]],2),"00")</f>
        <v>2014-53</v>
      </c>
    </row>
    <row r="606" spans="1:15" x14ac:dyDescent="0.35">
      <c r="A606" s="2">
        <v>42009</v>
      </c>
      <c r="B606" s="3">
        <v>111.06263896516052</v>
      </c>
      <c r="C606" s="4">
        <f t="shared" si="36"/>
        <v>-2.0976600830105667</v>
      </c>
      <c r="D606" s="4">
        <f t="shared" si="34"/>
        <v>-19.193553034839482</v>
      </c>
      <c r="E606" s="3">
        <v>57.95</v>
      </c>
      <c r="F606" s="3">
        <v>20</v>
      </c>
      <c r="G606" s="3">
        <v>117.93335943095734</v>
      </c>
      <c r="H606" s="4">
        <f t="shared" si="37"/>
        <v>-2.4299139433922079</v>
      </c>
      <c r="I606" s="4">
        <f t="shared" si="35"/>
        <v>-20.180944569042666</v>
      </c>
      <c r="J606" s="3">
        <v>57.95</v>
      </c>
      <c r="K606" s="3">
        <v>20</v>
      </c>
      <c r="L606" s="13">
        <f>YEAR(Weekly_Prices[[#This Row],[Date]])</f>
        <v>2015</v>
      </c>
      <c r="M606" s="13">
        <f>MONTH(Weekly_Prices[[#This Row],[Date]])</f>
        <v>1</v>
      </c>
      <c r="N606" s="3" t="str">
        <f>TEXT(Weekly_Prices[[#This Row],[Date]],"MMMM")</f>
        <v>January</v>
      </c>
      <c r="O606" s="3" t="str">
        <f>YEAR(Weekly_Prices[[#This Row],[Date]])&amp;"-"&amp;TEXT(WEEKNUM(Weekly_Prices[[#This Row],[Date]],2),"00")</f>
        <v>2015-02</v>
      </c>
    </row>
    <row r="607" spans="1:15" x14ac:dyDescent="0.35">
      <c r="A607" s="2">
        <v>42016</v>
      </c>
      <c r="B607" s="3">
        <v>108.86588767255694</v>
      </c>
      <c r="C607" s="4">
        <f t="shared" si="36"/>
        <v>-2.1967512926035795</v>
      </c>
      <c r="D607" s="4">
        <f t="shared" si="34"/>
        <v>-21.490461327443057</v>
      </c>
      <c r="E607" s="3">
        <v>57.95</v>
      </c>
      <c r="F607" s="3">
        <v>20</v>
      </c>
      <c r="G607" s="3">
        <v>116.22067961428183</v>
      </c>
      <c r="H607" s="4">
        <f t="shared" si="37"/>
        <v>-1.7126798166755037</v>
      </c>
      <c r="I607" s="4">
        <f t="shared" si="35"/>
        <v>-22.11886938571817</v>
      </c>
      <c r="J607" s="3">
        <v>57.95</v>
      </c>
      <c r="K607" s="3">
        <v>20</v>
      </c>
      <c r="L607" s="13">
        <f>YEAR(Weekly_Prices[[#This Row],[Date]])</f>
        <v>2015</v>
      </c>
      <c r="M607" s="13">
        <f>MONTH(Weekly_Prices[[#This Row],[Date]])</f>
        <v>1</v>
      </c>
      <c r="N607" s="3" t="str">
        <f>TEXT(Weekly_Prices[[#This Row],[Date]],"MMMM")</f>
        <v>January</v>
      </c>
      <c r="O607" s="3" t="str">
        <f>YEAR(Weekly_Prices[[#This Row],[Date]])&amp;"-"&amp;TEXT(WEEKNUM(Weekly_Prices[[#This Row],[Date]],2),"00")</f>
        <v>2015-03</v>
      </c>
    </row>
    <row r="608" spans="1:15" x14ac:dyDescent="0.35">
      <c r="A608" s="2">
        <v>42023</v>
      </c>
      <c r="B608" s="3">
        <v>106.82572363792367</v>
      </c>
      <c r="C608" s="4">
        <f t="shared" si="36"/>
        <v>-2.0401640346332641</v>
      </c>
      <c r="D608" s="4">
        <f t="shared" si="34"/>
        <v>-22.541447362076312</v>
      </c>
      <c r="E608" s="3">
        <v>57.95</v>
      </c>
      <c r="F608" s="3">
        <v>20</v>
      </c>
      <c r="G608" s="3">
        <v>114.32765419282902</v>
      </c>
      <c r="H608" s="4">
        <f t="shared" si="37"/>
        <v>-1.893025421452819</v>
      </c>
      <c r="I608" s="4">
        <f t="shared" si="35"/>
        <v>-22.903811807170996</v>
      </c>
      <c r="J608" s="3">
        <v>57.95</v>
      </c>
      <c r="K608" s="3">
        <v>20</v>
      </c>
      <c r="L608" s="13">
        <f>YEAR(Weekly_Prices[[#This Row],[Date]])</f>
        <v>2015</v>
      </c>
      <c r="M608" s="13">
        <f>MONTH(Weekly_Prices[[#This Row],[Date]])</f>
        <v>1</v>
      </c>
      <c r="N608" s="3" t="str">
        <f>TEXT(Weekly_Prices[[#This Row],[Date]],"MMMM")</f>
        <v>January</v>
      </c>
      <c r="O608" s="3" t="str">
        <f>YEAR(Weekly_Prices[[#This Row],[Date]])&amp;"-"&amp;TEXT(WEEKNUM(Weekly_Prices[[#This Row],[Date]],2),"00")</f>
        <v>2015-04</v>
      </c>
    </row>
    <row r="609" spans="1:15" x14ac:dyDescent="0.35">
      <c r="A609" s="2">
        <v>42030</v>
      </c>
      <c r="B609" s="3">
        <v>106.31989007720998</v>
      </c>
      <c r="C609" s="4">
        <f t="shared" si="36"/>
        <v>-0.50583356071369678</v>
      </c>
      <c r="D609" s="4">
        <f t="shared" si="34"/>
        <v>-22.700953922790006</v>
      </c>
      <c r="E609" s="3">
        <v>57.95</v>
      </c>
      <c r="F609" s="3">
        <v>20</v>
      </c>
      <c r="G609" s="3">
        <v>113.76040358721184</v>
      </c>
      <c r="H609" s="4">
        <f t="shared" si="37"/>
        <v>-0.56725060561717555</v>
      </c>
      <c r="I609" s="4">
        <f t="shared" si="35"/>
        <v>-23.178076412788158</v>
      </c>
      <c r="J609" s="3">
        <v>57.95</v>
      </c>
      <c r="K609" s="3">
        <v>20</v>
      </c>
      <c r="L609" s="13">
        <f>YEAR(Weekly_Prices[[#This Row],[Date]])</f>
        <v>2015</v>
      </c>
      <c r="M609" s="13">
        <f>MONTH(Weekly_Prices[[#This Row],[Date]])</f>
        <v>1</v>
      </c>
      <c r="N609" s="3" t="str">
        <f>TEXT(Weekly_Prices[[#This Row],[Date]],"MMMM")</f>
        <v>January</v>
      </c>
      <c r="O609" s="3" t="str">
        <f>YEAR(Weekly_Prices[[#This Row],[Date]])&amp;"-"&amp;TEXT(WEEKNUM(Weekly_Prices[[#This Row],[Date]],2),"00")</f>
        <v>2015-05</v>
      </c>
    </row>
    <row r="610" spans="1:15" x14ac:dyDescent="0.35">
      <c r="A610" s="2">
        <v>42037</v>
      </c>
      <c r="B610" s="3">
        <v>106.04228537981643</v>
      </c>
      <c r="C610" s="4">
        <f t="shared" si="36"/>
        <v>-0.27760469739354221</v>
      </c>
      <c r="D610" s="4">
        <f t="shared" si="34"/>
        <v>-22.811878620183563</v>
      </c>
      <c r="E610" s="3">
        <v>57.95</v>
      </c>
      <c r="F610" s="3">
        <v>20</v>
      </c>
      <c r="G610" s="3">
        <v>113.6131025055633</v>
      </c>
      <c r="H610" s="4">
        <f t="shared" si="37"/>
        <v>-0.14730108164853561</v>
      </c>
      <c r="I610" s="4">
        <f t="shared" si="35"/>
        <v>-23.2305894944367</v>
      </c>
      <c r="J610" s="3">
        <v>57.95</v>
      </c>
      <c r="K610" s="3">
        <v>20</v>
      </c>
      <c r="L610" s="13">
        <f>YEAR(Weekly_Prices[[#This Row],[Date]])</f>
        <v>2015</v>
      </c>
      <c r="M610" s="13">
        <f>MONTH(Weekly_Prices[[#This Row],[Date]])</f>
        <v>2</v>
      </c>
      <c r="N610" s="3" t="str">
        <f>TEXT(Weekly_Prices[[#This Row],[Date]],"MMMM")</f>
        <v>February</v>
      </c>
      <c r="O610" s="3" t="str">
        <f>YEAR(Weekly_Prices[[#This Row],[Date]])&amp;"-"&amp;TEXT(WEEKNUM(Weekly_Prices[[#This Row],[Date]],2),"00")</f>
        <v>2015-06</v>
      </c>
    </row>
    <row r="611" spans="1:15" x14ac:dyDescent="0.35">
      <c r="A611" s="2">
        <v>42044</v>
      </c>
      <c r="B611" s="3">
        <v>106.35479458348546</v>
      </c>
      <c r="C611" s="4">
        <f t="shared" si="36"/>
        <v>0.31250920366902335</v>
      </c>
      <c r="D611" s="4">
        <f t="shared" si="34"/>
        <v>-22.458233416514545</v>
      </c>
      <c r="E611" s="3">
        <v>57.95</v>
      </c>
      <c r="F611" s="3">
        <v>20</v>
      </c>
      <c r="G611" s="3">
        <v>113.90980522702691</v>
      </c>
      <c r="H611" s="4">
        <f t="shared" si="37"/>
        <v>0.29670272146360332</v>
      </c>
      <c r="I611" s="4">
        <f t="shared" si="35"/>
        <v>-22.935174772973085</v>
      </c>
      <c r="J611" s="3">
        <v>57.95</v>
      </c>
      <c r="K611" s="3">
        <v>20</v>
      </c>
      <c r="L611" s="13">
        <f>YEAR(Weekly_Prices[[#This Row],[Date]])</f>
        <v>2015</v>
      </c>
      <c r="M611" s="13">
        <f>MONTH(Weekly_Prices[[#This Row],[Date]])</f>
        <v>2</v>
      </c>
      <c r="N611" s="3" t="str">
        <f>TEXT(Weekly_Prices[[#This Row],[Date]],"MMMM")</f>
        <v>February</v>
      </c>
      <c r="O611" s="3" t="str">
        <f>YEAR(Weekly_Prices[[#This Row],[Date]])&amp;"-"&amp;TEXT(WEEKNUM(Weekly_Prices[[#This Row],[Date]],2),"00")</f>
        <v>2015-07</v>
      </c>
    </row>
    <row r="612" spans="1:15" x14ac:dyDescent="0.35">
      <c r="A612" s="2">
        <v>42051</v>
      </c>
      <c r="B612" s="3">
        <v>107.26008264293782</v>
      </c>
      <c r="C612" s="4">
        <f t="shared" si="36"/>
        <v>0.90528805945236002</v>
      </c>
      <c r="D612" s="4">
        <f t="shared" si="34"/>
        <v>-21.896000357062178</v>
      </c>
      <c r="E612" s="3">
        <v>57.95</v>
      </c>
      <c r="F612" s="3">
        <v>20</v>
      </c>
      <c r="G612" s="3">
        <v>114.72561351904383</v>
      </c>
      <c r="H612" s="4">
        <f t="shared" si="37"/>
        <v>0.81580829201692495</v>
      </c>
      <c r="I612" s="4">
        <f t="shared" si="35"/>
        <v>-22.080339480956184</v>
      </c>
      <c r="J612" s="3">
        <v>57.95</v>
      </c>
      <c r="K612" s="3">
        <v>20</v>
      </c>
      <c r="L612" s="13">
        <f>YEAR(Weekly_Prices[[#This Row],[Date]])</f>
        <v>2015</v>
      </c>
      <c r="M612" s="13">
        <f>MONTH(Weekly_Prices[[#This Row],[Date]])</f>
        <v>2</v>
      </c>
      <c r="N612" s="3" t="str">
        <f>TEXT(Weekly_Prices[[#This Row],[Date]],"MMMM")</f>
        <v>February</v>
      </c>
      <c r="O612" s="3" t="str">
        <f>YEAR(Weekly_Prices[[#This Row],[Date]])&amp;"-"&amp;TEXT(WEEKNUM(Weekly_Prices[[#This Row],[Date]],2),"00")</f>
        <v>2015-08</v>
      </c>
    </row>
    <row r="613" spans="1:15" x14ac:dyDescent="0.35">
      <c r="A613" s="2">
        <v>42058</v>
      </c>
      <c r="B613" s="3">
        <v>108.34400623996967</v>
      </c>
      <c r="C613" s="4">
        <f t="shared" si="36"/>
        <v>1.0839235970318555</v>
      </c>
      <c r="D613" s="4">
        <f t="shared" si="34"/>
        <v>-20.857898760030338</v>
      </c>
      <c r="E613" s="3">
        <v>57.95</v>
      </c>
      <c r="F613" s="3">
        <v>20</v>
      </c>
      <c r="G613" s="3">
        <v>115.73850957400292</v>
      </c>
      <c r="H613" s="4">
        <f t="shared" si="37"/>
        <v>1.0128960549590857</v>
      </c>
      <c r="I613" s="4">
        <f t="shared" si="35"/>
        <v>-21.211288425997068</v>
      </c>
      <c r="J613" s="3">
        <v>57.95</v>
      </c>
      <c r="K613" s="3">
        <v>20</v>
      </c>
      <c r="L613" s="13">
        <f>YEAR(Weekly_Prices[[#This Row],[Date]])</f>
        <v>2015</v>
      </c>
      <c r="M613" s="13">
        <f>MONTH(Weekly_Prices[[#This Row],[Date]])</f>
        <v>2</v>
      </c>
      <c r="N613" s="3" t="str">
        <f>TEXT(Weekly_Prices[[#This Row],[Date]],"MMMM")</f>
        <v>February</v>
      </c>
      <c r="O613" s="3" t="str">
        <f>YEAR(Weekly_Prices[[#This Row],[Date]])&amp;"-"&amp;TEXT(WEEKNUM(Weekly_Prices[[#This Row],[Date]],2),"00")</f>
        <v>2015-09</v>
      </c>
    </row>
    <row r="614" spans="1:15" x14ac:dyDescent="0.35">
      <c r="A614" s="2">
        <v>42065</v>
      </c>
      <c r="B614" s="3">
        <v>109.19915790626507</v>
      </c>
      <c r="C614" s="4">
        <f t="shared" si="36"/>
        <v>0.85515166629539863</v>
      </c>
      <c r="D614" s="4">
        <f t="shared" si="34"/>
        <v>-20.159038093734921</v>
      </c>
      <c r="E614" s="3">
        <v>57.95</v>
      </c>
      <c r="F614" s="3">
        <v>20</v>
      </c>
      <c r="G614" s="3">
        <v>116.6354767356095</v>
      </c>
      <c r="H614" s="4">
        <f t="shared" si="37"/>
        <v>0.89696716160658241</v>
      </c>
      <c r="I614" s="4">
        <f t="shared" si="35"/>
        <v>-20.515012264390492</v>
      </c>
      <c r="J614" s="3">
        <v>57.95</v>
      </c>
      <c r="K614" s="3">
        <v>20</v>
      </c>
      <c r="L614" s="13">
        <f>YEAR(Weekly_Prices[[#This Row],[Date]])</f>
        <v>2015</v>
      </c>
      <c r="M614" s="13">
        <f>MONTH(Weekly_Prices[[#This Row],[Date]])</f>
        <v>3</v>
      </c>
      <c r="N614" s="3" t="str">
        <f>TEXT(Weekly_Prices[[#This Row],[Date]],"MMMM")</f>
        <v>March</v>
      </c>
      <c r="O614" s="3" t="str">
        <f>YEAR(Weekly_Prices[[#This Row],[Date]])&amp;"-"&amp;TEXT(WEEKNUM(Weekly_Prices[[#This Row],[Date]],2),"00")</f>
        <v>2015-10</v>
      </c>
    </row>
    <row r="615" spans="1:15" x14ac:dyDescent="0.35">
      <c r="A615" s="2">
        <v>42072</v>
      </c>
      <c r="B615" s="3">
        <v>110.07092717790935</v>
      </c>
      <c r="C615" s="4">
        <f t="shared" si="36"/>
        <v>0.87176927164428264</v>
      </c>
      <c r="D615" s="4">
        <f t="shared" si="34"/>
        <v>-19.314464822090642</v>
      </c>
      <c r="E615" s="3">
        <v>57.95</v>
      </c>
      <c r="F615" s="3">
        <v>20</v>
      </c>
      <c r="G615" s="3">
        <v>117.51039038501291</v>
      </c>
      <c r="H615" s="4">
        <f t="shared" si="37"/>
        <v>0.87491364940341043</v>
      </c>
      <c r="I615" s="4">
        <f t="shared" si="35"/>
        <v>-19.567696614987099</v>
      </c>
      <c r="J615" s="3">
        <v>57.95</v>
      </c>
      <c r="K615" s="3">
        <v>20</v>
      </c>
      <c r="L615" s="13">
        <f>YEAR(Weekly_Prices[[#This Row],[Date]])</f>
        <v>2015</v>
      </c>
      <c r="M615" s="13">
        <f>MONTH(Weekly_Prices[[#This Row],[Date]])</f>
        <v>3</v>
      </c>
      <c r="N615" s="3" t="str">
        <f>TEXT(Weekly_Prices[[#This Row],[Date]],"MMMM")</f>
        <v>March</v>
      </c>
      <c r="O615" s="3" t="str">
        <f>YEAR(Weekly_Prices[[#This Row],[Date]])&amp;"-"&amp;TEXT(WEEKNUM(Weekly_Prices[[#This Row],[Date]],2),"00")</f>
        <v>2015-11</v>
      </c>
    </row>
    <row r="616" spans="1:15" x14ac:dyDescent="0.35">
      <c r="A616" s="2">
        <v>42079</v>
      </c>
      <c r="B616" s="3">
        <v>111.03681412344369</v>
      </c>
      <c r="C616" s="4">
        <f t="shared" si="36"/>
        <v>0.96588694553433641</v>
      </c>
      <c r="D616" s="4">
        <f t="shared" si="34"/>
        <v>-17.720370876556302</v>
      </c>
      <c r="E616" s="3">
        <v>57.95</v>
      </c>
      <c r="F616" s="3">
        <v>20</v>
      </c>
      <c r="G616" s="3">
        <v>118.26367215065976</v>
      </c>
      <c r="H616" s="4">
        <f t="shared" si="37"/>
        <v>0.75328176564684668</v>
      </c>
      <c r="I616" s="4">
        <f t="shared" si="35"/>
        <v>-18.003591849340253</v>
      </c>
      <c r="J616" s="3">
        <v>57.95</v>
      </c>
      <c r="K616" s="3">
        <v>20</v>
      </c>
      <c r="L616" s="13">
        <f>YEAR(Weekly_Prices[[#This Row],[Date]])</f>
        <v>2015</v>
      </c>
      <c r="M616" s="13">
        <f>MONTH(Weekly_Prices[[#This Row],[Date]])</f>
        <v>3</v>
      </c>
      <c r="N616" s="3" t="str">
        <f>TEXT(Weekly_Prices[[#This Row],[Date]],"MMMM")</f>
        <v>March</v>
      </c>
      <c r="O616" s="3" t="str">
        <f>YEAR(Weekly_Prices[[#This Row],[Date]])&amp;"-"&amp;TEXT(WEEKNUM(Weekly_Prices[[#This Row],[Date]],2),"00")</f>
        <v>2015-12</v>
      </c>
    </row>
    <row r="617" spans="1:15" x14ac:dyDescent="0.35">
      <c r="A617" s="2">
        <v>42086</v>
      </c>
      <c r="B617" s="3">
        <v>111.6473828102704</v>
      </c>
      <c r="C617" s="4">
        <f t="shared" si="36"/>
        <v>0.61056868682670995</v>
      </c>
      <c r="D617" s="4">
        <f t="shared" si="34"/>
        <v>-16.923799189729593</v>
      </c>
      <c r="E617" s="3">
        <v>57.95</v>
      </c>
      <c r="F617" s="3">
        <v>20</v>
      </c>
      <c r="G617" s="3">
        <v>118.71027965878702</v>
      </c>
      <c r="H617" s="4">
        <f t="shared" si="37"/>
        <v>0.4466075081272578</v>
      </c>
      <c r="I617" s="4">
        <f t="shared" si="35"/>
        <v>-17.287524341213015</v>
      </c>
      <c r="J617" s="3">
        <v>57.95</v>
      </c>
      <c r="K617" s="3">
        <v>20</v>
      </c>
      <c r="L617" s="13">
        <f>YEAR(Weekly_Prices[[#This Row],[Date]])</f>
        <v>2015</v>
      </c>
      <c r="M617" s="13">
        <f>MONTH(Weekly_Prices[[#This Row],[Date]])</f>
        <v>3</v>
      </c>
      <c r="N617" s="3" t="str">
        <f>TEXT(Weekly_Prices[[#This Row],[Date]],"MMMM")</f>
        <v>March</v>
      </c>
      <c r="O617" s="3" t="str">
        <f>YEAR(Weekly_Prices[[#This Row],[Date]])&amp;"-"&amp;TEXT(WEEKNUM(Weekly_Prices[[#This Row],[Date]],2),"00")</f>
        <v>2015-13</v>
      </c>
    </row>
    <row r="618" spans="1:15" x14ac:dyDescent="0.35">
      <c r="A618" s="2">
        <v>42093</v>
      </c>
      <c r="B618" s="3">
        <v>112.06053744198424</v>
      </c>
      <c r="C618" s="4">
        <f t="shared" si="36"/>
        <v>0.41315463171383726</v>
      </c>
      <c r="D618" s="4">
        <f t="shared" si="34"/>
        <v>-16.700772558015743</v>
      </c>
      <c r="E618" s="3">
        <v>57.95</v>
      </c>
      <c r="F618" s="3">
        <v>20</v>
      </c>
      <c r="G618" s="3">
        <v>118.97182870497286</v>
      </c>
      <c r="H618" s="4">
        <f t="shared" si="37"/>
        <v>0.26154904618584851</v>
      </c>
      <c r="I618" s="4">
        <f t="shared" si="35"/>
        <v>-16.914688295027133</v>
      </c>
      <c r="J618" s="3">
        <v>57.95</v>
      </c>
      <c r="K618" s="3">
        <v>20</v>
      </c>
      <c r="L618" s="13">
        <f>YEAR(Weekly_Prices[[#This Row],[Date]])</f>
        <v>2015</v>
      </c>
      <c r="M618" s="13">
        <f>MONTH(Weekly_Prices[[#This Row],[Date]])</f>
        <v>3</v>
      </c>
      <c r="N618" s="3" t="str">
        <f>TEXT(Weekly_Prices[[#This Row],[Date]],"MMMM")</f>
        <v>March</v>
      </c>
      <c r="O618" s="3" t="str">
        <f>YEAR(Weekly_Prices[[#This Row],[Date]])&amp;"-"&amp;TEXT(WEEKNUM(Weekly_Prices[[#This Row],[Date]],2),"00")</f>
        <v>2015-14</v>
      </c>
    </row>
    <row r="619" spans="1:15" x14ac:dyDescent="0.35">
      <c r="A619" s="2">
        <v>42100</v>
      </c>
      <c r="B619" s="3">
        <v>112.37431970848152</v>
      </c>
      <c r="C619" s="4">
        <f t="shared" si="36"/>
        <v>0.31378226649728447</v>
      </c>
      <c r="D619" s="4">
        <f t="shared" si="34"/>
        <v>-16.33852329151847</v>
      </c>
      <c r="E619" s="3">
        <v>57.95</v>
      </c>
      <c r="F619" s="3">
        <v>20</v>
      </c>
      <c r="G619" s="3">
        <v>119.08711266078592</v>
      </c>
      <c r="H619" s="4">
        <f t="shared" si="37"/>
        <v>0.11528395581305517</v>
      </c>
      <c r="I619" s="4">
        <f t="shared" si="35"/>
        <v>-16.921873339214073</v>
      </c>
      <c r="J619" s="3">
        <v>57.95</v>
      </c>
      <c r="K619" s="3">
        <v>20</v>
      </c>
      <c r="L619" s="13">
        <f>YEAR(Weekly_Prices[[#This Row],[Date]])</f>
        <v>2015</v>
      </c>
      <c r="M619" s="13">
        <f>MONTH(Weekly_Prices[[#This Row],[Date]])</f>
        <v>4</v>
      </c>
      <c r="N619" s="3" t="str">
        <f>TEXT(Weekly_Prices[[#This Row],[Date]],"MMMM")</f>
        <v>April</v>
      </c>
      <c r="O619" s="3" t="str">
        <f>YEAR(Weekly_Prices[[#This Row],[Date]])&amp;"-"&amp;TEXT(WEEKNUM(Weekly_Prices[[#This Row],[Date]],2),"00")</f>
        <v>2015-15</v>
      </c>
    </row>
    <row r="620" spans="1:15" x14ac:dyDescent="0.35">
      <c r="A620" s="2">
        <v>42107</v>
      </c>
      <c r="B620" s="3">
        <v>112.52205799606996</v>
      </c>
      <c r="C620" s="4">
        <f t="shared" si="36"/>
        <v>0.14773828758843877</v>
      </c>
      <c r="D620" s="4">
        <f t="shared" si="34"/>
        <v>-16.368810003930051</v>
      </c>
      <c r="E620" s="3">
        <v>57.95</v>
      </c>
      <c r="F620" s="3">
        <v>20</v>
      </c>
      <c r="G620" s="3">
        <v>119.14610841678709</v>
      </c>
      <c r="H620" s="4">
        <f t="shared" si="37"/>
        <v>5.899575600116691E-2</v>
      </c>
      <c r="I620" s="4">
        <f t="shared" si="35"/>
        <v>-16.907421583212937</v>
      </c>
      <c r="J620" s="3">
        <v>57.95</v>
      </c>
      <c r="K620" s="3">
        <v>20</v>
      </c>
      <c r="L620" s="13">
        <f>YEAR(Weekly_Prices[[#This Row],[Date]])</f>
        <v>2015</v>
      </c>
      <c r="M620" s="13">
        <f>MONTH(Weekly_Prices[[#This Row],[Date]])</f>
        <v>4</v>
      </c>
      <c r="N620" s="3" t="str">
        <f>TEXT(Weekly_Prices[[#This Row],[Date]],"MMMM")</f>
        <v>April</v>
      </c>
      <c r="O620" s="3" t="str">
        <f>YEAR(Weekly_Prices[[#This Row],[Date]])&amp;"-"&amp;TEXT(WEEKNUM(Weekly_Prices[[#This Row],[Date]],2),"00")</f>
        <v>2015-16</v>
      </c>
    </row>
    <row r="621" spans="1:15" x14ac:dyDescent="0.35">
      <c r="A621" s="2">
        <v>42114</v>
      </c>
      <c r="B621" s="3">
        <v>112.87172797910024</v>
      </c>
      <c r="C621" s="4">
        <f t="shared" si="36"/>
        <v>0.34966998303028163</v>
      </c>
      <c r="D621" s="4">
        <f t="shared" si="34"/>
        <v>-16.240672020899765</v>
      </c>
      <c r="E621" s="3">
        <v>57.95</v>
      </c>
      <c r="F621" s="3">
        <v>20</v>
      </c>
      <c r="G621" s="3">
        <v>119.13872069858513</v>
      </c>
      <c r="H621" s="4">
        <f t="shared" si="37"/>
        <v>-7.3877182019543852E-3</v>
      </c>
      <c r="I621" s="4">
        <f t="shared" si="35"/>
        <v>-16.976550301414875</v>
      </c>
      <c r="J621" s="3">
        <v>57.95</v>
      </c>
      <c r="K621" s="3">
        <v>20</v>
      </c>
      <c r="L621" s="13">
        <f>YEAR(Weekly_Prices[[#This Row],[Date]])</f>
        <v>2015</v>
      </c>
      <c r="M621" s="13">
        <f>MONTH(Weekly_Prices[[#This Row],[Date]])</f>
        <v>4</v>
      </c>
      <c r="N621" s="3" t="str">
        <f>TEXT(Weekly_Prices[[#This Row],[Date]],"MMMM")</f>
        <v>April</v>
      </c>
      <c r="O621" s="3" t="str">
        <f>YEAR(Weekly_Prices[[#This Row],[Date]])&amp;"-"&amp;TEXT(WEEKNUM(Weekly_Prices[[#This Row],[Date]],2),"00")</f>
        <v>2015-17</v>
      </c>
    </row>
    <row r="622" spans="1:15" x14ac:dyDescent="0.35">
      <c r="A622" s="2">
        <v>42121</v>
      </c>
      <c r="B622" s="3">
        <v>113.55083442185972</v>
      </c>
      <c r="C622" s="4">
        <f t="shared" si="36"/>
        <v>0.67910644275947618</v>
      </c>
      <c r="D622" s="4">
        <f t="shared" si="34"/>
        <v>-15.543586578140264</v>
      </c>
      <c r="E622" s="3">
        <v>57.95</v>
      </c>
      <c r="F622" s="3">
        <v>20</v>
      </c>
      <c r="G622" s="3">
        <v>119.57730631659689</v>
      </c>
      <c r="H622" s="4">
        <f t="shared" si="37"/>
        <v>0.43858561801175711</v>
      </c>
      <c r="I622" s="4">
        <f t="shared" si="35"/>
        <v>-16.353087683403118</v>
      </c>
      <c r="J622" s="3">
        <v>57.95</v>
      </c>
      <c r="K622" s="3">
        <v>20</v>
      </c>
      <c r="L622" s="13">
        <f>YEAR(Weekly_Prices[[#This Row],[Date]])</f>
        <v>2015</v>
      </c>
      <c r="M622" s="13">
        <f>MONTH(Weekly_Prices[[#This Row],[Date]])</f>
        <v>4</v>
      </c>
      <c r="N622" s="3" t="str">
        <f>TEXT(Weekly_Prices[[#This Row],[Date]],"MMMM")</f>
        <v>April</v>
      </c>
      <c r="O622" s="3" t="str">
        <f>YEAR(Weekly_Prices[[#This Row],[Date]])&amp;"-"&amp;TEXT(WEEKNUM(Weekly_Prices[[#This Row],[Date]],2),"00")</f>
        <v>2015-18</v>
      </c>
    </row>
    <row r="623" spans="1:15" x14ac:dyDescent="0.35">
      <c r="A623" s="2">
        <v>42128</v>
      </c>
      <c r="B623" s="3">
        <v>114.27048613743514</v>
      </c>
      <c r="C623" s="4">
        <f t="shared" si="36"/>
        <v>0.71965171557542362</v>
      </c>
      <c r="D623" s="4">
        <f t="shared" si="34"/>
        <v>-14.995645862564828</v>
      </c>
      <c r="E623" s="3">
        <v>57.95</v>
      </c>
      <c r="F623" s="3">
        <v>20</v>
      </c>
      <c r="G623" s="3">
        <v>119.99644286750025</v>
      </c>
      <c r="H623" s="4">
        <f t="shared" si="37"/>
        <v>0.41913655090336022</v>
      </c>
      <c r="I623" s="4">
        <f t="shared" si="35"/>
        <v>-16.164442132499758</v>
      </c>
      <c r="J623" s="3">
        <v>57.95</v>
      </c>
      <c r="K623" s="3">
        <v>20</v>
      </c>
      <c r="L623" s="13">
        <f>YEAR(Weekly_Prices[[#This Row],[Date]])</f>
        <v>2015</v>
      </c>
      <c r="M623" s="13">
        <f>MONTH(Weekly_Prices[[#This Row],[Date]])</f>
        <v>5</v>
      </c>
      <c r="N623" s="3" t="str">
        <f>TEXT(Weekly_Prices[[#This Row],[Date]],"MMMM")</f>
        <v>May</v>
      </c>
      <c r="O623" s="3" t="str">
        <f>YEAR(Weekly_Prices[[#This Row],[Date]])&amp;"-"&amp;TEXT(WEEKNUM(Weekly_Prices[[#This Row],[Date]],2),"00")</f>
        <v>2015-19</v>
      </c>
    </row>
    <row r="624" spans="1:15" x14ac:dyDescent="0.35">
      <c r="A624" s="2">
        <v>42135</v>
      </c>
      <c r="B624" s="3">
        <v>115.09808401144393</v>
      </c>
      <c r="C624" s="4">
        <f t="shared" si="36"/>
        <v>0.82759787400878793</v>
      </c>
      <c r="D624" s="4">
        <f t="shared" si="34"/>
        <v>-14.399624988556056</v>
      </c>
      <c r="E624" s="3">
        <v>57.95</v>
      </c>
      <c r="F624" s="3">
        <v>20</v>
      </c>
      <c r="G624" s="3">
        <v>120.59334734839467</v>
      </c>
      <c r="H624" s="4">
        <f t="shared" si="37"/>
        <v>0.59690448089442327</v>
      </c>
      <c r="I624" s="4">
        <f t="shared" si="35"/>
        <v>-15.775038651605342</v>
      </c>
      <c r="J624" s="3">
        <v>57.95</v>
      </c>
      <c r="K624" s="3">
        <v>20</v>
      </c>
      <c r="L624" s="13">
        <f>YEAR(Weekly_Prices[[#This Row],[Date]])</f>
        <v>2015</v>
      </c>
      <c r="M624" s="13">
        <f>MONTH(Weekly_Prices[[#This Row],[Date]])</f>
        <v>5</v>
      </c>
      <c r="N624" s="3" t="str">
        <f>TEXT(Weekly_Prices[[#This Row],[Date]],"MMMM")</f>
        <v>May</v>
      </c>
      <c r="O624" s="3" t="str">
        <f>YEAR(Weekly_Prices[[#This Row],[Date]])&amp;"-"&amp;TEXT(WEEKNUM(Weekly_Prices[[#This Row],[Date]],2),"00")</f>
        <v>2015-20</v>
      </c>
    </row>
    <row r="625" spans="1:15" x14ac:dyDescent="0.35">
      <c r="A625" s="2">
        <v>42142</v>
      </c>
      <c r="B625" s="3">
        <v>115.73924360687818</v>
      </c>
      <c r="C625" s="4">
        <f t="shared" si="36"/>
        <v>0.64115959543424594</v>
      </c>
      <c r="D625" s="4">
        <f t="shared" si="34"/>
        <v>-13.67913539312184</v>
      </c>
      <c r="E625" s="3">
        <v>57.95</v>
      </c>
      <c r="F625" s="3">
        <v>20</v>
      </c>
      <c r="G625" s="3">
        <v>121.03637913317567</v>
      </c>
      <c r="H625" s="4">
        <f t="shared" si="37"/>
        <v>0.44303178478099881</v>
      </c>
      <c r="I625" s="4">
        <f t="shared" si="35"/>
        <v>-15.129499866824347</v>
      </c>
      <c r="J625" s="3">
        <v>57.95</v>
      </c>
      <c r="K625" s="3">
        <v>20</v>
      </c>
      <c r="L625" s="13">
        <f>YEAR(Weekly_Prices[[#This Row],[Date]])</f>
        <v>2015</v>
      </c>
      <c r="M625" s="13">
        <f>MONTH(Weekly_Prices[[#This Row],[Date]])</f>
        <v>5</v>
      </c>
      <c r="N625" s="3" t="str">
        <f>TEXT(Weekly_Prices[[#This Row],[Date]],"MMMM")</f>
        <v>May</v>
      </c>
      <c r="O625" s="3" t="str">
        <f>YEAR(Weekly_Prices[[#This Row],[Date]])&amp;"-"&amp;TEXT(WEEKNUM(Weekly_Prices[[#This Row],[Date]],2),"00")</f>
        <v>2015-21</v>
      </c>
    </row>
    <row r="626" spans="1:15" x14ac:dyDescent="0.35">
      <c r="A626" s="2">
        <v>42149</v>
      </c>
      <c r="B626" s="3">
        <v>116.02439211158249</v>
      </c>
      <c r="C626" s="4">
        <f t="shared" si="36"/>
        <v>0.28514850470430986</v>
      </c>
      <c r="D626" s="4">
        <f t="shared" si="34"/>
        <v>-13.486443888417526</v>
      </c>
      <c r="E626" s="3">
        <v>57.95</v>
      </c>
      <c r="F626" s="3">
        <v>20</v>
      </c>
      <c r="G626" s="3">
        <v>121.31895591605726</v>
      </c>
      <c r="H626" s="4">
        <f t="shared" si="37"/>
        <v>0.28257678288159127</v>
      </c>
      <c r="I626" s="4">
        <f t="shared" si="35"/>
        <v>-15.038727083942746</v>
      </c>
      <c r="J626" s="3">
        <v>57.95</v>
      </c>
      <c r="K626" s="3">
        <v>20</v>
      </c>
      <c r="L626" s="13">
        <f>YEAR(Weekly_Prices[[#This Row],[Date]])</f>
        <v>2015</v>
      </c>
      <c r="M626" s="13">
        <f>MONTH(Weekly_Prices[[#This Row],[Date]])</f>
        <v>5</v>
      </c>
      <c r="N626" s="3" t="str">
        <f>TEXT(Weekly_Prices[[#This Row],[Date]],"MMMM")</f>
        <v>May</v>
      </c>
      <c r="O626" s="3" t="str">
        <f>YEAR(Weekly_Prices[[#This Row],[Date]])&amp;"-"&amp;TEXT(WEEKNUM(Weekly_Prices[[#This Row],[Date]],2),"00")</f>
        <v>2015-22</v>
      </c>
    </row>
    <row r="627" spans="1:15" x14ac:dyDescent="0.35">
      <c r="A627" s="2">
        <v>42156</v>
      </c>
      <c r="B627" s="3">
        <v>116.13139585692821</v>
      </c>
      <c r="C627" s="4">
        <f t="shared" si="36"/>
        <v>0.10700374534572177</v>
      </c>
      <c r="D627" s="4">
        <f t="shared" si="34"/>
        <v>-13.500414143071765</v>
      </c>
      <c r="E627" s="3">
        <v>57.95</v>
      </c>
      <c r="F627" s="3">
        <v>20</v>
      </c>
      <c r="G627" s="3">
        <v>121.30045011742648</v>
      </c>
      <c r="H627" s="4">
        <f t="shared" si="37"/>
        <v>-1.8505798630783943E-2</v>
      </c>
      <c r="I627" s="4">
        <f t="shared" si="35"/>
        <v>-15.075279882573525</v>
      </c>
      <c r="J627" s="3">
        <v>57.95</v>
      </c>
      <c r="K627" s="3">
        <v>20</v>
      </c>
      <c r="L627" s="13">
        <f>YEAR(Weekly_Prices[[#This Row],[Date]])</f>
        <v>2015</v>
      </c>
      <c r="M627" s="13">
        <f>MONTH(Weekly_Prices[[#This Row],[Date]])</f>
        <v>6</v>
      </c>
      <c r="N627" s="3" t="str">
        <f>TEXT(Weekly_Prices[[#This Row],[Date]],"MMMM")</f>
        <v>June</v>
      </c>
      <c r="O627" s="3" t="str">
        <f>YEAR(Weekly_Prices[[#This Row],[Date]])&amp;"-"&amp;TEXT(WEEKNUM(Weekly_Prices[[#This Row],[Date]],2),"00")</f>
        <v>2015-23</v>
      </c>
    </row>
    <row r="628" spans="1:15" x14ac:dyDescent="0.35">
      <c r="A628" s="2">
        <v>42163</v>
      </c>
      <c r="B628" s="3">
        <v>116.25539498811986</v>
      </c>
      <c r="C628" s="4">
        <f t="shared" si="36"/>
        <v>0.12399913119165262</v>
      </c>
      <c r="D628" s="4">
        <f t="shared" si="34"/>
        <v>-13.437269011880119</v>
      </c>
      <c r="E628" s="3">
        <v>57.95</v>
      </c>
      <c r="F628" s="3">
        <v>20</v>
      </c>
      <c r="G628" s="3">
        <v>121.33792309333279</v>
      </c>
      <c r="H628" s="4">
        <f t="shared" si="37"/>
        <v>3.747297590631149E-2</v>
      </c>
      <c r="I628" s="4">
        <f t="shared" si="35"/>
        <v>-14.702600906667215</v>
      </c>
      <c r="J628" s="3">
        <v>57.95</v>
      </c>
      <c r="K628" s="3">
        <v>20</v>
      </c>
      <c r="L628" s="13">
        <f>YEAR(Weekly_Prices[[#This Row],[Date]])</f>
        <v>2015</v>
      </c>
      <c r="M628" s="13">
        <f>MONTH(Weekly_Prices[[#This Row],[Date]])</f>
        <v>6</v>
      </c>
      <c r="N628" s="3" t="str">
        <f>TEXT(Weekly_Prices[[#This Row],[Date]],"MMMM")</f>
        <v>June</v>
      </c>
      <c r="O628" s="3" t="str">
        <f>YEAR(Weekly_Prices[[#This Row],[Date]])&amp;"-"&amp;TEXT(WEEKNUM(Weekly_Prices[[#This Row],[Date]],2),"00")</f>
        <v>2015-24</v>
      </c>
    </row>
    <row r="629" spans="1:15" x14ac:dyDescent="0.35">
      <c r="A629" s="2">
        <v>42170</v>
      </c>
      <c r="B629" s="3">
        <v>116.38640209039085</v>
      </c>
      <c r="C629" s="4">
        <f t="shared" si="36"/>
        <v>0.13100710227098489</v>
      </c>
      <c r="D629" s="4">
        <f t="shared" si="34"/>
        <v>-13.493741909609156</v>
      </c>
      <c r="E629" s="3">
        <v>57.95</v>
      </c>
      <c r="F629" s="3">
        <v>20</v>
      </c>
      <c r="G629" s="3">
        <v>121.30046621305074</v>
      </c>
      <c r="H629" s="4">
        <f t="shared" si="37"/>
        <v>-3.745688028205052E-2</v>
      </c>
      <c r="I629" s="4">
        <f t="shared" si="35"/>
        <v>-14.241335786949278</v>
      </c>
      <c r="J629" s="3">
        <v>57.95</v>
      </c>
      <c r="K629" s="3">
        <v>20</v>
      </c>
      <c r="L629" s="13">
        <f>YEAR(Weekly_Prices[[#This Row],[Date]])</f>
        <v>2015</v>
      </c>
      <c r="M629" s="13">
        <f>MONTH(Weekly_Prices[[#This Row],[Date]])</f>
        <v>6</v>
      </c>
      <c r="N629" s="3" t="str">
        <f>TEXT(Weekly_Prices[[#This Row],[Date]],"MMMM")</f>
        <v>June</v>
      </c>
      <c r="O629" s="3" t="str">
        <f>YEAR(Weekly_Prices[[#This Row],[Date]])&amp;"-"&amp;TEXT(WEEKNUM(Weekly_Prices[[#This Row],[Date]],2),"00")</f>
        <v>2015-25</v>
      </c>
    </row>
    <row r="630" spans="1:15" x14ac:dyDescent="0.35">
      <c r="A630" s="2">
        <v>42177</v>
      </c>
      <c r="B630" s="3">
        <v>116.59589142616274</v>
      </c>
      <c r="C630" s="4">
        <f t="shared" si="36"/>
        <v>0.20948933577189166</v>
      </c>
      <c r="D630" s="4">
        <f t="shared" si="34"/>
        <v>-13.546264573837263</v>
      </c>
      <c r="E630" s="3">
        <v>57.95</v>
      </c>
      <c r="F630" s="3">
        <v>20</v>
      </c>
      <c r="G630" s="3">
        <v>121.20601117770603</v>
      </c>
      <c r="H630" s="4">
        <f t="shared" si="37"/>
        <v>-9.4455035344708449E-2</v>
      </c>
      <c r="I630" s="4">
        <f t="shared" si="35"/>
        <v>-14.294845822293965</v>
      </c>
      <c r="J630" s="3">
        <v>57.95</v>
      </c>
      <c r="K630" s="3">
        <v>20</v>
      </c>
      <c r="L630" s="13">
        <f>YEAR(Weekly_Prices[[#This Row],[Date]])</f>
        <v>2015</v>
      </c>
      <c r="M630" s="13">
        <f>MONTH(Weekly_Prices[[#This Row],[Date]])</f>
        <v>6</v>
      </c>
      <c r="N630" s="3" t="str">
        <f>TEXT(Weekly_Prices[[#This Row],[Date]],"MMMM")</f>
        <v>June</v>
      </c>
      <c r="O630" s="3" t="str">
        <f>YEAR(Weekly_Prices[[#This Row],[Date]])&amp;"-"&amp;TEXT(WEEKNUM(Weekly_Prices[[#This Row],[Date]],2),"00")</f>
        <v>2015-26</v>
      </c>
    </row>
    <row r="631" spans="1:15" x14ac:dyDescent="0.35">
      <c r="A631" s="2">
        <v>42184</v>
      </c>
      <c r="B631" s="3">
        <v>116.55014221623694</v>
      </c>
      <c r="C631" s="4">
        <f t="shared" si="36"/>
        <v>-4.5749209925801892E-2</v>
      </c>
      <c r="D631" s="4">
        <f t="shared" ref="D631:D694" si="38">B631-B579</f>
        <v>-14.136907783763064</v>
      </c>
      <c r="E631" s="3">
        <v>57.95</v>
      </c>
      <c r="F631" s="3">
        <v>20</v>
      </c>
      <c r="G631" s="3">
        <v>120.99038837570538</v>
      </c>
      <c r="H631" s="4">
        <f t="shared" si="37"/>
        <v>-0.21562280200065231</v>
      </c>
      <c r="I631" s="4">
        <f t="shared" ref="I631:I694" si="39">G631-G579</f>
        <v>-15.047195624294631</v>
      </c>
      <c r="J631" s="3">
        <v>57.95</v>
      </c>
      <c r="K631" s="3">
        <v>20</v>
      </c>
      <c r="L631" s="13">
        <f>YEAR(Weekly_Prices[[#This Row],[Date]])</f>
        <v>2015</v>
      </c>
      <c r="M631" s="13">
        <f>MONTH(Weekly_Prices[[#This Row],[Date]])</f>
        <v>6</v>
      </c>
      <c r="N631" s="3" t="str">
        <f>TEXT(Weekly_Prices[[#This Row],[Date]],"MMMM")</f>
        <v>June</v>
      </c>
      <c r="O631" s="3" t="str">
        <f>YEAR(Weekly_Prices[[#This Row],[Date]])&amp;"-"&amp;TEXT(WEEKNUM(Weekly_Prices[[#This Row],[Date]],2),"00")</f>
        <v>2015-27</v>
      </c>
    </row>
    <row r="632" spans="1:15" x14ac:dyDescent="0.35">
      <c r="A632" s="2">
        <v>42191</v>
      </c>
      <c r="B632" s="3">
        <v>116.33630392500584</v>
      </c>
      <c r="C632" s="4">
        <f t="shared" si="36"/>
        <v>-0.21383829123109876</v>
      </c>
      <c r="D632" s="4">
        <f t="shared" si="38"/>
        <v>-14.763615074994163</v>
      </c>
      <c r="E632" s="3">
        <v>57.95</v>
      </c>
      <c r="F632" s="3">
        <v>20</v>
      </c>
      <c r="G632" s="3">
        <v>120.76364281723835</v>
      </c>
      <c r="H632" s="4">
        <f t="shared" si="37"/>
        <v>-0.22674555846703015</v>
      </c>
      <c r="I632" s="4">
        <f t="shared" si="39"/>
        <v>-15.454452182761656</v>
      </c>
      <c r="J632" s="3">
        <v>57.95</v>
      </c>
      <c r="K632" s="3">
        <v>20</v>
      </c>
      <c r="L632" s="13">
        <f>YEAR(Weekly_Prices[[#This Row],[Date]])</f>
        <v>2015</v>
      </c>
      <c r="M632" s="13">
        <f>MONTH(Weekly_Prices[[#This Row],[Date]])</f>
        <v>7</v>
      </c>
      <c r="N632" s="3" t="str">
        <f>TEXT(Weekly_Prices[[#This Row],[Date]],"MMMM")</f>
        <v>July</v>
      </c>
      <c r="O632" s="3" t="str">
        <f>YEAR(Weekly_Prices[[#This Row],[Date]])&amp;"-"&amp;TEXT(WEEKNUM(Weekly_Prices[[#This Row],[Date]],2),"00")</f>
        <v>2015-28</v>
      </c>
    </row>
    <row r="633" spans="1:15" x14ac:dyDescent="0.35">
      <c r="A633" s="2">
        <v>42198</v>
      </c>
      <c r="B633" s="3">
        <v>116.40604037906674</v>
      </c>
      <c r="C633" s="4">
        <f t="shared" si="36"/>
        <v>6.9736454060901565E-2</v>
      </c>
      <c r="D633" s="4">
        <f t="shared" si="38"/>
        <v>-14.705456620933276</v>
      </c>
      <c r="E633" s="3">
        <v>57.95</v>
      </c>
      <c r="F633" s="3">
        <v>20</v>
      </c>
      <c r="G633" s="3">
        <v>118.8318056400137</v>
      </c>
      <c r="H633" s="4">
        <f t="shared" si="37"/>
        <v>-1.9318371772246508</v>
      </c>
      <c r="I633" s="4">
        <f t="shared" si="39"/>
        <v>-17.339096359986314</v>
      </c>
      <c r="J633" s="3">
        <v>57.95</v>
      </c>
      <c r="K633" s="3">
        <v>20</v>
      </c>
      <c r="L633" s="13">
        <f>YEAR(Weekly_Prices[[#This Row],[Date]])</f>
        <v>2015</v>
      </c>
      <c r="M633" s="13">
        <f>MONTH(Weekly_Prices[[#This Row],[Date]])</f>
        <v>7</v>
      </c>
      <c r="N633" s="3" t="str">
        <f>TEXT(Weekly_Prices[[#This Row],[Date]],"MMMM")</f>
        <v>July</v>
      </c>
      <c r="O633" s="3" t="str">
        <f>YEAR(Weekly_Prices[[#This Row],[Date]])&amp;"-"&amp;TEXT(WEEKNUM(Weekly_Prices[[#This Row],[Date]],2),"00")</f>
        <v>2015-29</v>
      </c>
    </row>
    <row r="634" spans="1:15" x14ac:dyDescent="0.35">
      <c r="A634" s="2">
        <v>42205</v>
      </c>
      <c r="B634" s="3">
        <v>116.78612008860753</v>
      </c>
      <c r="C634" s="4">
        <f t="shared" si="36"/>
        <v>0.3800797095407944</v>
      </c>
      <c r="D634" s="4">
        <f t="shared" si="38"/>
        <v>-14.258600911392449</v>
      </c>
      <c r="E634" s="3">
        <v>57.95</v>
      </c>
      <c r="F634" s="3">
        <v>20</v>
      </c>
      <c r="G634" s="3">
        <v>118.4345219885877</v>
      </c>
      <c r="H634" s="4">
        <f t="shared" si="37"/>
        <v>-0.39728365142599387</v>
      </c>
      <c r="I634" s="4">
        <f t="shared" si="39"/>
        <v>-17.252770011412309</v>
      </c>
      <c r="J634" s="3">
        <v>57.95</v>
      </c>
      <c r="K634" s="3">
        <v>20</v>
      </c>
      <c r="L634" s="13">
        <f>YEAR(Weekly_Prices[[#This Row],[Date]])</f>
        <v>2015</v>
      </c>
      <c r="M634" s="13">
        <f>MONTH(Weekly_Prices[[#This Row],[Date]])</f>
        <v>7</v>
      </c>
      <c r="N634" s="3" t="str">
        <f>TEXT(Weekly_Prices[[#This Row],[Date]],"MMMM")</f>
        <v>July</v>
      </c>
      <c r="O634" s="3" t="str">
        <f>YEAR(Weekly_Prices[[#This Row],[Date]])&amp;"-"&amp;TEXT(WEEKNUM(Weekly_Prices[[#This Row],[Date]],2),"00")</f>
        <v>2015-30</v>
      </c>
    </row>
    <row r="635" spans="1:15" x14ac:dyDescent="0.35">
      <c r="A635" s="2">
        <v>42212</v>
      </c>
      <c r="B635" s="3">
        <v>116.44193636427696</v>
      </c>
      <c r="C635" s="4">
        <f t="shared" si="36"/>
        <v>-0.34418372433057698</v>
      </c>
      <c r="D635" s="4">
        <f t="shared" si="38"/>
        <v>-14.38764263572304</v>
      </c>
      <c r="E635" s="3">
        <v>57.95</v>
      </c>
      <c r="F635" s="3">
        <v>20</v>
      </c>
      <c r="G635" s="3">
        <v>116.95480374041566</v>
      </c>
      <c r="H635" s="4">
        <f t="shared" si="37"/>
        <v>-1.4797182481720483</v>
      </c>
      <c r="I635" s="4">
        <f t="shared" si="39"/>
        <v>-18.549844259584347</v>
      </c>
      <c r="J635" s="3">
        <v>57.95</v>
      </c>
      <c r="K635" s="3">
        <v>20</v>
      </c>
      <c r="L635" s="13">
        <f>YEAR(Weekly_Prices[[#This Row],[Date]])</f>
        <v>2015</v>
      </c>
      <c r="M635" s="13">
        <f>MONTH(Weekly_Prices[[#This Row],[Date]])</f>
        <v>7</v>
      </c>
      <c r="N635" s="3" t="str">
        <f>TEXT(Weekly_Prices[[#This Row],[Date]],"MMMM")</f>
        <v>July</v>
      </c>
      <c r="O635" s="3" t="str">
        <f>YEAR(Weekly_Prices[[#This Row],[Date]])&amp;"-"&amp;TEXT(WEEKNUM(Weekly_Prices[[#This Row],[Date]],2),"00")</f>
        <v>2015-31</v>
      </c>
    </row>
    <row r="636" spans="1:15" x14ac:dyDescent="0.35">
      <c r="A636" s="2">
        <v>42219</v>
      </c>
      <c r="B636" s="3">
        <v>116.11628672779446</v>
      </c>
      <c r="C636" s="4">
        <f t="shared" si="36"/>
        <v>-0.32564963648249545</v>
      </c>
      <c r="D636" s="4">
        <f t="shared" si="38"/>
        <v>-13.509814272205546</v>
      </c>
      <c r="E636" s="3">
        <v>57.95</v>
      </c>
      <c r="F636" s="3">
        <v>20</v>
      </c>
      <c r="G636" s="3">
        <v>115.17019781421585</v>
      </c>
      <c r="H636" s="4">
        <f t="shared" si="37"/>
        <v>-1.7846059261998022</v>
      </c>
      <c r="I636" s="4">
        <f t="shared" si="39"/>
        <v>-19.134944185784164</v>
      </c>
      <c r="J636" s="3">
        <v>57.95</v>
      </c>
      <c r="K636" s="3">
        <v>20</v>
      </c>
      <c r="L636" s="13">
        <f>YEAR(Weekly_Prices[[#This Row],[Date]])</f>
        <v>2015</v>
      </c>
      <c r="M636" s="13">
        <f>MONTH(Weekly_Prices[[#This Row],[Date]])</f>
        <v>8</v>
      </c>
      <c r="N636" s="3" t="str">
        <f>TEXT(Weekly_Prices[[#This Row],[Date]],"MMMM")</f>
        <v>August</v>
      </c>
      <c r="O636" s="3" t="str">
        <f>YEAR(Weekly_Prices[[#This Row],[Date]])&amp;"-"&amp;TEXT(WEEKNUM(Weekly_Prices[[#This Row],[Date]],2),"00")</f>
        <v>2015-32</v>
      </c>
    </row>
    <row r="637" spans="1:15" x14ac:dyDescent="0.35">
      <c r="A637" s="2">
        <v>42226</v>
      </c>
      <c r="B637" s="3">
        <v>115.48135137748945</v>
      </c>
      <c r="C637" s="4">
        <f t="shared" si="36"/>
        <v>-0.63493535030501391</v>
      </c>
      <c r="D637" s="4">
        <f t="shared" si="38"/>
        <v>-13.933031622510541</v>
      </c>
      <c r="E637" s="3">
        <v>57.95</v>
      </c>
      <c r="F637" s="3">
        <v>20</v>
      </c>
      <c r="G637" s="3">
        <v>114.20046738781558</v>
      </c>
      <c r="H637" s="4">
        <f t="shared" si="37"/>
        <v>-0.96973042640027529</v>
      </c>
      <c r="I637" s="4">
        <f t="shared" si="39"/>
        <v>-19.650587612184424</v>
      </c>
      <c r="J637" s="3">
        <v>57.95</v>
      </c>
      <c r="K637" s="3">
        <v>20</v>
      </c>
      <c r="L637" s="13">
        <f>YEAR(Weekly_Prices[[#This Row],[Date]])</f>
        <v>2015</v>
      </c>
      <c r="M637" s="13">
        <f>MONTH(Weekly_Prices[[#This Row],[Date]])</f>
        <v>8</v>
      </c>
      <c r="N637" s="3" t="str">
        <f>TEXT(Weekly_Prices[[#This Row],[Date]],"MMMM")</f>
        <v>August</v>
      </c>
      <c r="O637" s="3" t="str">
        <f>YEAR(Weekly_Prices[[#This Row],[Date]])&amp;"-"&amp;TEXT(WEEKNUM(Weekly_Prices[[#This Row],[Date]],2),"00")</f>
        <v>2015-33</v>
      </c>
    </row>
    <row r="638" spans="1:15" x14ac:dyDescent="0.35">
      <c r="A638" s="2">
        <v>42233</v>
      </c>
      <c r="B638" s="3">
        <v>114.58300298346417</v>
      </c>
      <c r="C638" s="4">
        <f t="shared" si="36"/>
        <v>-0.89834839402527678</v>
      </c>
      <c r="D638" s="4">
        <f t="shared" si="38"/>
        <v>-14.708965016535828</v>
      </c>
      <c r="E638" s="3">
        <v>57.95</v>
      </c>
      <c r="F638" s="3">
        <v>20</v>
      </c>
      <c r="G638" s="3">
        <v>112.04847115024806</v>
      </c>
      <c r="H638" s="4">
        <f t="shared" si="37"/>
        <v>-2.1519962375675163</v>
      </c>
      <c r="I638" s="4">
        <f t="shared" si="39"/>
        <v>-21.694461849751931</v>
      </c>
      <c r="J638" s="3">
        <v>57.95</v>
      </c>
      <c r="K638" s="3">
        <v>20</v>
      </c>
      <c r="L638" s="13">
        <f>YEAR(Weekly_Prices[[#This Row],[Date]])</f>
        <v>2015</v>
      </c>
      <c r="M638" s="13">
        <f>MONTH(Weekly_Prices[[#This Row],[Date]])</f>
        <v>8</v>
      </c>
      <c r="N638" s="3" t="str">
        <f>TEXT(Weekly_Prices[[#This Row],[Date]],"MMMM")</f>
        <v>August</v>
      </c>
      <c r="O638" s="3" t="str">
        <f>YEAR(Weekly_Prices[[#This Row],[Date]])&amp;"-"&amp;TEXT(WEEKNUM(Weekly_Prices[[#This Row],[Date]],2),"00")</f>
        <v>2015-34</v>
      </c>
    </row>
    <row r="639" spans="1:15" x14ac:dyDescent="0.35">
      <c r="A639" s="2">
        <v>42240</v>
      </c>
      <c r="B639" s="3">
        <v>113.23383571729741</v>
      </c>
      <c r="C639" s="4">
        <f t="shared" si="36"/>
        <v>-1.3491672661667593</v>
      </c>
      <c r="D639" s="4">
        <f t="shared" si="38"/>
        <v>-15.108472361191588</v>
      </c>
      <c r="E639" s="3">
        <v>57.95</v>
      </c>
      <c r="F639" s="3">
        <v>20</v>
      </c>
      <c r="G639" s="3">
        <v>111.05011020893085</v>
      </c>
      <c r="H639" s="4">
        <f t="shared" si="37"/>
        <v>-0.99836094131721609</v>
      </c>
      <c r="I639" s="4">
        <f t="shared" si="39"/>
        <v>-22.111773482315556</v>
      </c>
      <c r="J639" s="3">
        <v>57.95</v>
      </c>
      <c r="K639" s="3">
        <v>20</v>
      </c>
      <c r="L639" s="13">
        <f>YEAR(Weekly_Prices[[#This Row],[Date]])</f>
        <v>2015</v>
      </c>
      <c r="M639" s="13">
        <f>MONTH(Weekly_Prices[[#This Row],[Date]])</f>
        <v>8</v>
      </c>
      <c r="N639" s="3" t="str">
        <f>TEXT(Weekly_Prices[[#This Row],[Date]],"MMMM")</f>
        <v>August</v>
      </c>
      <c r="O639" s="3" t="str">
        <f>YEAR(Weekly_Prices[[#This Row],[Date]])&amp;"-"&amp;TEXT(WEEKNUM(Weekly_Prices[[#This Row],[Date]],2),"00")</f>
        <v>2015-35</v>
      </c>
    </row>
    <row r="640" spans="1:15" x14ac:dyDescent="0.35">
      <c r="A640" s="2">
        <v>42247</v>
      </c>
      <c r="B640" s="3">
        <v>111.20952886901058</v>
      </c>
      <c r="C640" s="4">
        <f t="shared" si="36"/>
        <v>-2.0243068482868267</v>
      </c>
      <c r="D640" s="4">
        <f t="shared" si="38"/>
        <v>-16.799887724273034</v>
      </c>
      <c r="E640" s="3">
        <v>57.95</v>
      </c>
      <c r="F640" s="3">
        <v>20</v>
      </c>
      <c r="G640" s="3">
        <v>109.91893825590486</v>
      </c>
      <c r="H640" s="4">
        <f t="shared" si="37"/>
        <v>-1.1311719530259836</v>
      </c>
      <c r="I640" s="4">
        <f t="shared" si="39"/>
        <v>-22.849204260939729</v>
      </c>
      <c r="J640" s="3">
        <v>57.95</v>
      </c>
      <c r="K640" s="3">
        <v>20</v>
      </c>
      <c r="L640" s="13">
        <f>YEAR(Weekly_Prices[[#This Row],[Date]])</f>
        <v>2015</v>
      </c>
      <c r="M640" s="13">
        <f>MONTH(Weekly_Prices[[#This Row],[Date]])</f>
        <v>8</v>
      </c>
      <c r="N640" s="3" t="str">
        <f>TEXT(Weekly_Prices[[#This Row],[Date]],"MMMM")</f>
        <v>August</v>
      </c>
      <c r="O640" s="3" t="str">
        <f>YEAR(Weekly_Prices[[#This Row],[Date]])&amp;"-"&amp;TEXT(WEEKNUM(Weekly_Prices[[#This Row],[Date]],2),"00")</f>
        <v>2015-36</v>
      </c>
    </row>
    <row r="641" spans="1:15" x14ac:dyDescent="0.35">
      <c r="A641" s="2">
        <v>42254</v>
      </c>
      <c r="B641" s="3">
        <v>110.89572505518143</v>
      </c>
      <c r="C641" s="4">
        <f t="shared" si="36"/>
        <v>-0.31380381382915346</v>
      </c>
      <c r="D641" s="4">
        <f t="shared" si="38"/>
        <v>-17.447332270379292</v>
      </c>
      <c r="E641" s="3">
        <v>57.95</v>
      </c>
      <c r="F641" s="3">
        <v>20</v>
      </c>
      <c r="G641" s="3">
        <v>109.78204988293061</v>
      </c>
      <c r="H641" s="4">
        <f t="shared" si="37"/>
        <v>-0.13688837297425493</v>
      </c>
      <c r="I641" s="4">
        <f t="shared" si="39"/>
        <v>-23.308120859390499</v>
      </c>
      <c r="J641" s="3">
        <v>57.95</v>
      </c>
      <c r="K641" s="3">
        <v>20</v>
      </c>
      <c r="L641" s="13">
        <f>YEAR(Weekly_Prices[[#This Row],[Date]])</f>
        <v>2015</v>
      </c>
      <c r="M641" s="13">
        <f>MONTH(Weekly_Prices[[#This Row],[Date]])</f>
        <v>9</v>
      </c>
      <c r="N641" s="3" t="str">
        <f>TEXT(Weekly_Prices[[#This Row],[Date]],"MMMM")</f>
        <v>September</v>
      </c>
      <c r="O641" s="3" t="str">
        <f>YEAR(Weekly_Prices[[#This Row],[Date]])&amp;"-"&amp;TEXT(WEEKNUM(Weekly_Prices[[#This Row],[Date]],2),"00")</f>
        <v>2015-37</v>
      </c>
    </row>
    <row r="642" spans="1:15" x14ac:dyDescent="0.35">
      <c r="A642" s="2">
        <v>42261</v>
      </c>
      <c r="B642" s="3">
        <v>110.60477062662142</v>
      </c>
      <c r="C642" s="4">
        <f t="shared" si="36"/>
        <v>-0.29095442856001341</v>
      </c>
      <c r="D642" s="4">
        <f t="shared" si="38"/>
        <v>-17.828586725543744</v>
      </c>
      <c r="E642" s="3">
        <v>57.95</v>
      </c>
      <c r="F642" s="3">
        <v>20</v>
      </c>
      <c r="G642" s="3">
        <v>109.94565812960917</v>
      </c>
      <c r="H642" s="4">
        <f t="shared" si="37"/>
        <v>0.16360824667856377</v>
      </c>
      <c r="I642" s="4">
        <f t="shared" si="39"/>
        <v>-23.18579592979691</v>
      </c>
      <c r="J642" s="3">
        <v>57.95</v>
      </c>
      <c r="K642" s="3">
        <v>20</v>
      </c>
      <c r="L642" s="13">
        <f>YEAR(Weekly_Prices[[#This Row],[Date]])</f>
        <v>2015</v>
      </c>
      <c r="M642" s="13">
        <f>MONTH(Weekly_Prices[[#This Row],[Date]])</f>
        <v>9</v>
      </c>
      <c r="N642" s="3" t="str">
        <f>TEXT(Weekly_Prices[[#This Row],[Date]],"MMMM")</f>
        <v>September</v>
      </c>
      <c r="O642" s="3" t="str">
        <f>YEAR(Weekly_Prices[[#This Row],[Date]])&amp;"-"&amp;TEXT(WEEKNUM(Weekly_Prices[[#This Row],[Date]],2),"00")</f>
        <v>2015-38</v>
      </c>
    </row>
    <row r="643" spans="1:15" x14ac:dyDescent="0.35">
      <c r="A643" s="2">
        <v>42268</v>
      </c>
      <c r="B643" s="3">
        <v>110.60805922018037</v>
      </c>
      <c r="C643" s="4">
        <f t="shared" ref="C643:C706" si="40">B643-B642</f>
        <v>3.28859355894906E-3</v>
      </c>
      <c r="D643" s="4">
        <f t="shared" si="38"/>
        <v>-18.008891133575304</v>
      </c>
      <c r="E643" s="3">
        <v>57.95</v>
      </c>
      <c r="F643" s="3">
        <v>20</v>
      </c>
      <c r="G643" s="3">
        <v>110.52323544834023</v>
      </c>
      <c r="H643" s="4">
        <f t="shared" ref="H643:H706" si="41">G643-G642</f>
        <v>0.57757731873105911</v>
      </c>
      <c r="I643" s="4">
        <f t="shared" si="39"/>
        <v>-22.795673704622075</v>
      </c>
      <c r="J643" s="3">
        <v>57.95</v>
      </c>
      <c r="K643" s="3">
        <v>20</v>
      </c>
      <c r="L643" s="13">
        <f>YEAR(Weekly_Prices[[#This Row],[Date]])</f>
        <v>2015</v>
      </c>
      <c r="M643" s="13">
        <f>MONTH(Weekly_Prices[[#This Row],[Date]])</f>
        <v>9</v>
      </c>
      <c r="N643" s="3" t="str">
        <f>TEXT(Weekly_Prices[[#This Row],[Date]],"MMMM")</f>
        <v>September</v>
      </c>
      <c r="O643" s="3" t="str">
        <f>YEAR(Weekly_Prices[[#This Row],[Date]])&amp;"-"&amp;TEXT(WEEKNUM(Weekly_Prices[[#This Row],[Date]],2),"00")</f>
        <v>2015-39</v>
      </c>
    </row>
    <row r="644" spans="1:15" x14ac:dyDescent="0.35">
      <c r="A644" s="2">
        <v>42275</v>
      </c>
      <c r="B644" s="3">
        <v>109.47372391903127</v>
      </c>
      <c r="C644" s="4">
        <f t="shared" si="40"/>
        <v>-1.1343353011490933</v>
      </c>
      <c r="D644" s="4">
        <f t="shared" si="38"/>
        <v>-19.119476142272987</v>
      </c>
      <c r="E644" s="3">
        <v>57.95</v>
      </c>
      <c r="F644" s="3">
        <v>20</v>
      </c>
      <c r="G644" s="3">
        <v>110.44547352581351</v>
      </c>
      <c r="H644" s="4">
        <f t="shared" si="41"/>
        <v>-7.7761922526718763E-2</v>
      </c>
      <c r="I644" s="4">
        <f t="shared" si="39"/>
        <v>-22.787647331090412</v>
      </c>
      <c r="J644" s="3">
        <v>57.95</v>
      </c>
      <c r="K644" s="3">
        <v>20</v>
      </c>
      <c r="L644" s="13">
        <f>YEAR(Weekly_Prices[[#This Row],[Date]])</f>
        <v>2015</v>
      </c>
      <c r="M644" s="13">
        <f>MONTH(Weekly_Prices[[#This Row],[Date]])</f>
        <v>9</v>
      </c>
      <c r="N644" s="3" t="str">
        <f>TEXT(Weekly_Prices[[#This Row],[Date]],"MMMM")</f>
        <v>September</v>
      </c>
      <c r="O644" s="3" t="str">
        <f>YEAR(Weekly_Prices[[#This Row],[Date]])&amp;"-"&amp;TEXT(WEEKNUM(Weekly_Prices[[#This Row],[Date]],2),"00")</f>
        <v>2015-40</v>
      </c>
    </row>
    <row r="645" spans="1:15" x14ac:dyDescent="0.35">
      <c r="A645" s="2">
        <v>42282</v>
      </c>
      <c r="B645" s="3">
        <v>108.94197130353734</v>
      </c>
      <c r="C645" s="4">
        <f t="shared" si="40"/>
        <v>-0.53175261549392872</v>
      </c>
      <c r="D645" s="4">
        <f t="shared" si="38"/>
        <v>-17.842946464057462</v>
      </c>
      <c r="E645" s="3">
        <v>57.95</v>
      </c>
      <c r="F645" s="3">
        <v>20</v>
      </c>
      <c r="G645" s="3">
        <v>110.56755002871846</v>
      </c>
      <c r="H645" s="4">
        <f t="shared" si="41"/>
        <v>0.12207650290494598</v>
      </c>
      <c r="I645" s="4">
        <f t="shared" si="39"/>
        <v>-20.864281953798823</v>
      </c>
      <c r="J645" s="3">
        <v>57.95</v>
      </c>
      <c r="K645" s="3">
        <v>20</v>
      </c>
      <c r="L645" s="13">
        <f>YEAR(Weekly_Prices[[#This Row],[Date]])</f>
        <v>2015</v>
      </c>
      <c r="M645" s="13">
        <f>MONTH(Weekly_Prices[[#This Row],[Date]])</f>
        <v>10</v>
      </c>
      <c r="N645" s="3" t="str">
        <f>TEXT(Weekly_Prices[[#This Row],[Date]],"MMMM")</f>
        <v>October</v>
      </c>
      <c r="O645" s="3" t="str">
        <f>YEAR(Weekly_Prices[[#This Row],[Date]])&amp;"-"&amp;TEXT(WEEKNUM(Weekly_Prices[[#This Row],[Date]],2),"00")</f>
        <v>2015-41</v>
      </c>
    </row>
    <row r="646" spans="1:15" x14ac:dyDescent="0.35">
      <c r="A646" s="2">
        <v>42289</v>
      </c>
      <c r="B646" s="3">
        <v>108.9681925453667</v>
      </c>
      <c r="C646" s="4">
        <f t="shared" si="40"/>
        <v>2.6221241829361475E-2</v>
      </c>
      <c r="D646" s="4">
        <f t="shared" si="38"/>
        <v>-17.531074571730869</v>
      </c>
      <c r="E646" s="3">
        <v>57.95</v>
      </c>
      <c r="F646" s="3">
        <v>20</v>
      </c>
      <c r="G646" s="3">
        <v>110.77926596111021</v>
      </c>
      <c r="H646" s="4">
        <f t="shared" si="41"/>
        <v>0.21171593239175479</v>
      </c>
      <c r="I646" s="4">
        <f t="shared" si="39"/>
        <v>-20.302710584048384</v>
      </c>
      <c r="J646" s="3">
        <v>57.95</v>
      </c>
      <c r="K646" s="3">
        <v>20</v>
      </c>
      <c r="L646" s="13">
        <f>YEAR(Weekly_Prices[[#This Row],[Date]])</f>
        <v>2015</v>
      </c>
      <c r="M646" s="13">
        <f>MONTH(Weekly_Prices[[#This Row],[Date]])</f>
        <v>10</v>
      </c>
      <c r="N646" s="3" t="str">
        <f>TEXT(Weekly_Prices[[#This Row],[Date]],"MMMM")</f>
        <v>October</v>
      </c>
      <c r="O646" s="3" t="str">
        <f>YEAR(Weekly_Prices[[#This Row],[Date]])&amp;"-"&amp;TEXT(WEEKNUM(Weekly_Prices[[#This Row],[Date]],2),"00")</f>
        <v>2015-42</v>
      </c>
    </row>
    <row r="647" spans="1:15" x14ac:dyDescent="0.35">
      <c r="A647" s="2">
        <v>42296</v>
      </c>
      <c r="B647" s="3">
        <v>109.005456782</v>
      </c>
      <c r="C647" s="4">
        <f t="shared" si="40"/>
        <v>3.7264236633291148E-2</v>
      </c>
      <c r="D647" s="4">
        <f t="shared" si="38"/>
        <v>-16.39803550872044</v>
      </c>
      <c r="E647" s="3">
        <v>57.95</v>
      </c>
      <c r="F647" s="3">
        <v>20</v>
      </c>
      <c r="G647" s="3">
        <v>111.174198272</v>
      </c>
      <c r="H647" s="4">
        <f t="shared" si="41"/>
        <v>0.39493231088978575</v>
      </c>
      <c r="I647" s="4">
        <f t="shared" si="39"/>
        <v>-18.822979554927471</v>
      </c>
      <c r="J647" s="3">
        <v>57.95</v>
      </c>
      <c r="K647" s="3">
        <v>20</v>
      </c>
      <c r="L647" s="13">
        <f>YEAR(Weekly_Prices[[#This Row],[Date]])</f>
        <v>2015</v>
      </c>
      <c r="M647" s="13">
        <f>MONTH(Weekly_Prices[[#This Row],[Date]])</f>
        <v>10</v>
      </c>
      <c r="N647" s="3" t="str">
        <f>TEXT(Weekly_Prices[[#This Row],[Date]],"MMMM")</f>
        <v>October</v>
      </c>
      <c r="O647" s="3" t="str">
        <f>YEAR(Weekly_Prices[[#This Row],[Date]])&amp;"-"&amp;TEXT(WEEKNUM(Weekly_Prices[[#This Row],[Date]],2),"00")</f>
        <v>2015-43</v>
      </c>
    </row>
    <row r="648" spans="1:15" x14ac:dyDescent="0.35">
      <c r="A648" s="2">
        <v>42303</v>
      </c>
      <c r="B648" s="3">
        <v>108.041284</v>
      </c>
      <c r="C648" s="4">
        <f t="shared" si="40"/>
        <v>-0.96417278199999146</v>
      </c>
      <c r="D648" s="4">
        <f t="shared" si="38"/>
        <v>-17.07245142785068</v>
      </c>
      <c r="E648" s="3">
        <v>57.95</v>
      </c>
      <c r="F648" s="3">
        <v>20</v>
      </c>
      <c r="G648" s="3">
        <v>110.60944100000002</v>
      </c>
      <c r="H648" s="4">
        <f t="shared" si="41"/>
        <v>-0.56475727199998005</v>
      </c>
      <c r="I648" s="4">
        <f t="shared" si="39"/>
        <v>-19.107303044360648</v>
      </c>
      <c r="J648" s="3">
        <v>57.95</v>
      </c>
      <c r="K648" s="3">
        <v>20</v>
      </c>
      <c r="L648" s="13">
        <f>YEAR(Weekly_Prices[[#This Row],[Date]])</f>
        <v>2015</v>
      </c>
      <c r="M648" s="13">
        <f>MONTH(Weekly_Prices[[#This Row],[Date]])</f>
        <v>10</v>
      </c>
      <c r="N648" s="3" t="str">
        <f>TEXT(Weekly_Prices[[#This Row],[Date]],"MMMM")</f>
        <v>October</v>
      </c>
      <c r="O648" s="3" t="str">
        <f>YEAR(Weekly_Prices[[#This Row],[Date]])&amp;"-"&amp;TEXT(WEEKNUM(Weekly_Prices[[#This Row],[Date]],2),"00")</f>
        <v>2015-44</v>
      </c>
    </row>
    <row r="649" spans="1:15" x14ac:dyDescent="0.35">
      <c r="A649" s="2">
        <v>42310</v>
      </c>
      <c r="B649" s="3">
        <v>107.20565400000001</v>
      </c>
      <c r="C649" s="4">
        <f t="shared" si="40"/>
        <v>-0.83562999999999477</v>
      </c>
      <c r="D649" s="4">
        <f t="shared" si="38"/>
        <v>-16.733133063547058</v>
      </c>
      <c r="E649" s="3">
        <v>57.95</v>
      </c>
      <c r="F649" s="3">
        <v>20</v>
      </c>
      <c r="G649" s="3">
        <v>110.138251</v>
      </c>
      <c r="H649" s="4">
        <f t="shared" si="41"/>
        <v>-0.47119000000002131</v>
      </c>
      <c r="I649" s="4">
        <f t="shared" si="39"/>
        <v>-18.418848698668057</v>
      </c>
      <c r="J649" s="3">
        <v>57.95</v>
      </c>
      <c r="K649" s="3">
        <v>20</v>
      </c>
      <c r="L649" s="13">
        <f>YEAR(Weekly_Prices[[#This Row],[Date]])</f>
        <v>2015</v>
      </c>
      <c r="M649" s="13">
        <f>MONTH(Weekly_Prices[[#This Row],[Date]])</f>
        <v>11</v>
      </c>
      <c r="N649" s="3" t="str">
        <f>TEXT(Weekly_Prices[[#This Row],[Date]],"MMMM")</f>
        <v>November</v>
      </c>
      <c r="O649" s="3" t="str">
        <f>YEAR(Weekly_Prices[[#This Row],[Date]])&amp;"-"&amp;TEXT(WEEKNUM(Weekly_Prices[[#This Row],[Date]],2),"00")</f>
        <v>2015-45</v>
      </c>
    </row>
    <row r="650" spans="1:15" x14ac:dyDescent="0.35">
      <c r="A650" s="2">
        <v>42317</v>
      </c>
      <c r="B650" s="3">
        <v>107.14104900000001</v>
      </c>
      <c r="C650" s="4">
        <f t="shared" si="40"/>
        <v>-6.4605000000000246E-2</v>
      </c>
      <c r="D650" s="4">
        <f t="shared" si="38"/>
        <v>-15.801881234833729</v>
      </c>
      <c r="E650" s="3">
        <v>57.95</v>
      </c>
      <c r="F650" s="3">
        <v>20</v>
      </c>
      <c r="G650" s="3">
        <v>110.081484</v>
      </c>
      <c r="H650" s="4">
        <f t="shared" si="41"/>
        <v>-5.6766999999993573E-2</v>
      </c>
      <c r="I650" s="4">
        <f t="shared" si="39"/>
        <v>-17.51339914642692</v>
      </c>
      <c r="J650" s="3">
        <v>57.95</v>
      </c>
      <c r="K650" s="3">
        <v>20</v>
      </c>
      <c r="L650" s="13">
        <f>YEAR(Weekly_Prices[[#This Row],[Date]])</f>
        <v>2015</v>
      </c>
      <c r="M650" s="13">
        <f>MONTH(Weekly_Prices[[#This Row],[Date]])</f>
        <v>11</v>
      </c>
      <c r="N650" s="3" t="str">
        <f>TEXT(Weekly_Prices[[#This Row],[Date]],"MMMM")</f>
        <v>November</v>
      </c>
      <c r="O650" s="3" t="str">
        <f>YEAR(Weekly_Prices[[#This Row],[Date]])&amp;"-"&amp;TEXT(WEEKNUM(Weekly_Prices[[#This Row],[Date]],2),"00")</f>
        <v>2015-46</v>
      </c>
    </row>
    <row r="651" spans="1:15" x14ac:dyDescent="0.35">
      <c r="A651" s="2">
        <v>42324</v>
      </c>
      <c r="B651" s="3">
        <v>107.363804</v>
      </c>
      <c r="C651" s="4">
        <f t="shared" si="40"/>
        <v>0.22275499999999226</v>
      </c>
      <c r="D651" s="4">
        <f t="shared" si="38"/>
        <v>-15.137573776036788</v>
      </c>
      <c r="E651" s="3">
        <v>57.95</v>
      </c>
      <c r="F651" s="3">
        <v>20</v>
      </c>
      <c r="G651" s="3">
        <v>110.318226</v>
      </c>
      <c r="H651" s="4">
        <f t="shared" si="41"/>
        <v>0.23674199999999246</v>
      </c>
      <c r="I651" s="4">
        <f t="shared" si="39"/>
        <v>-16.990638602514395</v>
      </c>
      <c r="J651" s="3">
        <v>57.95</v>
      </c>
      <c r="K651" s="3">
        <v>20</v>
      </c>
      <c r="L651" s="13">
        <f>YEAR(Weekly_Prices[[#This Row],[Date]])</f>
        <v>2015</v>
      </c>
      <c r="M651" s="13">
        <f>MONTH(Weekly_Prices[[#This Row],[Date]])</f>
        <v>11</v>
      </c>
      <c r="N651" s="3" t="str">
        <f>TEXT(Weekly_Prices[[#This Row],[Date]],"MMMM")</f>
        <v>November</v>
      </c>
      <c r="O651" s="3" t="str">
        <f>YEAR(Weekly_Prices[[#This Row],[Date]])&amp;"-"&amp;TEXT(WEEKNUM(Weekly_Prices[[#This Row],[Date]],2),"00")</f>
        <v>2015-47</v>
      </c>
    </row>
    <row r="652" spans="1:15" x14ac:dyDescent="0.35">
      <c r="A652" s="2">
        <v>42331</v>
      </c>
      <c r="B652" s="3">
        <v>107.29282900000001</v>
      </c>
      <c r="C652" s="4">
        <f t="shared" si="40"/>
        <v>-7.0974999999990018E-2</v>
      </c>
      <c r="D652" s="4">
        <f t="shared" si="38"/>
        <v>-15.001753151980509</v>
      </c>
      <c r="E652" s="3">
        <v>57.95</v>
      </c>
      <c r="F652" s="3">
        <v>20</v>
      </c>
      <c r="G652" s="3">
        <v>110.26946600000001</v>
      </c>
      <c r="H652" s="4">
        <f t="shared" si="41"/>
        <v>-4.8759999999987258E-2</v>
      </c>
      <c r="I652" s="4">
        <f t="shared" si="39"/>
        <v>-16.897430266751059</v>
      </c>
      <c r="J652" s="3">
        <v>57.95</v>
      </c>
      <c r="K652" s="3">
        <v>20</v>
      </c>
      <c r="L652" s="13">
        <f>YEAR(Weekly_Prices[[#This Row],[Date]])</f>
        <v>2015</v>
      </c>
      <c r="M652" s="13">
        <f>MONTH(Weekly_Prices[[#This Row],[Date]])</f>
        <v>11</v>
      </c>
      <c r="N652" s="3" t="str">
        <f>TEXT(Weekly_Prices[[#This Row],[Date]],"MMMM")</f>
        <v>November</v>
      </c>
      <c r="O652" s="3" t="str">
        <f>YEAR(Weekly_Prices[[#This Row],[Date]])&amp;"-"&amp;TEXT(WEEKNUM(Weekly_Prices[[#This Row],[Date]],2),"00")</f>
        <v>2015-48</v>
      </c>
    </row>
    <row r="653" spans="1:15" x14ac:dyDescent="0.35">
      <c r="A653" s="2">
        <v>42338</v>
      </c>
      <c r="B653" s="3">
        <v>106.96660300000001</v>
      </c>
      <c r="C653" s="4">
        <f t="shared" si="40"/>
        <v>-0.32622600000000546</v>
      </c>
      <c r="D653" s="4">
        <f t="shared" si="38"/>
        <v>-14.211590325968416</v>
      </c>
      <c r="E653" s="3">
        <v>57.95</v>
      </c>
      <c r="F653" s="3">
        <v>20</v>
      </c>
      <c r="G653" s="3">
        <v>110.00639999999999</v>
      </c>
      <c r="H653" s="4">
        <f t="shared" si="41"/>
        <v>-0.26306600000002334</v>
      </c>
      <c r="I653" s="4">
        <f t="shared" si="39"/>
        <v>-16.104966286512393</v>
      </c>
      <c r="J653" s="3">
        <v>57.95</v>
      </c>
      <c r="K653" s="3">
        <v>20</v>
      </c>
      <c r="L653" s="13">
        <f>YEAR(Weekly_Prices[[#This Row],[Date]])</f>
        <v>2015</v>
      </c>
      <c r="M653" s="13">
        <f>MONTH(Weekly_Prices[[#This Row],[Date]])</f>
        <v>11</v>
      </c>
      <c r="N653" s="3" t="str">
        <f>TEXT(Weekly_Prices[[#This Row],[Date]],"MMMM")</f>
        <v>November</v>
      </c>
      <c r="O653" s="3" t="str">
        <f>YEAR(Weekly_Prices[[#This Row],[Date]])&amp;"-"&amp;TEXT(WEEKNUM(Weekly_Prices[[#This Row],[Date]],2),"00")</f>
        <v>2015-49</v>
      </c>
    </row>
    <row r="654" spans="1:15" x14ac:dyDescent="0.35">
      <c r="A654" s="2">
        <v>42345</v>
      </c>
      <c r="B654" s="3">
        <v>106.7497</v>
      </c>
      <c r="C654" s="4">
        <f t="shared" si="40"/>
        <v>-0.21690300000000207</v>
      </c>
      <c r="D654" s="4">
        <f t="shared" si="38"/>
        <v>-13.083448595322167</v>
      </c>
      <c r="E654" s="3">
        <v>57.95</v>
      </c>
      <c r="F654" s="3">
        <v>20</v>
      </c>
      <c r="G654" s="3">
        <v>109.92420999999999</v>
      </c>
      <c r="H654" s="4">
        <f t="shared" si="41"/>
        <v>-8.2189999999997099E-2</v>
      </c>
      <c r="I654" s="4">
        <f t="shared" si="39"/>
        <v>-14.861604911397194</v>
      </c>
      <c r="J654" s="3">
        <v>57.95</v>
      </c>
      <c r="K654" s="3">
        <v>20</v>
      </c>
      <c r="L654" s="13">
        <f>YEAR(Weekly_Prices[[#This Row],[Date]])</f>
        <v>2015</v>
      </c>
      <c r="M654" s="13">
        <f>MONTH(Weekly_Prices[[#This Row],[Date]])</f>
        <v>12</v>
      </c>
      <c r="N654" s="3" t="str">
        <f>TEXT(Weekly_Prices[[#This Row],[Date]],"MMMM")</f>
        <v>December</v>
      </c>
      <c r="O654" s="3" t="str">
        <f>YEAR(Weekly_Prices[[#This Row],[Date]])&amp;"-"&amp;TEXT(WEEKNUM(Weekly_Prices[[#This Row],[Date]],2),"00")</f>
        <v>2015-50</v>
      </c>
    </row>
    <row r="655" spans="1:15" x14ac:dyDescent="0.35">
      <c r="A655" s="2">
        <v>42352</v>
      </c>
      <c r="B655" s="3">
        <v>103.99594500000001</v>
      </c>
      <c r="C655" s="4">
        <f t="shared" si="40"/>
        <v>-2.7537549999999982</v>
      </c>
      <c r="D655" s="4">
        <f t="shared" si="38"/>
        <v>-12.305357020792499</v>
      </c>
      <c r="E655" s="3">
        <v>57.95</v>
      </c>
      <c r="F655" s="3">
        <v>20</v>
      </c>
      <c r="G655" s="3">
        <v>108.07378799999998</v>
      </c>
      <c r="H655" s="4">
        <f t="shared" si="41"/>
        <v>-1.8504220000000089</v>
      </c>
      <c r="I655" s="4">
        <f t="shared" si="39"/>
        <v>-14.356621905823474</v>
      </c>
      <c r="J655" s="3">
        <v>57.95</v>
      </c>
      <c r="K655" s="3">
        <v>20</v>
      </c>
      <c r="L655" s="13">
        <f>YEAR(Weekly_Prices[[#This Row],[Date]])</f>
        <v>2015</v>
      </c>
      <c r="M655" s="13">
        <f>MONTH(Weekly_Prices[[#This Row],[Date]])</f>
        <v>12</v>
      </c>
      <c r="N655" s="3" t="str">
        <f>TEXT(Weekly_Prices[[#This Row],[Date]],"MMMM")</f>
        <v>December</v>
      </c>
      <c r="O655" s="3" t="str">
        <f>YEAR(Weekly_Prices[[#This Row],[Date]])&amp;"-"&amp;TEXT(WEEKNUM(Weekly_Prices[[#This Row],[Date]],2),"00")</f>
        <v>2015-51</v>
      </c>
    </row>
    <row r="656" spans="1:15" x14ac:dyDescent="0.35">
      <c r="A656" s="2">
        <v>42359</v>
      </c>
      <c r="B656" s="3">
        <v>102.33320700000002</v>
      </c>
      <c r="C656" s="4">
        <f t="shared" si="40"/>
        <v>-1.6627379999999903</v>
      </c>
      <c r="D656" s="4">
        <f t="shared" si="38"/>
        <v>-11.329564982614073</v>
      </c>
      <c r="E656" s="3">
        <v>57.95</v>
      </c>
      <c r="F656" s="3">
        <v>20</v>
      </c>
      <c r="G656" s="3">
        <v>107.041449</v>
      </c>
      <c r="H656" s="4">
        <f t="shared" si="41"/>
        <v>-1.032338999999979</v>
      </c>
      <c r="I656" s="4">
        <f t="shared" si="39"/>
        <v>-13.772504549353414</v>
      </c>
      <c r="J656" s="3">
        <v>57.95</v>
      </c>
      <c r="K656" s="3">
        <v>20</v>
      </c>
      <c r="L656" s="13">
        <f>YEAR(Weekly_Prices[[#This Row],[Date]])</f>
        <v>2015</v>
      </c>
      <c r="M656" s="13">
        <f>MONTH(Weekly_Prices[[#This Row],[Date]])</f>
        <v>12</v>
      </c>
      <c r="N656" s="3" t="str">
        <f>TEXT(Weekly_Prices[[#This Row],[Date]],"MMMM")</f>
        <v>December</v>
      </c>
      <c r="O656" s="3" t="str">
        <f>YEAR(Weekly_Prices[[#This Row],[Date]])&amp;"-"&amp;TEXT(WEEKNUM(Weekly_Prices[[#This Row],[Date]],2),"00")</f>
        <v>2015-52</v>
      </c>
    </row>
    <row r="657" spans="1:15" x14ac:dyDescent="0.35">
      <c r="A657" s="2">
        <v>42366</v>
      </c>
      <c r="B657" s="3">
        <v>102.11324400000001</v>
      </c>
      <c r="C657" s="4">
        <f t="shared" si="40"/>
        <v>-0.21996300000000701</v>
      </c>
      <c r="D657" s="4">
        <f t="shared" si="38"/>
        <v>-11.047055048171075</v>
      </c>
      <c r="E657" s="3">
        <v>57.95</v>
      </c>
      <c r="F657" s="3">
        <v>20</v>
      </c>
      <c r="G657" s="3">
        <v>106.43373700000001</v>
      </c>
      <c r="H657" s="4">
        <f t="shared" si="41"/>
        <v>-0.60771199999999226</v>
      </c>
      <c r="I657" s="4">
        <f t="shared" si="39"/>
        <v>-13.929536374349539</v>
      </c>
      <c r="J657" s="3">
        <v>57.95</v>
      </c>
      <c r="K657" s="3">
        <v>20</v>
      </c>
      <c r="L657" s="13">
        <f>YEAR(Weekly_Prices[[#This Row],[Date]])</f>
        <v>2015</v>
      </c>
      <c r="M657" s="13">
        <f>MONTH(Weekly_Prices[[#This Row],[Date]])</f>
        <v>12</v>
      </c>
      <c r="N657" s="3" t="str">
        <f>TEXT(Weekly_Prices[[#This Row],[Date]],"MMMM")</f>
        <v>December</v>
      </c>
      <c r="O657" s="3" t="str">
        <f>YEAR(Weekly_Prices[[#This Row],[Date]])&amp;"-"&amp;TEXT(WEEKNUM(Weekly_Prices[[#This Row],[Date]],2),"00")</f>
        <v>2015-53</v>
      </c>
    </row>
    <row r="658" spans="1:15" x14ac:dyDescent="0.35">
      <c r="A658" s="2">
        <v>42373</v>
      </c>
      <c r="B658" s="3">
        <v>101.99779000000001</v>
      </c>
      <c r="C658" s="4">
        <f t="shared" si="40"/>
        <v>-0.11545399999999972</v>
      </c>
      <c r="D658" s="4">
        <f t="shared" si="38"/>
        <v>-9.0648489651605075</v>
      </c>
      <c r="E658" s="3">
        <v>57.95</v>
      </c>
      <c r="F658" s="3">
        <v>20</v>
      </c>
      <c r="G658" s="3">
        <v>106.32158600000001</v>
      </c>
      <c r="H658" s="4">
        <f t="shared" si="41"/>
        <v>-0.11215099999999723</v>
      </c>
      <c r="I658" s="4">
        <f t="shared" si="39"/>
        <v>-11.611773430957328</v>
      </c>
      <c r="J658" s="3">
        <v>57.95</v>
      </c>
      <c r="K658" s="3">
        <v>20</v>
      </c>
      <c r="L658" s="13">
        <f>YEAR(Weekly_Prices[[#This Row],[Date]])</f>
        <v>2016</v>
      </c>
      <c r="M658" s="13">
        <f>MONTH(Weekly_Prices[[#This Row],[Date]])</f>
        <v>1</v>
      </c>
      <c r="N658" s="3" t="str">
        <f>TEXT(Weekly_Prices[[#This Row],[Date]],"MMMM")</f>
        <v>January</v>
      </c>
      <c r="O658" s="3" t="str">
        <f>YEAR(Weekly_Prices[[#This Row],[Date]])&amp;"-"&amp;TEXT(WEEKNUM(Weekly_Prices[[#This Row],[Date]],2),"00")</f>
        <v>2016-02</v>
      </c>
    </row>
    <row r="659" spans="1:15" x14ac:dyDescent="0.35">
      <c r="A659" s="2">
        <v>42380</v>
      </c>
      <c r="B659" s="3">
        <v>101.88979</v>
      </c>
      <c r="C659" s="4">
        <f t="shared" si="40"/>
        <v>-0.10800000000000409</v>
      </c>
      <c r="D659" s="4">
        <f t="shared" si="38"/>
        <v>-6.9760976725569321</v>
      </c>
      <c r="E659" s="3">
        <v>57.95</v>
      </c>
      <c r="F659" s="3">
        <v>20</v>
      </c>
      <c r="G659" s="3">
        <v>103.41224200000001</v>
      </c>
      <c r="H659" s="4">
        <f t="shared" si="41"/>
        <v>-2.9093440000000044</v>
      </c>
      <c r="I659" s="4">
        <f t="shared" si="39"/>
        <v>-12.808437614281829</v>
      </c>
      <c r="J659" s="3">
        <v>57.95</v>
      </c>
      <c r="K659" s="3">
        <v>20</v>
      </c>
      <c r="L659" s="13">
        <f>YEAR(Weekly_Prices[[#This Row],[Date]])</f>
        <v>2016</v>
      </c>
      <c r="M659" s="13">
        <f>MONTH(Weekly_Prices[[#This Row],[Date]])</f>
        <v>1</v>
      </c>
      <c r="N659" s="3" t="str">
        <f>TEXT(Weekly_Prices[[#This Row],[Date]],"MMMM")</f>
        <v>January</v>
      </c>
      <c r="O659" s="3" t="str">
        <f>YEAR(Weekly_Prices[[#This Row],[Date]])&amp;"-"&amp;TEXT(WEEKNUM(Weekly_Prices[[#This Row],[Date]],2),"00")</f>
        <v>2016-03</v>
      </c>
    </row>
    <row r="660" spans="1:15" x14ac:dyDescent="0.35">
      <c r="A660" s="2">
        <v>42387</v>
      </c>
      <c r="B660" s="3">
        <v>101.804621</v>
      </c>
      <c r="C660" s="4">
        <f t="shared" si="40"/>
        <v>-8.51690000000076E-2</v>
      </c>
      <c r="D660" s="4">
        <f t="shared" si="38"/>
        <v>-5.0211026379236756</v>
      </c>
      <c r="E660" s="3">
        <v>57.95</v>
      </c>
      <c r="F660" s="3">
        <v>20</v>
      </c>
      <c r="G660" s="3">
        <v>102.805314</v>
      </c>
      <c r="H660" s="4">
        <f t="shared" si="41"/>
        <v>-0.60692800000001057</v>
      </c>
      <c r="I660" s="4">
        <f t="shared" si="39"/>
        <v>-11.52234019282902</v>
      </c>
      <c r="J660" s="3">
        <v>57.95</v>
      </c>
      <c r="K660" s="3">
        <v>20</v>
      </c>
      <c r="L660" s="13">
        <f>YEAR(Weekly_Prices[[#This Row],[Date]])</f>
        <v>2016</v>
      </c>
      <c r="M660" s="13">
        <f>MONTH(Weekly_Prices[[#This Row],[Date]])</f>
        <v>1</v>
      </c>
      <c r="N660" s="3" t="str">
        <f>TEXT(Weekly_Prices[[#This Row],[Date]],"MMMM")</f>
        <v>January</v>
      </c>
      <c r="O660" s="3" t="str">
        <f>YEAR(Weekly_Prices[[#This Row],[Date]])&amp;"-"&amp;TEXT(WEEKNUM(Weekly_Prices[[#This Row],[Date]],2),"00")</f>
        <v>2016-04</v>
      </c>
    </row>
    <row r="661" spans="1:15" x14ac:dyDescent="0.35">
      <c r="A661" s="2">
        <v>42394</v>
      </c>
      <c r="B661" s="3">
        <v>101.42351000000001</v>
      </c>
      <c r="C661" s="4">
        <f t="shared" si="40"/>
        <v>-0.38111099999998999</v>
      </c>
      <c r="D661" s="4">
        <f t="shared" si="38"/>
        <v>-4.8963800772099688</v>
      </c>
      <c r="E661" s="3">
        <v>57.95</v>
      </c>
      <c r="F661" s="3">
        <v>20</v>
      </c>
      <c r="G661" s="3">
        <v>101.53855</v>
      </c>
      <c r="H661" s="4">
        <f t="shared" si="41"/>
        <v>-1.2667639999999949</v>
      </c>
      <c r="I661" s="4">
        <f t="shared" si="39"/>
        <v>-12.221853587211839</v>
      </c>
      <c r="J661" s="3">
        <v>57.95</v>
      </c>
      <c r="K661" s="3">
        <v>20</v>
      </c>
      <c r="L661" s="13">
        <f>YEAR(Weekly_Prices[[#This Row],[Date]])</f>
        <v>2016</v>
      </c>
      <c r="M661" s="13">
        <f>MONTH(Weekly_Prices[[#This Row],[Date]])</f>
        <v>1</v>
      </c>
      <c r="N661" s="3" t="str">
        <f>TEXT(Weekly_Prices[[#This Row],[Date]],"MMMM")</f>
        <v>January</v>
      </c>
      <c r="O661" s="3" t="str">
        <f>YEAR(Weekly_Prices[[#This Row],[Date]])&amp;"-"&amp;TEXT(WEEKNUM(Weekly_Prices[[#This Row],[Date]],2),"00")</f>
        <v>2016-05</v>
      </c>
    </row>
    <row r="662" spans="1:15" x14ac:dyDescent="0.35">
      <c r="A662" s="2">
        <v>42401</v>
      </c>
      <c r="B662" s="3">
        <v>101.360747</v>
      </c>
      <c r="C662" s="4">
        <f t="shared" si="40"/>
        <v>-6.2763000000003899E-2</v>
      </c>
      <c r="D662" s="4">
        <f t="shared" si="38"/>
        <v>-4.6815383798164305</v>
      </c>
      <c r="E662" s="3">
        <v>57.95</v>
      </c>
      <c r="F662" s="3">
        <v>20</v>
      </c>
      <c r="G662" s="3">
        <v>100.83594000000001</v>
      </c>
      <c r="H662" s="4">
        <f t="shared" si="41"/>
        <v>-0.70260999999999285</v>
      </c>
      <c r="I662" s="4">
        <f t="shared" si="39"/>
        <v>-12.777162505563297</v>
      </c>
      <c r="J662" s="3">
        <v>57.95</v>
      </c>
      <c r="K662" s="3">
        <v>20</v>
      </c>
      <c r="L662" s="13">
        <f>YEAR(Weekly_Prices[[#This Row],[Date]])</f>
        <v>2016</v>
      </c>
      <c r="M662" s="13">
        <f>MONTH(Weekly_Prices[[#This Row],[Date]])</f>
        <v>2</v>
      </c>
      <c r="N662" s="3" t="str">
        <f>TEXT(Weekly_Prices[[#This Row],[Date]],"MMMM")</f>
        <v>February</v>
      </c>
      <c r="O662" s="3" t="str">
        <f>YEAR(Weekly_Prices[[#This Row],[Date]])&amp;"-"&amp;TEXT(WEEKNUM(Weekly_Prices[[#This Row],[Date]],2),"00")</f>
        <v>2016-06</v>
      </c>
    </row>
    <row r="663" spans="1:15" x14ac:dyDescent="0.35">
      <c r="A663" s="2">
        <v>42408</v>
      </c>
      <c r="B663" s="3">
        <v>101.50899000000001</v>
      </c>
      <c r="C663" s="4">
        <f t="shared" si="40"/>
        <v>0.1482430000000079</v>
      </c>
      <c r="D663" s="4">
        <f t="shared" si="38"/>
        <v>-4.845804583485446</v>
      </c>
      <c r="E663" s="3">
        <v>57.95</v>
      </c>
      <c r="F663" s="3">
        <v>20</v>
      </c>
      <c r="G663" s="3">
        <v>101.138346</v>
      </c>
      <c r="H663" s="4">
        <f t="shared" si="41"/>
        <v>0.30240599999999063</v>
      </c>
      <c r="I663" s="4">
        <f t="shared" si="39"/>
        <v>-12.771459227026909</v>
      </c>
      <c r="J663" s="3">
        <v>57.95</v>
      </c>
      <c r="K663" s="3">
        <v>20</v>
      </c>
      <c r="L663" s="13">
        <f>YEAR(Weekly_Prices[[#This Row],[Date]])</f>
        <v>2016</v>
      </c>
      <c r="M663" s="13">
        <f>MONTH(Weekly_Prices[[#This Row],[Date]])</f>
        <v>2</v>
      </c>
      <c r="N663" s="3" t="str">
        <f>TEXT(Weekly_Prices[[#This Row],[Date]],"MMMM")</f>
        <v>February</v>
      </c>
      <c r="O663" s="3" t="str">
        <f>YEAR(Weekly_Prices[[#This Row],[Date]])&amp;"-"&amp;TEXT(WEEKNUM(Weekly_Prices[[#This Row],[Date]],2),"00")</f>
        <v>2016-07</v>
      </c>
    </row>
    <row r="664" spans="1:15" x14ac:dyDescent="0.35">
      <c r="A664" s="2">
        <v>42415</v>
      </c>
      <c r="B664" s="3">
        <v>101.45071200000001</v>
      </c>
      <c r="C664" s="4">
        <f t="shared" si="40"/>
        <v>-5.8278000000001384E-2</v>
      </c>
      <c r="D664" s="4">
        <f t="shared" si="38"/>
        <v>-5.8093706429378074</v>
      </c>
      <c r="E664" s="3">
        <v>57.95</v>
      </c>
      <c r="F664" s="3">
        <v>20</v>
      </c>
      <c r="G664" s="3">
        <v>101.214269</v>
      </c>
      <c r="H664" s="4">
        <f t="shared" si="41"/>
        <v>7.5923000000003071E-2</v>
      </c>
      <c r="I664" s="4">
        <f t="shared" si="39"/>
        <v>-13.511344519043831</v>
      </c>
      <c r="J664" s="3">
        <v>57.95</v>
      </c>
      <c r="K664" s="3">
        <v>20</v>
      </c>
      <c r="L664" s="13">
        <f>YEAR(Weekly_Prices[[#This Row],[Date]])</f>
        <v>2016</v>
      </c>
      <c r="M664" s="13">
        <f>MONTH(Weekly_Prices[[#This Row],[Date]])</f>
        <v>2</v>
      </c>
      <c r="N664" s="3" t="str">
        <f>TEXT(Weekly_Prices[[#This Row],[Date]],"MMMM")</f>
        <v>February</v>
      </c>
      <c r="O664" s="3" t="str">
        <f>YEAR(Weekly_Prices[[#This Row],[Date]])&amp;"-"&amp;TEXT(WEEKNUM(Weekly_Prices[[#This Row],[Date]],2),"00")</f>
        <v>2016-08</v>
      </c>
    </row>
    <row r="665" spans="1:15" x14ac:dyDescent="0.35">
      <c r="A665" s="2">
        <v>42422</v>
      </c>
      <c r="B665" s="3">
        <v>101.390945</v>
      </c>
      <c r="C665" s="4">
        <f t="shared" si="40"/>
        <v>-5.9767000000007897E-2</v>
      </c>
      <c r="D665" s="4">
        <f t="shared" si="38"/>
        <v>-6.9530612399696707</v>
      </c>
      <c r="E665" s="3">
        <v>57.95</v>
      </c>
      <c r="F665" s="3">
        <v>20</v>
      </c>
      <c r="G665" s="3">
        <v>101.126903</v>
      </c>
      <c r="H665" s="4">
        <f t="shared" si="41"/>
        <v>-8.7366000000002941E-2</v>
      </c>
      <c r="I665" s="4">
        <f t="shared" si="39"/>
        <v>-14.61160657400292</v>
      </c>
      <c r="J665" s="3">
        <v>57.95</v>
      </c>
      <c r="K665" s="3">
        <v>20</v>
      </c>
      <c r="L665" s="13">
        <f>YEAR(Weekly_Prices[[#This Row],[Date]])</f>
        <v>2016</v>
      </c>
      <c r="M665" s="13">
        <f>MONTH(Weekly_Prices[[#This Row],[Date]])</f>
        <v>2</v>
      </c>
      <c r="N665" s="3" t="str">
        <f>TEXT(Weekly_Prices[[#This Row],[Date]],"MMMM")</f>
        <v>February</v>
      </c>
      <c r="O665" s="3" t="str">
        <f>YEAR(Weekly_Prices[[#This Row],[Date]])&amp;"-"&amp;TEXT(WEEKNUM(Weekly_Prices[[#This Row],[Date]],2),"00")</f>
        <v>2016-09</v>
      </c>
    </row>
    <row r="666" spans="1:15" x14ac:dyDescent="0.35">
      <c r="A666" s="2">
        <v>42429</v>
      </c>
      <c r="B666" s="3">
        <v>101.423439</v>
      </c>
      <c r="C666" s="4">
        <f t="shared" si="40"/>
        <v>3.2493999999999801E-2</v>
      </c>
      <c r="D666" s="4">
        <f t="shared" si="38"/>
        <v>-7.7757189062650696</v>
      </c>
      <c r="E666" s="3">
        <v>57.95</v>
      </c>
      <c r="F666" s="3">
        <v>20</v>
      </c>
      <c r="G666" s="3">
        <v>101.38040100000001</v>
      </c>
      <c r="H666" s="4">
        <f t="shared" si="41"/>
        <v>0.25349800000000755</v>
      </c>
      <c r="I666" s="4">
        <f t="shared" si="39"/>
        <v>-15.255075735609495</v>
      </c>
      <c r="J666" s="3">
        <v>57.95</v>
      </c>
      <c r="K666" s="3">
        <v>20</v>
      </c>
      <c r="L666" s="13">
        <f>YEAR(Weekly_Prices[[#This Row],[Date]])</f>
        <v>2016</v>
      </c>
      <c r="M666" s="13">
        <f>MONTH(Weekly_Prices[[#This Row],[Date]])</f>
        <v>2</v>
      </c>
      <c r="N666" s="3" t="str">
        <f>TEXT(Weekly_Prices[[#This Row],[Date]],"MMMM")</f>
        <v>February</v>
      </c>
      <c r="O666" s="3" t="str">
        <f>YEAR(Weekly_Prices[[#This Row],[Date]])&amp;"-"&amp;TEXT(WEEKNUM(Weekly_Prices[[#This Row],[Date]],2),"00")</f>
        <v>2016-10</v>
      </c>
    </row>
    <row r="667" spans="1:15" x14ac:dyDescent="0.35">
      <c r="A667" s="2">
        <v>42436</v>
      </c>
      <c r="B667" s="3">
        <v>101.46343900000001</v>
      </c>
      <c r="C667" s="4">
        <f t="shared" si="40"/>
        <v>4.0000000000006253E-2</v>
      </c>
      <c r="D667" s="4">
        <f t="shared" si="38"/>
        <v>-8.6074881779093459</v>
      </c>
      <c r="E667" s="3">
        <v>57.95</v>
      </c>
      <c r="F667" s="3">
        <v>20</v>
      </c>
      <c r="G667" s="3">
        <v>101.674595</v>
      </c>
      <c r="H667" s="4">
        <f t="shared" si="41"/>
        <v>0.2941939999999903</v>
      </c>
      <c r="I667" s="4">
        <f t="shared" si="39"/>
        <v>-15.835795385012915</v>
      </c>
      <c r="J667" s="3">
        <v>57.95</v>
      </c>
      <c r="K667" s="3">
        <v>20</v>
      </c>
      <c r="L667" s="13">
        <f>YEAR(Weekly_Prices[[#This Row],[Date]])</f>
        <v>2016</v>
      </c>
      <c r="M667" s="13">
        <f>MONTH(Weekly_Prices[[#This Row],[Date]])</f>
        <v>3</v>
      </c>
      <c r="N667" s="3" t="str">
        <f>TEXT(Weekly_Prices[[#This Row],[Date]],"MMMM")</f>
        <v>March</v>
      </c>
      <c r="O667" s="3" t="str">
        <f>YEAR(Weekly_Prices[[#This Row],[Date]])&amp;"-"&amp;TEXT(WEEKNUM(Weekly_Prices[[#This Row],[Date]],2),"00")</f>
        <v>2016-11</v>
      </c>
    </row>
    <row r="668" spans="1:15" x14ac:dyDescent="0.35">
      <c r="A668" s="2">
        <v>42443</v>
      </c>
      <c r="B668" s="3">
        <v>101.70669799999999</v>
      </c>
      <c r="C668" s="4">
        <f t="shared" si="40"/>
        <v>0.24325899999998057</v>
      </c>
      <c r="D668" s="4">
        <f t="shared" si="38"/>
        <v>-9.3301161234437018</v>
      </c>
      <c r="E668" s="3">
        <v>57.95</v>
      </c>
      <c r="F668" s="3">
        <v>20</v>
      </c>
      <c r="G668" s="3">
        <v>102.52036000000001</v>
      </c>
      <c r="H668" s="4">
        <f t="shared" si="41"/>
        <v>0.84576500000001431</v>
      </c>
      <c r="I668" s="4">
        <f t="shared" si="39"/>
        <v>-15.743312150659747</v>
      </c>
      <c r="J668" s="3">
        <v>57.95</v>
      </c>
      <c r="K668" s="3">
        <v>20</v>
      </c>
      <c r="L668" s="13">
        <f>YEAR(Weekly_Prices[[#This Row],[Date]])</f>
        <v>2016</v>
      </c>
      <c r="M668" s="13">
        <f>MONTH(Weekly_Prices[[#This Row],[Date]])</f>
        <v>3</v>
      </c>
      <c r="N668" s="3" t="str">
        <f>TEXT(Weekly_Prices[[#This Row],[Date]],"MMMM")</f>
        <v>March</v>
      </c>
      <c r="O668" s="3" t="str">
        <f>YEAR(Weekly_Prices[[#This Row],[Date]])&amp;"-"&amp;TEXT(WEEKNUM(Weekly_Prices[[#This Row],[Date]],2),"00")</f>
        <v>2016-12</v>
      </c>
    </row>
    <row r="669" spans="1:15" x14ac:dyDescent="0.35">
      <c r="A669" s="2">
        <v>42450</v>
      </c>
      <c r="B669" s="3">
        <v>102.579706</v>
      </c>
      <c r="C669" s="4">
        <f t="shared" si="40"/>
        <v>0.87300800000001288</v>
      </c>
      <c r="D669" s="4">
        <f t="shared" si="38"/>
        <v>-9.0676768102703988</v>
      </c>
      <c r="E669" s="3">
        <v>57.95</v>
      </c>
      <c r="F669" s="3">
        <v>20</v>
      </c>
      <c r="G669" s="3">
        <v>103.63978800000001</v>
      </c>
      <c r="H669" s="4">
        <f t="shared" si="41"/>
        <v>1.1194279999999992</v>
      </c>
      <c r="I669" s="4">
        <f t="shared" si="39"/>
        <v>-15.070491658787006</v>
      </c>
      <c r="J669" s="3">
        <v>57.95</v>
      </c>
      <c r="K669" s="3">
        <v>20</v>
      </c>
      <c r="L669" s="13">
        <f>YEAR(Weekly_Prices[[#This Row],[Date]])</f>
        <v>2016</v>
      </c>
      <c r="M669" s="13">
        <f>MONTH(Weekly_Prices[[#This Row],[Date]])</f>
        <v>3</v>
      </c>
      <c r="N669" s="3" t="str">
        <f>TEXT(Weekly_Prices[[#This Row],[Date]],"MMMM")</f>
        <v>March</v>
      </c>
      <c r="O669" s="3" t="str">
        <f>YEAR(Weekly_Prices[[#This Row],[Date]])&amp;"-"&amp;TEXT(WEEKNUM(Weekly_Prices[[#This Row],[Date]],2),"00")</f>
        <v>2016-13</v>
      </c>
    </row>
    <row r="670" spans="1:15" x14ac:dyDescent="0.35">
      <c r="A670" s="2">
        <v>42457</v>
      </c>
      <c r="B670" s="3">
        <v>103.401436</v>
      </c>
      <c r="C670" s="4">
        <f t="shared" si="40"/>
        <v>0.82173000000000229</v>
      </c>
      <c r="D670" s="4">
        <f t="shared" si="38"/>
        <v>-8.6591014419842338</v>
      </c>
      <c r="E670" s="3">
        <v>57.95</v>
      </c>
      <c r="F670" s="3">
        <v>20</v>
      </c>
      <c r="G670" s="3">
        <v>104.39663200000001</v>
      </c>
      <c r="H670" s="4">
        <f t="shared" si="41"/>
        <v>0.75684400000000096</v>
      </c>
      <c r="I670" s="4">
        <f t="shared" si="39"/>
        <v>-14.575196704972853</v>
      </c>
      <c r="J670" s="3">
        <v>57.95</v>
      </c>
      <c r="K670" s="3">
        <v>20</v>
      </c>
      <c r="L670" s="13">
        <f>YEAR(Weekly_Prices[[#This Row],[Date]])</f>
        <v>2016</v>
      </c>
      <c r="M670" s="13">
        <f>MONTH(Weekly_Prices[[#This Row],[Date]])</f>
        <v>3</v>
      </c>
      <c r="N670" s="3" t="str">
        <f>TEXT(Weekly_Prices[[#This Row],[Date]],"MMMM")</f>
        <v>March</v>
      </c>
      <c r="O670" s="3" t="str">
        <f>YEAR(Weekly_Prices[[#This Row],[Date]])&amp;"-"&amp;TEXT(WEEKNUM(Weekly_Prices[[#This Row],[Date]],2),"00")</f>
        <v>2016-14</v>
      </c>
    </row>
    <row r="671" spans="1:15" x14ac:dyDescent="0.35">
      <c r="A671" s="2">
        <v>42464</v>
      </c>
      <c r="B671" s="3">
        <v>104.509028</v>
      </c>
      <c r="C671" s="4">
        <f t="shared" si="40"/>
        <v>1.1075919999999968</v>
      </c>
      <c r="D671" s="4">
        <f t="shared" si="38"/>
        <v>-7.8652917084815215</v>
      </c>
      <c r="E671" s="3">
        <v>57.95</v>
      </c>
      <c r="F671" s="3">
        <v>20</v>
      </c>
      <c r="G671" s="3">
        <v>105.315973</v>
      </c>
      <c r="H671" s="4">
        <f t="shared" si="41"/>
        <v>0.91934099999998864</v>
      </c>
      <c r="I671" s="4">
        <f t="shared" si="39"/>
        <v>-13.77113966078592</v>
      </c>
      <c r="J671" s="3">
        <v>57.95</v>
      </c>
      <c r="K671" s="3">
        <v>20</v>
      </c>
      <c r="L671" s="13">
        <f>YEAR(Weekly_Prices[[#This Row],[Date]])</f>
        <v>2016</v>
      </c>
      <c r="M671" s="13">
        <f>MONTH(Weekly_Prices[[#This Row],[Date]])</f>
        <v>4</v>
      </c>
      <c r="N671" s="3" t="str">
        <f>TEXT(Weekly_Prices[[#This Row],[Date]],"MMMM")</f>
        <v>April</v>
      </c>
      <c r="O671" s="3" t="str">
        <f>YEAR(Weekly_Prices[[#This Row],[Date]])&amp;"-"&amp;TEXT(WEEKNUM(Weekly_Prices[[#This Row],[Date]],2),"00")</f>
        <v>2016-15</v>
      </c>
    </row>
    <row r="672" spans="1:15" x14ac:dyDescent="0.35">
      <c r="A672" s="2">
        <v>42471</v>
      </c>
      <c r="B672" s="3">
        <v>105.39057399999999</v>
      </c>
      <c r="C672" s="4">
        <f t="shared" si="40"/>
        <v>0.88154599999998595</v>
      </c>
      <c r="D672" s="4">
        <f t="shared" si="38"/>
        <v>-7.1314839960699743</v>
      </c>
      <c r="E672" s="3">
        <v>57.95</v>
      </c>
      <c r="F672" s="3">
        <v>20</v>
      </c>
      <c r="G672" s="3">
        <v>105.978684</v>
      </c>
      <c r="H672" s="4">
        <f t="shared" si="41"/>
        <v>0.6627110000000016</v>
      </c>
      <c r="I672" s="4">
        <f t="shared" si="39"/>
        <v>-13.167424416787085</v>
      </c>
      <c r="J672" s="3">
        <v>57.95</v>
      </c>
      <c r="K672" s="3">
        <v>20</v>
      </c>
      <c r="L672" s="13">
        <f>YEAR(Weekly_Prices[[#This Row],[Date]])</f>
        <v>2016</v>
      </c>
      <c r="M672" s="13">
        <f>MONTH(Weekly_Prices[[#This Row],[Date]])</f>
        <v>4</v>
      </c>
      <c r="N672" s="3" t="str">
        <f>TEXT(Weekly_Prices[[#This Row],[Date]],"MMMM")</f>
        <v>April</v>
      </c>
      <c r="O672" s="3" t="str">
        <f>YEAR(Weekly_Prices[[#This Row],[Date]])&amp;"-"&amp;TEXT(WEEKNUM(Weekly_Prices[[#This Row],[Date]],2),"00")</f>
        <v>2016-16</v>
      </c>
    </row>
    <row r="673" spans="1:15" x14ac:dyDescent="0.35">
      <c r="A673" s="2">
        <v>42478</v>
      </c>
      <c r="B673" s="3">
        <v>106.40671910099999</v>
      </c>
      <c r="C673" s="4">
        <f t="shared" si="40"/>
        <v>1.0161451010000064</v>
      </c>
      <c r="D673" s="4">
        <f t="shared" si="38"/>
        <v>-6.4650088781002495</v>
      </c>
      <c r="E673" s="3">
        <v>57.95</v>
      </c>
      <c r="F673" s="3">
        <v>20</v>
      </c>
      <c r="G673" s="3">
        <v>106.97005569599999</v>
      </c>
      <c r="H673" s="4">
        <f t="shared" si="41"/>
        <v>0.99137169599998742</v>
      </c>
      <c r="I673" s="4">
        <f t="shared" si="39"/>
        <v>-12.168665002585143</v>
      </c>
      <c r="J673" s="3">
        <v>57.95</v>
      </c>
      <c r="K673" s="3">
        <v>20</v>
      </c>
      <c r="L673" s="13">
        <f>YEAR(Weekly_Prices[[#This Row],[Date]])</f>
        <v>2016</v>
      </c>
      <c r="M673" s="13">
        <f>MONTH(Weekly_Prices[[#This Row],[Date]])</f>
        <v>4</v>
      </c>
      <c r="N673" s="3" t="str">
        <f>TEXT(Weekly_Prices[[#This Row],[Date]],"MMMM")</f>
        <v>April</v>
      </c>
      <c r="O673" s="3" t="str">
        <f>YEAR(Weekly_Prices[[#This Row],[Date]])&amp;"-"&amp;TEXT(WEEKNUM(Weekly_Prices[[#This Row],[Date]],2),"00")</f>
        <v>2016-17</v>
      </c>
    </row>
    <row r="674" spans="1:15" x14ac:dyDescent="0.35">
      <c r="A674" s="2">
        <v>42485</v>
      </c>
      <c r="B674" s="3">
        <v>107.141178</v>
      </c>
      <c r="C674" s="4">
        <f t="shared" si="40"/>
        <v>0.73445889900000338</v>
      </c>
      <c r="D674" s="4">
        <f t="shared" si="38"/>
        <v>-6.4096564218597223</v>
      </c>
      <c r="E674" s="3">
        <v>57.95</v>
      </c>
      <c r="F674" s="3">
        <v>20</v>
      </c>
      <c r="G674" s="3">
        <v>107.671722</v>
      </c>
      <c r="H674" s="4">
        <f t="shared" si="41"/>
        <v>0.70166630400001395</v>
      </c>
      <c r="I674" s="4">
        <f t="shared" si="39"/>
        <v>-11.905584316596887</v>
      </c>
      <c r="J674" s="3">
        <v>57.95</v>
      </c>
      <c r="K674" s="3">
        <v>20</v>
      </c>
      <c r="L674" s="13">
        <f>YEAR(Weekly_Prices[[#This Row],[Date]])</f>
        <v>2016</v>
      </c>
      <c r="M674" s="13">
        <f>MONTH(Weekly_Prices[[#This Row],[Date]])</f>
        <v>4</v>
      </c>
      <c r="N674" s="3" t="str">
        <f>TEXT(Weekly_Prices[[#This Row],[Date]],"MMMM")</f>
        <v>April</v>
      </c>
      <c r="O674" s="3" t="str">
        <f>YEAR(Weekly_Prices[[#This Row],[Date]])&amp;"-"&amp;TEXT(WEEKNUM(Weekly_Prices[[#This Row],[Date]],2),"00")</f>
        <v>2016-18</v>
      </c>
    </row>
    <row r="675" spans="1:15" x14ac:dyDescent="0.35">
      <c r="A675" s="2">
        <v>42492</v>
      </c>
      <c r="B675" s="3">
        <v>107.81764700000001</v>
      </c>
      <c r="C675" s="4">
        <f t="shared" si="40"/>
        <v>0.67646900000001153</v>
      </c>
      <c r="D675" s="4">
        <f t="shared" si="38"/>
        <v>-6.4528391374351344</v>
      </c>
      <c r="E675" s="3">
        <v>57.95</v>
      </c>
      <c r="F675" s="3">
        <v>20</v>
      </c>
      <c r="G675" s="3">
        <v>108.57853</v>
      </c>
      <c r="H675" s="4">
        <f t="shared" si="41"/>
        <v>0.90680799999999806</v>
      </c>
      <c r="I675" s="4">
        <f t="shared" si="39"/>
        <v>-11.417912867500249</v>
      </c>
      <c r="J675" s="3">
        <v>57.95</v>
      </c>
      <c r="K675" s="3">
        <v>20</v>
      </c>
      <c r="L675" s="13">
        <f>YEAR(Weekly_Prices[[#This Row],[Date]])</f>
        <v>2016</v>
      </c>
      <c r="M675" s="13">
        <f>MONTH(Weekly_Prices[[#This Row],[Date]])</f>
        <v>5</v>
      </c>
      <c r="N675" s="3" t="str">
        <f>TEXT(Weekly_Prices[[#This Row],[Date]],"MMMM")</f>
        <v>May</v>
      </c>
      <c r="O675" s="3" t="str">
        <f>YEAR(Weekly_Prices[[#This Row],[Date]])&amp;"-"&amp;TEXT(WEEKNUM(Weekly_Prices[[#This Row],[Date]],2),"00")</f>
        <v>2016-19</v>
      </c>
    </row>
    <row r="676" spans="1:15" x14ac:dyDescent="0.35">
      <c r="A676" s="2">
        <v>42499</v>
      </c>
      <c r="B676" s="3">
        <v>108.190747</v>
      </c>
      <c r="C676" s="4">
        <f t="shared" si="40"/>
        <v>0.37309999999999377</v>
      </c>
      <c r="D676" s="4">
        <f t="shared" si="38"/>
        <v>-6.9073370114439285</v>
      </c>
      <c r="E676" s="3">
        <v>57.95</v>
      </c>
      <c r="F676" s="3">
        <v>20</v>
      </c>
      <c r="G676" s="3">
        <v>109.003659</v>
      </c>
      <c r="H676" s="4">
        <f t="shared" si="41"/>
        <v>0.42512899999999831</v>
      </c>
      <c r="I676" s="4">
        <f t="shared" si="39"/>
        <v>-11.589688348394674</v>
      </c>
      <c r="J676" s="3">
        <v>57.95</v>
      </c>
      <c r="K676" s="3">
        <v>20</v>
      </c>
      <c r="L676" s="13">
        <f>YEAR(Weekly_Prices[[#This Row],[Date]])</f>
        <v>2016</v>
      </c>
      <c r="M676" s="13">
        <f>MONTH(Weekly_Prices[[#This Row],[Date]])</f>
        <v>5</v>
      </c>
      <c r="N676" s="3" t="str">
        <f>TEXT(Weekly_Prices[[#This Row],[Date]],"MMMM")</f>
        <v>May</v>
      </c>
      <c r="O676" s="3" t="str">
        <f>YEAR(Weekly_Prices[[#This Row],[Date]])&amp;"-"&amp;TEXT(WEEKNUM(Weekly_Prices[[#This Row],[Date]],2),"00")</f>
        <v>2016-20</v>
      </c>
    </row>
    <row r="677" spans="1:15" x14ac:dyDescent="0.35">
      <c r="A677" s="2">
        <v>42506</v>
      </c>
      <c r="B677" s="3">
        <v>108.528187</v>
      </c>
      <c r="C677" s="4">
        <f t="shared" si="40"/>
        <v>0.33744000000000085</v>
      </c>
      <c r="D677" s="4">
        <f t="shared" si="38"/>
        <v>-7.2110566068781736</v>
      </c>
      <c r="E677" s="3">
        <v>57.95</v>
      </c>
      <c r="F677" s="3">
        <v>20</v>
      </c>
      <c r="G677" s="3">
        <v>109.296234</v>
      </c>
      <c r="H677" s="4">
        <f t="shared" si="41"/>
        <v>0.29257499999999936</v>
      </c>
      <c r="I677" s="4">
        <f t="shared" si="39"/>
        <v>-11.740145133175673</v>
      </c>
      <c r="J677" s="3">
        <v>57.95</v>
      </c>
      <c r="K677" s="3">
        <v>20</v>
      </c>
      <c r="L677" s="13">
        <f>YEAR(Weekly_Prices[[#This Row],[Date]])</f>
        <v>2016</v>
      </c>
      <c r="M677" s="13">
        <f>MONTH(Weekly_Prices[[#This Row],[Date]])</f>
        <v>5</v>
      </c>
      <c r="N677" s="3" t="str">
        <f>TEXT(Weekly_Prices[[#This Row],[Date]],"MMMM")</f>
        <v>May</v>
      </c>
      <c r="O677" s="3" t="str">
        <f>YEAR(Weekly_Prices[[#This Row],[Date]])&amp;"-"&amp;TEXT(WEEKNUM(Weekly_Prices[[#This Row],[Date]],2),"00")</f>
        <v>2016-21</v>
      </c>
    </row>
    <row r="678" spans="1:15" x14ac:dyDescent="0.35">
      <c r="A678" s="2">
        <v>42513</v>
      </c>
      <c r="B678" s="3">
        <v>109.12303700000001</v>
      </c>
      <c r="C678" s="4">
        <f t="shared" si="40"/>
        <v>0.59485000000000809</v>
      </c>
      <c r="D678" s="4">
        <f t="shared" si="38"/>
        <v>-6.9013551115824754</v>
      </c>
      <c r="E678" s="3">
        <v>57.95</v>
      </c>
      <c r="F678" s="3">
        <v>20</v>
      </c>
      <c r="G678" s="3">
        <v>109.90493799999999</v>
      </c>
      <c r="H678" s="4">
        <f t="shared" si="41"/>
        <v>0.60870399999998881</v>
      </c>
      <c r="I678" s="4">
        <f t="shared" si="39"/>
        <v>-11.414017916057276</v>
      </c>
      <c r="J678" s="3">
        <v>57.95</v>
      </c>
      <c r="K678" s="3">
        <v>20</v>
      </c>
      <c r="L678" s="13">
        <f>YEAR(Weekly_Prices[[#This Row],[Date]])</f>
        <v>2016</v>
      </c>
      <c r="M678" s="13">
        <f>MONTH(Weekly_Prices[[#This Row],[Date]])</f>
        <v>5</v>
      </c>
      <c r="N678" s="3" t="str">
        <f>TEXT(Weekly_Prices[[#This Row],[Date]],"MMMM")</f>
        <v>May</v>
      </c>
      <c r="O678" s="3" t="str">
        <f>YEAR(Weekly_Prices[[#This Row],[Date]])&amp;"-"&amp;TEXT(WEEKNUM(Weekly_Prices[[#This Row],[Date]],2),"00")</f>
        <v>2016-22</v>
      </c>
    </row>
    <row r="679" spans="1:15" x14ac:dyDescent="0.35">
      <c r="A679" s="2">
        <v>42520</v>
      </c>
      <c r="B679" s="3">
        <v>109.78612604199999</v>
      </c>
      <c r="C679" s="4">
        <f t="shared" si="40"/>
        <v>0.66308904199998153</v>
      </c>
      <c r="D679" s="4">
        <f t="shared" si="38"/>
        <v>-6.3452698149282156</v>
      </c>
      <c r="E679" s="3">
        <v>57.95</v>
      </c>
      <c r="F679" s="3">
        <v>20</v>
      </c>
      <c r="G679" s="3">
        <v>110.699954784</v>
      </c>
      <c r="H679" s="4">
        <f t="shared" si="41"/>
        <v>0.79501678400001197</v>
      </c>
      <c r="I679" s="4">
        <f t="shared" si="39"/>
        <v>-10.60049533342648</v>
      </c>
      <c r="J679" s="3">
        <v>57.95</v>
      </c>
      <c r="K679" s="3">
        <v>20</v>
      </c>
      <c r="L679" s="13">
        <f>YEAR(Weekly_Prices[[#This Row],[Date]])</f>
        <v>2016</v>
      </c>
      <c r="M679" s="13">
        <f>MONTH(Weekly_Prices[[#This Row],[Date]])</f>
        <v>5</v>
      </c>
      <c r="N679" s="3" t="str">
        <f>TEXT(Weekly_Prices[[#This Row],[Date]],"MMMM")</f>
        <v>May</v>
      </c>
      <c r="O679" s="3" t="str">
        <f>YEAR(Weekly_Prices[[#This Row],[Date]])&amp;"-"&amp;TEXT(WEEKNUM(Weekly_Prices[[#This Row],[Date]],2),"00")</f>
        <v>2016-23</v>
      </c>
    </row>
    <row r="680" spans="1:15" x14ac:dyDescent="0.35">
      <c r="A680" s="2">
        <v>42527</v>
      </c>
      <c r="B680" s="3">
        <v>110.402252706</v>
      </c>
      <c r="C680" s="4">
        <f t="shared" si="40"/>
        <v>0.61612666400000649</v>
      </c>
      <c r="D680" s="4">
        <f t="shared" si="38"/>
        <v>-5.8531422821198618</v>
      </c>
      <c r="E680" s="3">
        <v>57.95</v>
      </c>
      <c r="F680" s="3">
        <v>20</v>
      </c>
      <c r="G680" s="3">
        <v>111.42730083200001</v>
      </c>
      <c r="H680" s="4">
        <f t="shared" si="41"/>
        <v>0.72734604800001534</v>
      </c>
      <c r="I680" s="4">
        <f t="shared" si="39"/>
        <v>-9.9106222613327759</v>
      </c>
      <c r="J680" s="3">
        <v>57.95</v>
      </c>
      <c r="K680" s="3">
        <v>20</v>
      </c>
      <c r="L680" s="13">
        <f>YEAR(Weekly_Prices[[#This Row],[Date]])</f>
        <v>2016</v>
      </c>
      <c r="M680" s="13">
        <f>MONTH(Weekly_Prices[[#This Row],[Date]])</f>
        <v>6</v>
      </c>
      <c r="N680" s="3" t="str">
        <f>TEXT(Weekly_Prices[[#This Row],[Date]],"MMMM")</f>
        <v>June</v>
      </c>
      <c r="O680" s="3" t="str">
        <f>YEAR(Weekly_Prices[[#This Row],[Date]])&amp;"-"&amp;TEXT(WEEKNUM(Weekly_Prices[[#This Row],[Date]],2),"00")</f>
        <v>2016-24</v>
      </c>
    </row>
    <row r="681" spans="1:15" x14ac:dyDescent="0.35">
      <c r="A681" s="2">
        <v>42534</v>
      </c>
      <c r="B681" s="3">
        <v>111.030603</v>
      </c>
      <c r="C681" s="4">
        <f t="shared" si="40"/>
        <v>0.62835029400000053</v>
      </c>
      <c r="D681" s="4">
        <f t="shared" si="38"/>
        <v>-5.3557990903908461</v>
      </c>
      <c r="E681" s="3">
        <v>57.95</v>
      </c>
      <c r="F681" s="3">
        <v>20</v>
      </c>
      <c r="G681" s="3">
        <v>111.98989100000001</v>
      </c>
      <c r="H681" s="4">
        <f t="shared" si="41"/>
        <v>0.56259016799999984</v>
      </c>
      <c r="I681" s="4">
        <f t="shared" si="39"/>
        <v>-9.3105752130507256</v>
      </c>
      <c r="J681" s="3">
        <v>57.95</v>
      </c>
      <c r="K681" s="3">
        <v>20</v>
      </c>
      <c r="L681" s="13">
        <f>YEAR(Weekly_Prices[[#This Row],[Date]])</f>
        <v>2016</v>
      </c>
      <c r="M681" s="13">
        <f>MONTH(Weekly_Prices[[#This Row],[Date]])</f>
        <v>6</v>
      </c>
      <c r="N681" s="3" t="str">
        <f>TEXT(Weekly_Prices[[#This Row],[Date]],"MMMM")</f>
        <v>June</v>
      </c>
      <c r="O681" s="3" t="str">
        <f>YEAR(Weekly_Prices[[#This Row],[Date]])&amp;"-"&amp;TEXT(WEEKNUM(Weekly_Prices[[#This Row],[Date]],2),"00")</f>
        <v>2016-25</v>
      </c>
    </row>
    <row r="682" spans="1:15" x14ac:dyDescent="0.35">
      <c r="A682" s="2">
        <v>42541</v>
      </c>
      <c r="B682" s="3">
        <v>111.222492</v>
      </c>
      <c r="C682" s="4">
        <f t="shared" si="40"/>
        <v>0.19188900000000331</v>
      </c>
      <c r="D682" s="4">
        <f t="shared" si="38"/>
        <v>-5.3733994261627345</v>
      </c>
      <c r="E682" s="3">
        <v>57.95</v>
      </c>
      <c r="F682" s="3">
        <v>20</v>
      </c>
      <c r="G682" s="3">
        <v>112.310014</v>
      </c>
      <c r="H682" s="4">
        <f t="shared" si="41"/>
        <v>0.32012299999998106</v>
      </c>
      <c r="I682" s="4">
        <f t="shared" si="39"/>
        <v>-8.895997177706036</v>
      </c>
      <c r="J682" s="3">
        <v>57.95</v>
      </c>
      <c r="K682" s="3">
        <v>20</v>
      </c>
      <c r="L682" s="13">
        <f>YEAR(Weekly_Prices[[#This Row],[Date]])</f>
        <v>2016</v>
      </c>
      <c r="M682" s="13">
        <f>MONTH(Weekly_Prices[[#This Row],[Date]])</f>
        <v>6</v>
      </c>
      <c r="N682" s="3" t="str">
        <f>TEXT(Weekly_Prices[[#This Row],[Date]],"MMMM")</f>
        <v>June</v>
      </c>
      <c r="O682" s="3" t="str">
        <f>YEAR(Weekly_Prices[[#This Row],[Date]])&amp;"-"&amp;TEXT(WEEKNUM(Weekly_Prices[[#This Row],[Date]],2),"00")</f>
        <v>2016-26</v>
      </c>
    </row>
    <row r="683" spans="1:15" x14ac:dyDescent="0.35">
      <c r="A683" s="2">
        <v>42548</v>
      </c>
      <c r="B683" s="3">
        <v>111.442885</v>
      </c>
      <c r="C683" s="4">
        <f t="shared" si="40"/>
        <v>0.22039300000000139</v>
      </c>
      <c r="D683" s="4">
        <f t="shared" si="38"/>
        <v>-5.1072572162369312</v>
      </c>
      <c r="E683" s="3">
        <v>57.95</v>
      </c>
      <c r="F683" s="3">
        <v>20</v>
      </c>
      <c r="G683" s="3">
        <v>112.558359</v>
      </c>
      <c r="H683" s="4">
        <f t="shared" si="41"/>
        <v>0.24834500000000048</v>
      </c>
      <c r="I683" s="4">
        <f t="shared" si="39"/>
        <v>-8.4320293757053832</v>
      </c>
      <c r="J683" s="3">
        <v>57.95</v>
      </c>
      <c r="K683" s="3">
        <v>20</v>
      </c>
      <c r="L683" s="13">
        <f>YEAR(Weekly_Prices[[#This Row],[Date]])</f>
        <v>2016</v>
      </c>
      <c r="M683" s="13">
        <f>MONTH(Weekly_Prices[[#This Row],[Date]])</f>
        <v>6</v>
      </c>
      <c r="N683" s="3" t="str">
        <f>TEXT(Weekly_Prices[[#This Row],[Date]],"MMMM")</f>
        <v>June</v>
      </c>
      <c r="O683" s="3" t="str">
        <f>YEAR(Weekly_Prices[[#This Row],[Date]])&amp;"-"&amp;TEXT(WEEKNUM(Weekly_Prices[[#This Row],[Date]],2),"00")</f>
        <v>2016-27</v>
      </c>
    </row>
    <row r="684" spans="1:15" x14ac:dyDescent="0.35">
      <c r="A684" s="2">
        <v>42555</v>
      </c>
      <c r="B684" s="3">
        <v>111.64905400000001</v>
      </c>
      <c r="C684" s="4">
        <f t="shared" si="40"/>
        <v>0.20616900000000271</v>
      </c>
      <c r="D684" s="4">
        <f t="shared" si="38"/>
        <v>-4.6872499250058297</v>
      </c>
      <c r="E684" s="3">
        <v>57.95</v>
      </c>
      <c r="F684" s="3">
        <v>20</v>
      </c>
      <c r="G684" s="3">
        <v>112.85857999999999</v>
      </c>
      <c r="H684" s="4">
        <f t="shared" si="41"/>
        <v>0.30022099999999341</v>
      </c>
      <c r="I684" s="4">
        <f t="shared" si="39"/>
        <v>-7.9050628172383597</v>
      </c>
      <c r="J684" s="3">
        <v>57.95</v>
      </c>
      <c r="K684" s="3">
        <v>20</v>
      </c>
      <c r="L684" s="13">
        <f>YEAR(Weekly_Prices[[#This Row],[Date]])</f>
        <v>2016</v>
      </c>
      <c r="M684" s="13">
        <f>MONTH(Weekly_Prices[[#This Row],[Date]])</f>
        <v>7</v>
      </c>
      <c r="N684" s="3" t="str">
        <f>TEXT(Weekly_Prices[[#This Row],[Date]],"MMMM")</f>
        <v>July</v>
      </c>
      <c r="O684" s="3" t="str">
        <f>YEAR(Weekly_Prices[[#This Row],[Date]])&amp;"-"&amp;TEXT(WEEKNUM(Weekly_Prices[[#This Row],[Date]],2),"00")</f>
        <v>2016-28</v>
      </c>
    </row>
    <row r="685" spans="1:15" x14ac:dyDescent="0.35">
      <c r="A685" s="2">
        <v>42562</v>
      </c>
      <c r="B685" s="3">
        <v>111.89483599999998</v>
      </c>
      <c r="C685" s="4">
        <f t="shared" si="40"/>
        <v>0.24578199999997707</v>
      </c>
      <c r="D685" s="4">
        <f t="shared" si="38"/>
        <v>-4.5112043790667542</v>
      </c>
      <c r="E685" s="3">
        <v>57.95</v>
      </c>
      <c r="F685" s="3">
        <v>20</v>
      </c>
      <c r="G685" s="3">
        <v>113.09206500000001</v>
      </c>
      <c r="H685" s="4">
        <f t="shared" si="41"/>
        <v>0.23348500000001593</v>
      </c>
      <c r="I685" s="4">
        <f t="shared" si="39"/>
        <v>-5.739740640013693</v>
      </c>
      <c r="J685" s="3">
        <v>57.95</v>
      </c>
      <c r="K685" s="3">
        <v>20</v>
      </c>
      <c r="L685" s="13">
        <f>YEAR(Weekly_Prices[[#This Row],[Date]])</f>
        <v>2016</v>
      </c>
      <c r="M685" s="13">
        <f>MONTH(Weekly_Prices[[#This Row],[Date]])</f>
        <v>7</v>
      </c>
      <c r="N685" s="3" t="str">
        <f>TEXT(Weekly_Prices[[#This Row],[Date]],"MMMM")</f>
        <v>July</v>
      </c>
      <c r="O685" s="3" t="str">
        <f>YEAR(Weekly_Prices[[#This Row],[Date]])&amp;"-"&amp;TEXT(WEEKNUM(Weekly_Prices[[#This Row],[Date]],2),"00")</f>
        <v>2016-29</v>
      </c>
    </row>
    <row r="686" spans="1:15" x14ac:dyDescent="0.35">
      <c r="A686" s="2">
        <v>42569</v>
      </c>
      <c r="B686" s="3">
        <v>111.91651899999999</v>
      </c>
      <c r="C686" s="4">
        <f t="shared" si="40"/>
        <v>2.1683000000010111E-2</v>
      </c>
      <c r="D686" s="4">
        <f t="shared" si="38"/>
        <v>-4.8696010886075385</v>
      </c>
      <c r="E686" s="3">
        <v>57.95</v>
      </c>
      <c r="F686" s="3">
        <v>20</v>
      </c>
      <c r="G686" s="3">
        <v>112.998727</v>
      </c>
      <c r="H686" s="4">
        <f t="shared" si="41"/>
        <v>-9.3338000000002808E-2</v>
      </c>
      <c r="I686" s="4">
        <f t="shared" si="39"/>
        <v>-5.4357949885877019</v>
      </c>
      <c r="J686" s="3">
        <v>57.95</v>
      </c>
      <c r="K686" s="3">
        <v>20</v>
      </c>
      <c r="L686" s="13">
        <f>YEAR(Weekly_Prices[[#This Row],[Date]])</f>
        <v>2016</v>
      </c>
      <c r="M686" s="13">
        <f>MONTH(Weekly_Prices[[#This Row],[Date]])</f>
        <v>7</v>
      </c>
      <c r="N686" s="3" t="str">
        <f>TEXT(Weekly_Prices[[#This Row],[Date]],"MMMM")</f>
        <v>July</v>
      </c>
      <c r="O686" s="3" t="str">
        <f>YEAR(Weekly_Prices[[#This Row],[Date]])&amp;"-"&amp;TEXT(WEEKNUM(Weekly_Prices[[#This Row],[Date]],2),"00")</f>
        <v>2016-30</v>
      </c>
    </row>
    <row r="687" spans="1:15" x14ac:dyDescent="0.35">
      <c r="A687" s="2">
        <v>42576</v>
      </c>
      <c r="B687" s="3">
        <v>111.690675</v>
      </c>
      <c r="C687" s="4">
        <f t="shared" si="40"/>
        <v>-0.22584399999999505</v>
      </c>
      <c r="D687" s="4">
        <f t="shared" si="38"/>
        <v>-4.7512613642769566</v>
      </c>
      <c r="E687" s="3">
        <v>57.95</v>
      </c>
      <c r="F687" s="3">
        <v>20</v>
      </c>
      <c r="G687" s="3">
        <v>112.89357600000001</v>
      </c>
      <c r="H687" s="4">
        <f t="shared" si="41"/>
        <v>-0.10515099999999222</v>
      </c>
      <c r="I687" s="4">
        <f t="shared" si="39"/>
        <v>-4.0612277404156458</v>
      </c>
      <c r="J687" s="3">
        <v>57.95</v>
      </c>
      <c r="K687" s="3">
        <v>20</v>
      </c>
      <c r="L687" s="13">
        <f>YEAR(Weekly_Prices[[#This Row],[Date]])</f>
        <v>2016</v>
      </c>
      <c r="M687" s="13">
        <f>MONTH(Weekly_Prices[[#This Row],[Date]])</f>
        <v>7</v>
      </c>
      <c r="N687" s="3" t="str">
        <f>TEXT(Weekly_Prices[[#This Row],[Date]],"MMMM")</f>
        <v>July</v>
      </c>
      <c r="O687" s="3" t="str">
        <f>YEAR(Weekly_Prices[[#This Row],[Date]])&amp;"-"&amp;TEXT(WEEKNUM(Weekly_Prices[[#This Row],[Date]],2),"00")</f>
        <v>2016-31</v>
      </c>
    </row>
    <row r="688" spans="1:15" x14ac:dyDescent="0.35">
      <c r="A688" s="2">
        <v>42583</v>
      </c>
      <c r="B688" s="3">
        <v>111.04533499999999</v>
      </c>
      <c r="C688" s="4">
        <f t="shared" si="40"/>
        <v>-0.64534000000000447</v>
      </c>
      <c r="D688" s="4">
        <f t="shared" si="38"/>
        <v>-5.0709517277944656</v>
      </c>
      <c r="E688" s="3">
        <v>57.95</v>
      </c>
      <c r="F688" s="3">
        <v>20</v>
      </c>
      <c r="G688" s="3">
        <v>112.42563</v>
      </c>
      <c r="H688" s="4">
        <f t="shared" si="41"/>
        <v>-0.46794600000001196</v>
      </c>
      <c r="I688" s="4">
        <f t="shared" si="39"/>
        <v>-2.7445678142158556</v>
      </c>
      <c r="J688" s="3">
        <v>57.95</v>
      </c>
      <c r="K688" s="3">
        <v>20</v>
      </c>
      <c r="L688" s="13">
        <f>YEAR(Weekly_Prices[[#This Row],[Date]])</f>
        <v>2016</v>
      </c>
      <c r="M688" s="13">
        <f>MONTH(Weekly_Prices[[#This Row],[Date]])</f>
        <v>8</v>
      </c>
      <c r="N688" s="3" t="str">
        <f>TEXT(Weekly_Prices[[#This Row],[Date]],"MMMM")</f>
        <v>August</v>
      </c>
      <c r="O688" s="3" t="str">
        <f>YEAR(Weekly_Prices[[#This Row],[Date]])&amp;"-"&amp;TEXT(WEEKNUM(Weekly_Prices[[#This Row],[Date]],2),"00")</f>
        <v>2016-32</v>
      </c>
    </row>
    <row r="689" spans="1:15" x14ac:dyDescent="0.35">
      <c r="A689" s="2">
        <v>42590</v>
      </c>
      <c r="B689" s="3">
        <v>109.74854300000001</v>
      </c>
      <c r="C689" s="4">
        <f t="shared" si="40"/>
        <v>-1.2967919999999822</v>
      </c>
      <c r="D689" s="4">
        <f t="shared" si="38"/>
        <v>-5.7328083774894338</v>
      </c>
      <c r="E689" s="3">
        <v>57.95</v>
      </c>
      <c r="F689" s="3">
        <v>20</v>
      </c>
      <c r="G689" s="3">
        <v>111.404402</v>
      </c>
      <c r="H689" s="4">
        <f t="shared" si="41"/>
        <v>-1.0212279999999936</v>
      </c>
      <c r="I689" s="4">
        <f t="shared" si="39"/>
        <v>-2.7960653878155739</v>
      </c>
      <c r="J689" s="3">
        <v>57.95</v>
      </c>
      <c r="K689" s="3">
        <v>20</v>
      </c>
      <c r="L689" s="13">
        <f>YEAR(Weekly_Prices[[#This Row],[Date]])</f>
        <v>2016</v>
      </c>
      <c r="M689" s="13">
        <f>MONTH(Weekly_Prices[[#This Row],[Date]])</f>
        <v>8</v>
      </c>
      <c r="N689" s="3" t="str">
        <f>TEXT(Weekly_Prices[[#This Row],[Date]],"MMMM")</f>
        <v>August</v>
      </c>
      <c r="O689" s="3" t="str">
        <f>YEAR(Weekly_Prices[[#This Row],[Date]])&amp;"-"&amp;TEXT(WEEKNUM(Weekly_Prices[[#This Row],[Date]],2),"00")</f>
        <v>2016-33</v>
      </c>
    </row>
    <row r="690" spans="1:15" x14ac:dyDescent="0.35">
      <c r="A690" s="2">
        <v>42597</v>
      </c>
      <c r="B690" s="3">
        <v>109.276628</v>
      </c>
      <c r="C690" s="4">
        <f t="shared" si="40"/>
        <v>-0.47191500000000985</v>
      </c>
      <c r="D690" s="4">
        <f t="shared" si="38"/>
        <v>-5.3063749834641669</v>
      </c>
      <c r="E690" s="3">
        <v>57.95</v>
      </c>
      <c r="F690" s="3">
        <v>20</v>
      </c>
      <c r="G690" s="3">
        <v>111.01857000000001</v>
      </c>
      <c r="H690" s="4">
        <f t="shared" si="41"/>
        <v>-0.38583199999999351</v>
      </c>
      <c r="I690" s="4">
        <f t="shared" si="39"/>
        <v>-1.0299011502480511</v>
      </c>
      <c r="J690" s="3">
        <v>57.95</v>
      </c>
      <c r="K690" s="3">
        <v>20</v>
      </c>
      <c r="L690" s="13">
        <f>YEAR(Weekly_Prices[[#This Row],[Date]])</f>
        <v>2016</v>
      </c>
      <c r="M690" s="13">
        <f>MONTH(Weekly_Prices[[#This Row],[Date]])</f>
        <v>8</v>
      </c>
      <c r="N690" s="3" t="str">
        <f>TEXT(Weekly_Prices[[#This Row],[Date]],"MMMM")</f>
        <v>August</v>
      </c>
      <c r="O690" s="3" t="str">
        <f>YEAR(Weekly_Prices[[#This Row],[Date]])&amp;"-"&amp;TEXT(WEEKNUM(Weekly_Prices[[#This Row],[Date]],2),"00")</f>
        <v>2016-34</v>
      </c>
    </row>
    <row r="691" spans="1:15" x14ac:dyDescent="0.35">
      <c r="A691" s="2">
        <v>42604</v>
      </c>
      <c r="B691" s="3">
        <v>109.634563</v>
      </c>
      <c r="C691" s="4">
        <f t="shared" si="40"/>
        <v>0.35793499999999767</v>
      </c>
      <c r="D691" s="4">
        <f t="shared" si="38"/>
        <v>-3.5992727172974099</v>
      </c>
      <c r="E691" s="3">
        <v>57.95</v>
      </c>
      <c r="F691" s="3">
        <v>20</v>
      </c>
      <c r="G691" s="3">
        <v>111.706114</v>
      </c>
      <c r="H691" s="4">
        <f t="shared" si="41"/>
        <v>0.68754399999998839</v>
      </c>
      <c r="I691" s="4">
        <f t="shared" si="39"/>
        <v>0.65600379106915341</v>
      </c>
      <c r="J691" s="3">
        <v>57.95</v>
      </c>
      <c r="K691" s="3">
        <v>20</v>
      </c>
      <c r="L691" s="13">
        <f>YEAR(Weekly_Prices[[#This Row],[Date]])</f>
        <v>2016</v>
      </c>
      <c r="M691" s="13">
        <f>MONTH(Weekly_Prices[[#This Row],[Date]])</f>
        <v>8</v>
      </c>
      <c r="N691" s="3" t="str">
        <f>TEXT(Weekly_Prices[[#This Row],[Date]],"MMMM")</f>
        <v>August</v>
      </c>
      <c r="O691" s="3" t="str">
        <f>YEAR(Weekly_Prices[[#This Row],[Date]])&amp;"-"&amp;TEXT(WEEKNUM(Weekly_Prices[[#This Row],[Date]],2),"00")</f>
        <v>2016-35</v>
      </c>
    </row>
    <row r="692" spans="1:15" x14ac:dyDescent="0.35">
      <c r="A692" s="2">
        <v>42611</v>
      </c>
      <c r="B692" s="3">
        <v>110.43269699999999</v>
      </c>
      <c r="C692" s="4">
        <f t="shared" si="40"/>
        <v>0.79813399999999035</v>
      </c>
      <c r="D692" s="4">
        <f t="shared" si="38"/>
        <v>-0.77683186901059287</v>
      </c>
      <c r="E692" s="3">
        <v>57.95</v>
      </c>
      <c r="F692" s="3">
        <v>20</v>
      </c>
      <c r="G692" s="3">
        <v>112.54914600000001</v>
      </c>
      <c r="H692" s="4">
        <f t="shared" si="41"/>
        <v>0.843032000000008</v>
      </c>
      <c r="I692" s="4">
        <f t="shared" si="39"/>
        <v>2.630207744095145</v>
      </c>
      <c r="J692" s="3">
        <v>57.95</v>
      </c>
      <c r="K692" s="3">
        <v>20</v>
      </c>
      <c r="L692" s="13">
        <f>YEAR(Weekly_Prices[[#This Row],[Date]])</f>
        <v>2016</v>
      </c>
      <c r="M692" s="13">
        <f>MONTH(Weekly_Prices[[#This Row],[Date]])</f>
        <v>8</v>
      </c>
      <c r="N692" s="3" t="str">
        <f>TEXT(Weekly_Prices[[#This Row],[Date]],"MMMM")</f>
        <v>August</v>
      </c>
      <c r="O692" s="3" t="str">
        <f>YEAR(Weekly_Prices[[#This Row],[Date]])&amp;"-"&amp;TEXT(WEEKNUM(Weekly_Prices[[#This Row],[Date]],2),"00")</f>
        <v>2016-36</v>
      </c>
    </row>
    <row r="693" spans="1:15" x14ac:dyDescent="0.35">
      <c r="A693" s="2">
        <v>42618</v>
      </c>
      <c r="B693" s="3">
        <v>110.970865</v>
      </c>
      <c r="C693" s="4">
        <f t="shared" si="40"/>
        <v>0.53816800000001308</v>
      </c>
      <c r="D693" s="4">
        <f t="shared" si="38"/>
        <v>7.5139944818573667E-2</v>
      </c>
      <c r="E693" s="3">
        <v>57.95</v>
      </c>
      <c r="F693" s="3">
        <v>20</v>
      </c>
      <c r="G693" s="3">
        <v>113.10110699999998</v>
      </c>
      <c r="H693" s="4">
        <f t="shared" si="41"/>
        <v>0.55196099999997728</v>
      </c>
      <c r="I693" s="4">
        <f t="shared" si="39"/>
        <v>3.3190571170693772</v>
      </c>
      <c r="J693" s="3">
        <v>57.95</v>
      </c>
      <c r="K693" s="3">
        <v>20</v>
      </c>
      <c r="L693" s="13">
        <f>YEAR(Weekly_Prices[[#This Row],[Date]])</f>
        <v>2016</v>
      </c>
      <c r="M693" s="13">
        <f>MONTH(Weekly_Prices[[#This Row],[Date]])</f>
        <v>9</v>
      </c>
      <c r="N693" s="3" t="str">
        <f>TEXT(Weekly_Prices[[#This Row],[Date]],"MMMM")</f>
        <v>September</v>
      </c>
      <c r="O693" s="3" t="str">
        <f>YEAR(Weekly_Prices[[#This Row],[Date]])&amp;"-"&amp;TEXT(WEEKNUM(Weekly_Prices[[#This Row],[Date]],2),"00")</f>
        <v>2016-37</v>
      </c>
    </row>
    <row r="694" spans="1:15" x14ac:dyDescent="0.35">
      <c r="A694" s="2">
        <v>42625</v>
      </c>
      <c r="B694" s="3">
        <v>111.31260900000001</v>
      </c>
      <c r="C694" s="4">
        <f t="shared" si="40"/>
        <v>0.3417440000000056</v>
      </c>
      <c r="D694" s="4">
        <f t="shared" si="38"/>
        <v>0.70783837337859268</v>
      </c>
      <c r="E694" s="3">
        <v>57.95</v>
      </c>
      <c r="F694" s="3">
        <v>20</v>
      </c>
      <c r="G694" s="3">
        <v>113.419712</v>
      </c>
      <c r="H694" s="4">
        <f t="shared" si="41"/>
        <v>0.31860500000001934</v>
      </c>
      <c r="I694" s="4">
        <f t="shared" si="39"/>
        <v>3.4740538703908328</v>
      </c>
      <c r="J694" s="3">
        <v>57.95</v>
      </c>
      <c r="K694" s="3">
        <v>20</v>
      </c>
      <c r="L694" s="13">
        <f>YEAR(Weekly_Prices[[#This Row],[Date]])</f>
        <v>2016</v>
      </c>
      <c r="M694" s="13">
        <f>MONTH(Weekly_Prices[[#This Row],[Date]])</f>
        <v>9</v>
      </c>
      <c r="N694" s="3" t="str">
        <f>TEXT(Weekly_Prices[[#This Row],[Date]],"MMMM")</f>
        <v>September</v>
      </c>
      <c r="O694" s="3" t="str">
        <f>YEAR(Weekly_Prices[[#This Row],[Date]])&amp;"-"&amp;TEXT(WEEKNUM(Weekly_Prices[[#This Row],[Date]],2),"00")</f>
        <v>2016-38</v>
      </c>
    </row>
    <row r="695" spans="1:15" x14ac:dyDescent="0.35">
      <c r="A695" s="2">
        <v>42632</v>
      </c>
      <c r="B695" s="3">
        <v>111.28576131</v>
      </c>
      <c r="C695" s="4">
        <f t="shared" si="40"/>
        <v>-2.6847690000010971E-2</v>
      </c>
      <c r="D695" s="4">
        <f t="shared" ref="D695:D758" si="42">B695-B643</f>
        <v>0.67770208981963265</v>
      </c>
      <c r="E695" s="3">
        <v>57.95</v>
      </c>
      <c r="F695" s="3">
        <v>20</v>
      </c>
      <c r="G695" s="3">
        <v>113.22531877599998</v>
      </c>
      <c r="H695" s="4">
        <f t="shared" si="41"/>
        <v>-0.19439322400002368</v>
      </c>
      <c r="I695" s="4">
        <f t="shared" ref="I695:I758" si="43">G695-G643</f>
        <v>2.70208332765975</v>
      </c>
      <c r="J695" s="3">
        <v>57.95</v>
      </c>
      <c r="K695" s="3">
        <v>20</v>
      </c>
      <c r="L695" s="13">
        <f>YEAR(Weekly_Prices[[#This Row],[Date]])</f>
        <v>2016</v>
      </c>
      <c r="M695" s="13">
        <f>MONTH(Weekly_Prices[[#This Row],[Date]])</f>
        <v>9</v>
      </c>
      <c r="N695" s="3" t="str">
        <f>TEXT(Weekly_Prices[[#This Row],[Date]],"MMMM")</f>
        <v>September</v>
      </c>
      <c r="O695" s="3" t="str">
        <f>YEAR(Weekly_Prices[[#This Row],[Date]])&amp;"-"&amp;TEXT(WEEKNUM(Weekly_Prices[[#This Row],[Date]],2),"00")</f>
        <v>2016-39</v>
      </c>
    </row>
    <row r="696" spans="1:15" x14ac:dyDescent="0.35">
      <c r="A696" s="2">
        <v>42639</v>
      </c>
      <c r="B696" s="3">
        <v>111.36347385000002</v>
      </c>
      <c r="C696" s="4">
        <f t="shared" si="40"/>
        <v>7.771254000002159E-2</v>
      </c>
      <c r="D696" s="4">
        <f t="shared" si="42"/>
        <v>1.8897499309687475</v>
      </c>
      <c r="E696" s="3">
        <v>57.95</v>
      </c>
      <c r="F696" s="3">
        <v>20</v>
      </c>
      <c r="G696" s="3">
        <v>113.37504576799999</v>
      </c>
      <c r="H696" s="4">
        <f t="shared" si="41"/>
        <v>0.14972699200001216</v>
      </c>
      <c r="I696" s="4">
        <f t="shared" si="43"/>
        <v>2.9295722421864809</v>
      </c>
      <c r="J696" s="3">
        <v>57.95</v>
      </c>
      <c r="K696" s="3">
        <v>20</v>
      </c>
      <c r="L696" s="13">
        <f>YEAR(Weekly_Prices[[#This Row],[Date]])</f>
        <v>2016</v>
      </c>
      <c r="M696" s="13">
        <f>MONTH(Weekly_Prices[[#This Row],[Date]])</f>
        <v>9</v>
      </c>
      <c r="N696" s="3" t="str">
        <f>TEXT(Weekly_Prices[[#This Row],[Date]],"MMMM")</f>
        <v>September</v>
      </c>
      <c r="O696" s="3" t="str">
        <f>YEAR(Weekly_Prices[[#This Row],[Date]])&amp;"-"&amp;TEXT(WEEKNUM(Weekly_Prices[[#This Row],[Date]],2),"00")</f>
        <v>2016-40</v>
      </c>
    </row>
    <row r="697" spans="1:15" x14ac:dyDescent="0.35">
      <c r="A697" s="2">
        <v>42646</v>
      </c>
      <c r="B697" s="3">
        <v>111.64954574799999</v>
      </c>
      <c r="C697" s="4">
        <f t="shared" si="40"/>
        <v>0.28607189799997457</v>
      </c>
      <c r="D697" s="4">
        <f t="shared" si="42"/>
        <v>2.7075744444626508</v>
      </c>
      <c r="E697" s="3">
        <v>57.95</v>
      </c>
      <c r="F697" s="3">
        <v>20</v>
      </c>
      <c r="G697" s="3">
        <v>113.70673952</v>
      </c>
      <c r="H697" s="4">
        <f t="shared" si="41"/>
        <v>0.33169375200000673</v>
      </c>
      <c r="I697" s="4">
        <f t="shared" si="43"/>
        <v>3.1391894912815417</v>
      </c>
      <c r="J697" s="3">
        <v>57.95</v>
      </c>
      <c r="K697" s="3">
        <v>20</v>
      </c>
      <c r="L697" s="13">
        <f>YEAR(Weekly_Prices[[#This Row],[Date]])</f>
        <v>2016</v>
      </c>
      <c r="M697" s="13">
        <f>MONTH(Weekly_Prices[[#This Row],[Date]])</f>
        <v>10</v>
      </c>
      <c r="N697" s="3" t="str">
        <f>TEXT(Weekly_Prices[[#This Row],[Date]],"MMMM")</f>
        <v>October</v>
      </c>
      <c r="O697" s="3" t="str">
        <f>YEAR(Weekly_Prices[[#This Row],[Date]])&amp;"-"&amp;TEXT(WEEKNUM(Weekly_Prices[[#This Row],[Date]],2),"00")</f>
        <v>2016-41</v>
      </c>
    </row>
    <row r="698" spans="1:15" x14ac:dyDescent="0.35">
      <c r="A698" s="2">
        <v>42653</v>
      </c>
      <c r="B698" s="3">
        <v>112.34986100000002</v>
      </c>
      <c r="C698" s="4">
        <f t="shared" si="40"/>
        <v>0.7003152520000242</v>
      </c>
      <c r="D698" s="4">
        <f t="shared" si="42"/>
        <v>3.3816684546333136</v>
      </c>
      <c r="E698" s="3">
        <v>57.95</v>
      </c>
      <c r="F698" s="3">
        <v>20</v>
      </c>
      <c r="G698" s="3">
        <v>114.403363</v>
      </c>
      <c r="H698" s="4">
        <f t="shared" si="41"/>
        <v>0.69662347999999952</v>
      </c>
      <c r="I698" s="4">
        <f t="shared" si="43"/>
        <v>3.6240970388897864</v>
      </c>
      <c r="J698" s="3">
        <v>57.95</v>
      </c>
      <c r="K698" s="3">
        <v>20</v>
      </c>
      <c r="L698" s="13">
        <f>YEAR(Weekly_Prices[[#This Row],[Date]])</f>
        <v>2016</v>
      </c>
      <c r="M698" s="13">
        <f>MONTH(Weekly_Prices[[#This Row],[Date]])</f>
        <v>10</v>
      </c>
      <c r="N698" s="3" t="str">
        <f>TEXT(Weekly_Prices[[#This Row],[Date]],"MMMM")</f>
        <v>October</v>
      </c>
      <c r="O698" s="3" t="str">
        <f>YEAR(Weekly_Prices[[#This Row],[Date]])&amp;"-"&amp;TEXT(WEEKNUM(Weekly_Prices[[#This Row],[Date]],2),"00")</f>
        <v>2016-42</v>
      </c>
    </row>
    <row r="699" spans="1:15" x14ac:dyDescent="0.35">
      <c r="A699" s="2">
        <v>42660</v>
      </c>
      <c r="B699" s="3">
        <v>113.721154</v>
      </c>
      <c r="C699" s="4">
        <f t="shared" si="40"/>
        <v>1.3712929999999801</v>
      </c>
      <c r="D699" s="4">
        <f t="shared" si="42"/>
        <v>4.7156972180000025</v>
      </c>
      <c r="E699" s="3">
        <v>57.95</v>
      </c>
      <c r="F699" s="3">
        <v>20</v>
      </c>
      <c r="G699" s="3">
        <v>115.995878</v>
      </c>
      <c r="H699" s="4">
        <f t="shared" si="41"/>
        <v>1.5925150000000059</v>
      </c>
      <c r="I699" s="4">
        <f t="shared" si="43"/>
        <v>4.8216797280000065</v>
      </c>
      <c r="J699" s="3">
        <v>57.95</v>
      </c>
      <c r="K699" s="3">
        <v>20</v>
      </c>
      <c r="L699" s="13">
        <f>YEAR(Weekly_Prices[[#This Row],[Date]])</f>
        <v>2016</v>
      </c>
      <c r="M699" s="13">
        <f>MONTH(Weekly_Prices[[#This Row],[Date]])</f>
        <v>10</v>
      </c>
      <c r="N699" s="3" t="str">
        <f>TEXT(Weekly_Prices[[#This Row],[Date]],"MMMM")</f>
        <v>October</v>
      </c>
      <c r="O699" s="3" t="str">
        <f>YEAR(Weekly_Prices[[#This Row],[Date]])&amp;"-"&amp;TEXT(WEEKNUM(Weekly_Prices[[#This Row],[Date]],2),"00")</f>
        <v>2016-43</v>
      </c>
    </row>
    <row r="700" spans="1:15" x14ac:dyDescent="0.35">
      <c r="A700" s="2">
        <v>42667</v>
      </c>
      <c r="B700" s="3">
        <v>115.19915400000001</v>
      </c>
      <c r="C700" s="4">
        <f t="shared" si="40"/>
        <v>1.4780000000000086</v>
      </c>
      <c r="D700" s="4">
        <f t="shared" si="42"/>
        <v>7.1578700000000026</v>
      </c>
      <c r="E700" s="3">
        <v>57.95</v>
      </c>
      <c r="F700" s="3">
        <v>20</v>
      </c>
      <c r="G700" s="3">
        <v>117.69907500000001</v>
      </c>
      <c r="H700" s="4">
        <f t="shared" si="41"/>
        <v>1.703197000000003</v>
      </c>
      <c r="I700" s="4">
        <f t="shared" si="43"/>
        <v>7.0896339999999896</v>
      </c>
      <c r="J700" s="3">
        <v>57.95</v>
      </c>
      <c r="K700" s="3">
        <v>20</v>
      </c>
      <c r="L700" s="13">
        <f>YEAR(Weekly_Prices[[#This Row],[Date]])</f>
        <v>2016</v>
      </c>
      <c r="M700" s="13">
        <f>MONTH(Weekly_Prices[[#This Row],[Date]])</f>
        <v>10</v>
      </c>
      <c r="N700" s="3" t="str">
        <f>TEXT(Weekly_Prices[[#This Row],[Date]],"MMMM")</f>
        <v>October</v>
      </c>
      <c r="O700" s="3" t="str">
        <f>YEAR(Weekly_Prices[[#This Row],[Date]])&amp;"-"&amp;TEXT(WEEKNUM(Weekly_Prices[[#This Row],[Date]],2),"00")</f>
        <v>2016-44</v>
      </c>
    </row>
    <row r="701" spans="1:15" x14ac:dyDescent="0.35">
      <c r="A701" s="2">
        <v>42674</v>
      </c>
      <c r="B701" s="3">
        <v>116.022254</v>
      </c>
      <c r="C701" s="4">
        <f t="shared" si="40"/>
        <v>0.82309999999999661</v>
      </c>
      <c r="D701" s="4">
        <f t="shared" si="42"/>
        <v>8.816599999999994</v>
      </c>
      <c r="E701" s="3">
        <v>57.95</v>
      </c>
      <c r="F701" s="3">
        <v>20</v>
      </c>
      <c r="G701" s="3">
        <v>118.41948800000002</v>
      </c>
      <c r="H701" s="4">
        <f t="shared" si="41"/>
        <v>0.72041300000000774</v>
      </c>
      <c r="I701" s="4">
        <f t="shared" si="43"/>
        <v>8.2812370000000186</v>
      </c>
      <c r="J701" s="3">
        <v>57.95</v>
      </c>
      <c r="K701" s="3">
        <v>20</v>
      </c>
      <c r="L701" s="13">
        <f>YEAR(Weekly_Prices[[#This Row],[Date]])</f>
        <v>2016</v>
      </c>
      <c r="M701" s="13">
        <f>MONTH(Weekly_Prices[[#This Row],[Date]])</f>
        <v>10</v>
      </c>
      <c r="N701" s="3" t="str">
        <f>TEXT(Weekly_Prices[[#This Row],[Date]],"MMMM")</f>
        <v>October</v>
      </c>
      <c r="O701" s="3" t="str">
        <f>YEAR(Weekly_Prices[[#This Row],[Date]])&amp;"-"&amp;TEXT(WEEKNUM(Weekly_Prices[[#This Row],[Date]],2),"00")</f>
        <v>2016-45</v>
      </c>
    </row>
    <row r="702" spans="1:15" x14ac:dyDescent="0.35">
      <c r="A702" s="2">
        <v>42681</v>
      </c>
      <c r="B702" s="3">
        <v>116.558815</v>
      </c>
      <c r="C702" s="4">
        <f t="shared" si="40"/>
        <v>0.53656099999999185</v>
      </c>
      <c r="D702" s="4">
        <f t="shared" si="42"/>
        <v>9.4177659999999861</v>
      </c>
      <c r="E702" s="3">
        <v>57.95</v>
      </c>
      <c r="F702" s="3">
        <v>20</v>
      </c>
      <c r="G702" s="3">
        <v>119.027192</v>
      </c>
      <c r="H702" s="4">
        <f t="shared" si="41"/>
        <v>0.60770399999998403</v>
      </c>
      <c r="I702" s="4">
        <f t="shared" si="43"/>
        <v>8.9457079999999962</v>
      </c>
      <c r="J702" s="3">
        <v>57.95</v>
      </c>
      <c r="K702" s="3">
        <v>20</v>
      </c>
      <c r="L702" s="13">
        <f>YEAR(Weekly_Prices[[#This Row],[Date]])</f>
        <v>2016</v>
      </c>
      <c r="M702" s="13">
        <f>MONTH(Weekly_Prices[[#This Row],[Date]])</f>
        <v>11</v>
      </c>
      <c r="N702" s="3" t="str">
        <f>TEXT(Weekly_Prices[[#This Row],[Date]],"MMMM")</f>
        <v>November</v>
      </c>
      <c r="O702" s="3" t="str">
        <f>YEAR(Weekly_Prices[[#This Row],[Date]])&amp;"-"&amp;TEXT(WEEKNUM(Weekly_Prices[[#This Row],[Date]],2),"00")</f>
        <v>2016-46</v>
      </c>
    </row>
    <row r="703" spans="1:15" x14ac:dyDescent="0.35">
      <c r="A703" s="2">
        <v>42688</v>
      </c>
      <c r="B703" s="3">
        <v>116.50150500000001</v>
      </c>
      <c r="C703" s="4">
        <f t="shared" si="40"/>
        <v>-5.7309999999986871E-2</v>
      </c>
      <c r="D703" s="4">
        <f t="shared" si="42"/>
        <v>9.137701000000007</v>
      </c>
      <c r="E703" s="3">
        <v>57.95</v>
      </c>
      <c r="F703" s="3">
        <v>20</v>
      </c>
      <c r="G703" s="3">
        <v>118.920723</v>
      </c>
      <c r="H703" s="4">
        <f t="shared" si="41"/>
        <v>-0.10646900000000414</v>
      </c>
      <c r="I703" s="4">
        <f t="shared" si="43"/>
        <v>8.6024969999999996</v>
      </c>
      <c r="J703" s="3">
        <v>57.95</v>
      </c>
      <c r="K703" s="3">
        <v>20</v>
      </c>
      <c r="L703" s="13">
        <f>YEAR(Weekly_Prices[[#This Row],[Date]])</f>
        <v>2016</v>
      </c>
      <c r="M703" s="13">
        <f>MONTH(Weekly_Prices[[#This Row],[Date]])</f>
        <v>11</v>
      </c>
      <c r="N703" s="3" t="str">
        <f>TEXT(Weekly_Prices[[#This Row],[Date]],"MMMM")</f>
        <v>November</v>
      </c>
      <c r="O703" s="3" t="str">
        <f>YEAR(Weekly_Prices[[#This Row],[Date]])&amp;"-"&amp;TEXT(WEEKNUM(Weekly_Prices[[#This Row],[Date]],2),"00")</f>
        <v>2016-47</v>
      </c>
    </row>
    <row r="704" spans="1:15" x14ac:dyDescent="0.35">
      <c r="A704" s="2">
        <v>42695</v>
      </c>
      <c r="B704" s="3">
        <v>114.70552900000001</v>
      </c>
      <c r="C704" s="4">
        <f t="shared" si="40"/>
        <v>-1.795975999999996</v>
      </c>
      <c r="D704" s="4">
        <f t="shared" si="42"/>
        <v>7.412700000000001</v>
      </c>
      <c r="E704" s="3">
        <v>57.95</v>
      </c>
      <c r="F704" s="3">
        <v>20</v>
      </c>
      <c r="G704" s="3">
        <v>117.42147700000001</v>
      </c>
      <c r="H704" s="4">
        <f t="shared" si="41"/>
        <v>-1.4992459999999852</v>
      </c>
      <c r="I704" s="4">
        <f t="shared" si="43"/>
        <v>7.1520110000000017</v>
      </c>
      <c r="J704" s="3">
        <v>57.95</v>
      </c>
      <c r="K704" s="3">
        <v>20</v>
      </c>
      <c r="L704" s="13">
        <f>YEAR(Weekly_Prices[[#This Row],[Date]])</f>
        <v>2016</v>
      </c>
      <c r="M704" s="13">
        <f>MONTH(Weekly_Prices[[#This Row],[Date]])</f>
        <v>11</v>
      </c>
      <c r="N704" s="3" t="str">
        <f>TEXT(Weekly_Prices[[#This Row],[Date]],"MMMM")</f>
        <v>November</v>
      </c>
      <c r="O704" s="3" t="str">
        <f>YEAR(Weekly_Prices[[#This Row],[Date]])&amp;"-"&amp;TEXT(WEEKNUM(Weekly_Prices[[#This Row],[Date]],2),"00")</f>
        <v>2016-48</v>
      </c>
    </row>
    <row r="705" spans="1:15" x14ac:dyDescent="0.35">
      <c r="A705" s="2">
        <v>42702</v>
      </c>
      <c r="B705" s="3">
        <v>113.72068700000001</v>
      </c>
      <c r="C705" s="4">
        <f t="shared" si="40"/>
        <v>-0.98484200000000044</v>
      </c>
      <c r="D705" s="4">
        <f t="shared" si="42"/>
        <v>6.754084000000006</v>
      </c>
      <c r="E705" s="3">
        <v>57.95</v>
      </c>
      <c r="F705" s="3">
        <v>20</v>
      </c>
      <c r="G705" s="3">
        <v>116.565416</v>
      </c>
      <c r="H705" s="4">
        <f t="shared" si="41"/>
        <v>-0.85606100000001106</v>
      </c>
      <c r="I705" s="4">
        <f t="shared" si="43"/>
        <v>6.5590160000000139</v>
      </c>
      <c r="J705" s="3">
        <v>57.95</v>
      </c>
      <c r="K705" s="3">
        <v>20</v>
      </c>
      <c r="L705" s="13">
        <f>YEAR(Weekly_Prices[[#This Row],[Date]])</f>
        <v>2016</v>
      </c>
      <c r="M705" s="13">
        <f>MONTH(Weekly_Prices[[#This Row],[Date]])</f>
        <v>11</v>
      </c>
      <c r="N705" s="3" t="str">
        <f>TEXT(Weekly_Prices[[#This Row],[Date]],"MMMM")</f>
        <v>November</v>
      </c>
      <c r="O705" s="3" t="str">
        <f>YEAR(Weekly_Prices[[#This Row],[Date]])&amp;"-"&amp;TEXT(WEEKNUM(Weekly_Prices[[#This Row],[Date]],2),"00")</f>
        <v>2016-49</v>
      </c>
    </row>
    <row r="706" spans="1:15" x14ac:dyDescent="0.35">
      <c r="A706" s="2">
        <v>42709</v>
      </c>
      <c r="B706" s="3">
        <v>113.66443500000003</v>
      </c>
      <c r="C706" s="4">
        <f t="shared" si="40"/>
        <v>-5.6251999999986424E-2</v>
      </c>
      <c r="D706" s="4">
        <f t="shared" si="42"/>
        <v>6.9147350000000216</v>
      </c>
      <c r="E706" s="3">
        <v>57.95</v>
      </c>
      <c r="F706" s="3">
        <v>20</v>
      </c>
      <c r="G706" s="3">
        <v>116.75114600000001</v>
      </c>
      <c r="H706" s="4">
        <f t="shared" si="41"/>
        <v>0.18573000000000661</v>
      </c>
      <c r="I706" s="4">
        <f t="shared" si="43"/>
        <v>6.8269360000000177</v>
      </c>
      <c r="J706" s="3">
        <v>57.95</v>
      </c>
      <c r="K706" s="3">
        <v>20</v>
      </c>
      <c r="L706" s="13">
        <f>YEAR(Weekly_Prices[[#This Row],[Date]])</f>
        <v>2016</v>
      </c>
      <c r="M706" s="13">
        <f>MONTH(Weekly_Prices[[#This Row],[Date]])</f>
        <v>12</v>
      </c>
      <c r="N706" s="3" t="str">
        <f>TEXT(Weekly_Prices[[#This Row],[Date]],"MMMM")</f>
        <v>December</v>
      </c>
      <c r="O706" s="3" t="str">
        <f>YEAR(Weekly_Prices[[#This Row],[Date]])&amp;"-"&amp;TEXT(WEEKNUM(Weekly_Prices[[#This Row],[Date]],2),"00")</f>
        <v>2016-50</v>
      </c>
    </row>
    <row r="707" spans="1:15" x14ac:dyDescent="0.35">
      <c r="A707" s="2">
        <v>42716</v>
      </c>
      <c r="B707" s="3">
        <v>114.22666000000001</v>
      </c>
      <c r="C707" s="4">
        <f t="shared" ref="C707:C770" si="44">B707-B706</f>
        <v>0.56222499999998377</v>
      </c>
      <c r="D707" s="4">
        <f t="shared" si="42"/>
        <v>10.230715000000004</v>
      </c>
      <c r="E707" s="3">
        <v>57.95</v>
      </c>
      <c r="F707" s="3">
        <v>20</v>
      </c>
      <c r="G707" s="3">
        <v>117.51436299999999</v>
      </c>
      <c r="H707" s="4">
        <f t="shared" ref="H707:H770" si="45">G707-G706</f>
        <v>0.76321699999998316</v>
      </c>
      <c r="I707" s="4">
        <f t="shared" si="43"/>
        <v>9.4405750000000097</v>
      </c>
      <c r="J707" s="3">
        <v>57.95</v>
      </c>
      <c r="K707" s="3">
        <v>20</v>
      </c>
      <c r="L707" s="13">
        <f>YEAR(Weekly_Prices[[#This Row],[Date]])</f>
        <v>2016</v>
      </c>
      <c r="M707" s="13">
        <f>MONTH(Weekly_Prices[[#This Row],[Date]])</f>
        <v>12</v>
      </c>
      <c r="N707" s="3" t="str">
        <f>TEXT(Weekly_Prices[[#This Row],[Date]],"MMMM")</f>
        <v>December</v>
      </c>
      <c r="O707" s="3" t="str">
        <f>YEAR(Weekly_Prices[[#This Row],[Date]])&amp;"-"&amp;TEXT(WEEKNUM(Weekly_Prices[[#This Row],[Date]],2),"00")</f>
        <v>2016-51</v>
      </c>
    </row>
    <row r="708" spans="1:15" x14ac:dyDescent="0.35">
      <c r="A708" s="2">
        <v>42723</v>
      </c>
      <c r="B708" s="3">
        <v>115.000208</v>
      </c>
      <c r="C708" s="4">
        <f t="shared" si="44"/>
        <v>0.77354799999999102</v>
      </c>
      <c r="D708" s="4">
        <f t="shared" si="42"/>
        <v>12.667000999999985</v>
      </c>
      <c r="E708" s="3">
        <v>57.95</v>
      </c>
      <c r="F708" s="3">
        <v>20</v>
      </c>
      <c r="G708" s="3">
        <v>118.609262</v>
      </c>
      <c r="H708" s="4">
        <f t="shared" si="45"/>
        <v>1.0948990000000123</v>
      </c>
      <c r="I708" s="4">
        <f t="shared" si="43"/>
        <v>11.567813000000001</v>
      </c>
      <c r="J708" s="3">
        <v>57.95</v>
      </c>
      <c r="K708" s="3">
        <v>20</v>
      </c>
      <c r="L708" s="13">
        <f>YEAR(Weekly_Prices[[#This Row],[Date]])</f>
        <v>2016</v>
      </c>
      <c r="M708" s="13">
        <f>MONTH(Weekly_Prices[[#This Row],[Date]])</f>
        <v>12</v>
      </c>
      <c r="N708" s="3" t="str">
        <f>TEXT(Weekly_Prices[[#This Row],[Date]],"MMMM")</f>
        <v>December</v>
      </c>
      <c r="O708" s="3" t="str">
        <f>YEAR(Weekly_Prices[[#This Row],[Date]])&amp;"-"&amp;TEXT(WEEKNUM(Weekly_Prices[[#This Row],[Date]],2),"00")</f>
        <v>2016-52</v>
      </c>
    </row>
    <row r="709" spans="1:15" x14ac:dyDescent="0.35">
      <c r="A709" s="2">
        <v>42730</v>
      </c>
      <c r="B709" s="3">
        <v>115.453509</v>
      </c>
      <c r="C709" s="4">
        <f t="shared" si="44"/>
        <v>0.45330099999999618</v>
      </c>
      <c r="D709" s="4">
        <f t="shared" si="42"/>
        <v>13.340264999999988</v>
      </c>
      <c r="E709" s="3">
        <v>57.95</v>
      </c>
      <c r="F709" s="3">
        <v>20</v>
      </c>
      <c r="G709" s="3">
        <v>119.029978</v>
      </c>
      <c r="H709" s="4">
        <f t="shared" si="45"/>
        <v>0.42071599999999876</v>
      </c>
      <c r="I709" s="4">
        <f t="shared" si="43"/>
        <v>12.596240999999992</v>
      </c>
      <c r="J709" s="3">
        <v>57.95</v>
      </c>
      <c r="K709" s="3">
        <v>20</v>
      </c>
      <c r="L709" s="13">
        <f>YEAR(Weekly_Prices[[#This Row],[Date]])</f>
        <v>2016</v>
      </c>
      <c r="M709" s="13">
        <f>MONTH(Weekly_Prices[[#This Row],[Date]])</f>
        <v>12</v>
      </c>
      <c r="N709" s="3" t="str">
        <f>TEXT(Weekly_Prices[[#This Row],[Date]],"MMMM")</f>
        <v>December</v>
      </c>
      <c r="O709" s="3" t="str">
        <f>YEAR(Weekly_Prices[[#This Row],[Date]])&amp;"-"&amp;TEXT(WEEKNUM(Weekly_Prices[[#This Row],[Date]],2),"00")</f>
        <v>2016-53</v>
      </c>
    </row>
    <row r="710" spans="1:15" x14ac:dyDescent="0.35">
      <c r="A710" s="2">
        <v>42737</v>
      </c>
      <c r="B710" s="3">
        <v>117.000035</v>
      </c>
      <c r="C710" s="4">
        <f t="shared" si="44"/>
        <v>1.5465260000000001</v>
      </c>
      <c r="D710" s="4">
        <f t="shared" si="42"/>
        <v>15.002244999999988</v>
      </c>
      <c r="E710" s="3">
        <v>57.95</v>
      </c>
      <c r="F710" s="3">
        <v>20</v>
      </c>
      <c r="G710" s="3">
        <v>120.03114900000001</v>
      </c>
      <c r="H710" s="4">
        <f t="shared" si="45"/>
        <v>1.0011710000000136</v>
      </c>
      <c r="I710" s="4">
        <f t="shared" si="43"/>
        <v>13.709563000000003</v>
      </c>
      <c r="J710" s="3">
        <v>57.95</v>
      </c>
      <c r="K710" s="3">
        <v>20</v>
      </c>
      <c r="L710" s="13">
        <f>YEAR(Weekly_Prices[[#This Row],[Date]])</f>
        <v>2017</v>
      </c>
      <c r="M710" s="13">
        <f>MONTH(Weekly_Prices[[#This Row],[Date]])</f>
        <v>1</v>
      </c>
      <c r="N710" s="3" t="str">
        <f>TEXT(Weekly_Prices[[#This Row],[Date]],"MMMM")</f>
        <v>January</v>
      </c>
      <c r="O710" s="3" t="str">
        <f>YEAR(Weekly_Prices[[#This Row],[Date]])&amp;"-"&amp;TEXT(WEEKNUM(Weekly_Prices[[#This Row],[Date]],2),"00")</f>
        <v>2017-02</v>
      </c>
    </row>
    <row r="711" spans="1:15" x14ac:dyDescent="0.35">
      <c r="A711" s="2">
        <v>42744</v>
      </c>
      <c r="B711" s="3">
        <v>117.97843300000001</v>
      </c>
      <c r="C711" s="4">
        <f t="shared" si="44"/>
        <v>0.97839800000001276</v>
      </c>
      <c r="D711" s="4">
        <f t="shared" si="42"/>
        <v>16.088643000000005</v>
      </c>
      <c r="E711" s="3">
        <v>57.95</v>
      </c>
      <c r="F711" s="3">
        <v>20</v>
      </c>
      <c r="G711" s="3">
        <v>121.30311699999999</v>
      </c>
      <c r="H711" s="4">
        <f t="shared" si="45"/>
        <v>1.2719679999999727</v>
      </c>
      <c r="I711" s="4">
        <f t="shared" si="43"/>
        <v>17.89087499999998</v>
      </c>
      <c r="J711" s="3">
        <v>57.95</v>
      </c>
      <c r="K711" s="3">
        <v>20</v>
      </c>
      <c r="L711" s="13">
        <f>YEAR(Weekly_Prices[[#This Row],[Date]])</f>
        <v>2017</v>
      </c>
      <c r="M711" s="13">
        <f>MONTH(Weekly_Prices[[#This Row],[Date]])</f>
        <v>1</v>
      </c>
      <c r="N711" s="3" t="str">
        <f>TEXT(Weekly_Prices[[#This Row],[Date]],"MMMM")</f>
        <v>January</v>
      </c>
      <c r="O711" s="3" t="str">
        <f>YEAR(Weekly_Prices[[#This Row],[Date]])&amp;"-"&amp;TEXT(WEEKNUM(Weekly_Prices[[#This Row],[Date]],2),"00")</f>
        <v>2017-03</v>
      </c>
    </row>
    <row r="712" spans="1:15" x14ac:dyDescent="0.35">
      <c r="A712" s="2">
        <v>42751</v>
      </c>
      <c r="B712" s="3">
        <v>118.63427200000001</v>
      </c>
      <c r="C712" s="4">
        <f t="shared" si="44"/>
        <v>0.65583900000000028</v>
      </c>
      <c r="D712" s="4">
        <f t="shared" si="42"/>
        <v>16.829651000000013</v>
      </c>
      <c r="E712" s="3">
        <v>57.95</v>
      </c>
      <c r="F712" s="3">
        <v>20</v>
      </c>
      <c r="G712" s="3">
        <v>122.098974</v>
      </c>
      <c r="H712" s="4">
        <f t="shared" si="45"/>
        <v>0.79585700000001225</v>
      </c>
      <c r="I712" s="4">
        <f t="shared" si="43"/>
        <v>19.293660000000003</v>
      </c>
      <c r="J712" s="3">
        <v>57.95</v>
      </c>
      <c r="K712" s="3">
        <v>20</v>
      </c>
      <c r="L712" s="13">
        <f>YEAR(Weekly_Prices[[#This Row],[Date]])</f>
        <v>2017</v>
      </c>
      <c r="M712" s="13">
        <f>MONTH(Weekly_Prices[[#This Row],[Date]])</f>
        <v>1</v>
      </c>
      <c r="N712" s="3" t="str">
        <f>TEXT(Weekly_Prices[[#This Row],[Date]],"MMMM")</f>
        <v>January</v>
      </c>
      <c r="O712" s="3" t="str">
        <f>YEAR(Weekly_Prices[[#This Row],[Date]])&amp;"-"&amp;TEXT(WEEKNUM(Weekly_Prices[[#This Row],[Date]],2),"00")</f>
        <v>2017-04</v>
      </c>
    </row>
    <row r="713" spans="1:15" x14ac:dyDescent="0.35">
      <c r="A713" s="2">
        <v>42758</v>
      </c>
      <c r="B713" s="3">
        <v>119.429013</v>
      </c>
      <c r="C713" s="4">
        <f t="shared" si="44"/>
        <v>0.79474099999998771</v>
      </c>
      <c r="D713" s="4">
        <f t="shared" si="42"/>
        <v>18.00550299999999</v>
      </c>
      <c r="E713" s="3">
        <v>57.95</v>
      </c>
      <c r="F713" s="3">
        <v>20</v>
      </c>
      <c r="G713" s="3">
        <v>122.74524700000001</v>
      </c>
      <c r="H713" s="4">
        <f t="shared" si="45"/>
        <v>0.64627300000000787</v>
      </c>
      <c r="I713" s="4">
        <f t="shared" si="43"/>
        <v>21.206697000000005</v>
      </c>
      <c r="J713" s="3">
        <v>57.95</v>
      </c>
      <c r="K713" s="3">
        <v>20</v>
      </c>
      <c r="L713" s="13">
        <f>YEAR(Weekly_Prices[[#This Row],[Date]])</f>
        <v>2017</v>
      </c>
      <c r="M713" s="13">
        <f>MONTH(Weekly_Prices[[#This Row],[Date]])</f>
        <v>1</v>
      </c>
      <c r="N713" s="3" t="str">
        <f>TEXT(Weekly_Prices[[#This Row],[Date]],"MMMM")</f>
        <v>January</v>
      </c>
      <c r="O713" s="3" t="str">
        <f>YEAR(Weekly_Prices[[#This Row],[Date]])&amp;"-"&amp;TEXT(WEEKNUM(Weekly_Prices[[#This Row],[Date]],2),"00")</f>
        <v>2017-05</v>
      </c>
    </row>
    <row r="714" spans="1:15" x14ac:dyDescent="0.35">
      <c r="A714" s="2">
        <v>42765</v>
      </c>
      <c r="B714" s="3">
        <v>120.01122400000001</v>
      </c>
      <c r="C714" s="4">
        <f t="shared" si="44"/>
        <v>0.58221100000001513</v>
      </c>
      <c r="D714" s="4">
        <f t="shared" si="42"/>
        <v>18.650477000000009</v>
      </c>
      <c r="E714" s="3">
        <v>57.95</v>
      </c>
      <c r="F714" s="3">
        <v>20</v>
      </c>
      <c r="G714" s="3">
        <v>123.19443</v>
      </c>
      <c r="H714" s="4">
        <f t="shared" si="45"/>
        <v>0.44918299999999078</v>
      </c>
      <c r="I714" s="4">
        <f t="shared" si="43"/>
        <v>22.358489999999989</v>
      </c>
      <c r="J714" s="3">
        <v>57.95</v>
      </c>
      <c r="K714" s="3">
        <v>20</v>
      </c>
      <c r="L714" s="13">
        <f>YEAR(Weekly_Prices[[#This Row],[Date]])</f>
        <v>2017</v>
      </c>
      <c r="M714" s="13">
        <f>MONTH(Weekly_Prices[[#This Row],[Date]])</f>
        <v>1</v>
      </c>
      <c r="N714" s="3" t="str">
        <f>TEXT(Weekly_Prices[[#This Row],[Date]],"MMMM")</f>
        <v>January</v>
      </c>
      <c r="O714" s="3" t="str">
        <f>YEAR(Weekly_Prices[[#This Row],[Date]])&amp;"-"&amp;TEXT(WEEKNUM(Weekly_Prices[[#This Row],[Date]],2),"00")</f>
        <v>2017-06</v>
      </c>
    </row>
    <row r="715" spans="1:15" x14ac:dyDescent="0.35">
      <c r="A715" s="2">
        <v>42772</v>
      </c>
      <c r="B715" s="3">
        <v>120.17708</v>
      </c>
      <c r="C715" s="4">
        <f t="shared" si="44"/>
        <v>0.1658559999999909</v>
      </c>
      <c r="D715" s="4">
        <f t="shared" si="42"/>
        <v>18.668089999999992</v>
      </c>
      <c r="E715" s="3">
        <v>57.95</v>
      </c>
      <c r="F715" s="3">
        <v>20</v>
      </c>
      <c r="G715" s="3">
        <v>123.24683099999999</v>
      </c>
      <c r="H715" s="4">
        <f t="shared" si="45"/>
        <v>5.240099999998904E-2</v>
      </c>
      <c r="I715" s="4">
        <f t="shared" si="43"/>
        <v>22.108484999999988</v>
      </c>
      <c r="J715" s="3">
        <v>57.95</v>
      </c>
      <c r="K715" s="3">
        <v>20</v>
      </c>
      <c r="L715" s="13">
        <f>YEAR(Weekly_Prices[[#This Row],[Date]])</f>
        <v>2017</v>
      </c>
      <c r="M715" s="13">
        <f>MONTH(Weekly_Prices[[#This Row],[Date]])</f>
        <v>2</v>
      </c>
      <c r="N715" s="3" t="str">
        <f>TEXT(Weekly_Prices[[#This Row],[Date]],"MMMM")</f>
        <v>February</v>
      </c>
      <c r="O715" s="3" t="str">
        <f>YEAR(Weekly_Prices[[#This Row],[Date]])&amp;"-"&amp;TEXT(WEEKNUM(Weekly_Prices[[#This Row],[Date]],2),"00")</f>
        <v>2017-07</v>
      </c>
    </row>
    <row r="716" spans="1:15" x14ac:dyDescent="0.35">
      <c r="A716" s="2">
        <v>42779</v>
      </c>
      <c r="B716" s="3">
        <v>120.151674</v>
      </c>
      <c r="C716" s="4">
        <f t="shared" si="44"/>
        <v>-2.5406000000003814E-2</v>
      </c>
      <c r="D716" s="4">
        <f t="shared" si="42"/>
        <v>18.70096199999999</v>
      </c>
      <c r="E716" s="3">
        <v>57.95</v>
      </c>
      <c r="F716" s="3">
        <v>20</v>
      </c>
      <c r="G716" s="3">
        <v>123.170096</v>
      </c>
      <c r="H716" s="4">
        <f t="shared" si="45"/>
        <v>-7.6734999999985121E-2</v>
      </c>
      <c r="I716" s="4">
        <f t="shared" si="43"/>
        <v>21.955826999999999</v>
      </c>
      <c r="J716" s="3">
        <v>57.95</v>
      </c>
      <c r="K716" s="3">
        <v>20</v>
      </c>
      <c r="L716" s="13">
        <f>YEAR(Weekly_Prices[[#This Row],[Date]])</f>
        <v>2017</v>
      </c>
      <c r="M716" s="13">
        <f>MONTH(Weekly_Prices[[#This Row],[Date]])</f>
        <v>2</v>
      </c>
      <c r="N716" s="3" t="str">
        <f>TEXT(Weekly_Prices[[#This Row],[Date]],"MMMM")</f>
        <v>February</v>
      </c>
      <c r="O716" s="3" t="str">
        <f>YEAR(Weekly_Prices[[#This Row],[Date]])&amp;"-"&amp;TEXT(WEEKNUM(Weekly_Prices[[#This Row],[Date]],2),"00")</f>
        <v>2017-08</v>
      </c>
    </row>
    <row r="717" spans="1:15" x14ac:dyDescent="0.35">
      <c r="A717" s="2">
        <v>42786</v>
      </c>
      <c r="B717" s="3">
        <v>120.19892399999999</v>
      </c>
      <c r="C717" s="4">
        <f t="shared" si="44"/>
        <v>4.7249999999991132E-2</v>
      </c>
      <c r="D717" s="4">
        <f t="shared" si="42"/>
        <v>18.807978999999989</v>
      </c>
      <c r="E717" s="3">
        <v>57.95</v>
      </c>
      <c r="F717" s="3">
        <v>20</v>
      </c>
      <c r="G717" s="3">
        <v>123.14599600000001</v>
      </c>
      <c r="H717" s="4">
        <f t="shared" si="45"/>
        <v>-2.4099999999990018E-2</v>
      </c>
      <c r="I717" s="4">
        <f t="shared" si="43"/>
        <v>22.019093000000012</v>
      </c>
      <c r="J717" s="3">
        <v>57.95</v>
      </c>
      <c r="K717" s="3">
        <v>20</v>
      </c>
      <c r="L717" s="13">
        <f>YEAR(Weekly_Prices[[#This Row],[Date]])</f>
        <v>2017</v>
      </c>
      <c r="M717" s="13">
        <f>MONTH(Weekly_Prices[[#This Row],[Date]])</f>
        <v>2</v>
      </c>
      <c r="N717" s="3" t="str">
        <f>TEXT(Weekly_Prices[[#This Row],[Date]],"MMMM")</f>
        <v>February</v>
      </c>
      <c r="O717" s="3" t="str">
        <f>YEAR(Weekly_Prices[[#This Row],[Date]])&amp;"-"&amp;TEXT(WEEKNUM(Weekly_Prices[[#This Row],[Date]],2),"00")</f>
        <v>2017-09</v>
      </c>
    </row>
    <row r="718" spans="1:15" x14ac:dyDescent="0.35">
      <c r="A718" s="2">
        <v>42793</v>
      </c>
      <c r="B718" s="3">
        <v>120.121737</v>
      </c>
      <c r="C718" s="4">
        <f t="shared" si="44"/>
        <v>-7.718699999999501E-2</v>
      </c>
      <c r="D718" s="4">
        <f t="shared" si="42"/>
        <v>18.698297999999994</v>
      </c>
      <c r="E718" s="3">
        <v>57.95</v>
      </c>
      <c r="F718" s="3">
        <v>20</v>
      </c>
      <c r="G718" s="3">
        <v>123.05960499999999</v>
      </c>
      <c r="H718" s="4">
        <f t="shared" si="45"/>
        <v>-8.6391000000020313E-2</v>
      </c>
      <c r="I718" s="4">
        <f t="shared" si="43"/>
        <v>21.679203999999984</v>
      </c>
      <c r="J718" s="3">
        <v>57.95</v>
      </c>
      <c r="K718" s="3">
        <v>20</v>
      </c>
      <c r="L718" s="13">
        <f>YEAR(Weekly_Prices[[#This Row],[Date]])</f>
        <v>2017</v>
      </c>
      <c r="M718" s="13">
        <f>MONTH(Weekly_Prices[[#This Row],[Date]])</f>
        <v>2</v>
      </c>
      <c r="N718" s="3" t="str">
        <f>TEXT(Weekly_Prices[[#This Row],[Date]],"MMMM")</f>
        <v>February</v>
      </c>
      <c r="O718" s="3" t="str">
        <f>YEAR(Weekly_Prices[[#This Row],[Date]])&amp;"-"&amp;TEXT(WEEKNUM(Weekly_Prices[[#This Row],[Date]],2),"00")</f>
        <v>2017-10</v>
      </c>
    </row>
    <row r="719" spans="1:15" x14ac:dyDescent="0.35">
      <c r="A719" s="2">
        <v>42800</v>
      </c>
      <c r="B719" s="3">
        <v>120.019535</v>
      </c>
      <c r="C719" s="4">
        <f t="shared" si="44"/>
        <v>-0.10220199999999124</v>
      </c>
      <c r="D719" s="4">
        <f t="shared" si="42"/>
        <v>18.556095999999997</v>
      </c>
      <c r="E719" s="3">
        <v>57.95</v>
      </c>
      <c r="F719" s="3">
        <v>20</v>
      </c>
      <c r="G719" s="3">
        <v>122.895616</v>
      </c>
      <c r="H719" s="4">
        <f t="shared" si="45"/>
        <v>-0.16398899999998662</v>
      </c>
      <c r="I719" s="4">
        <f t="shared" si="43"/>
        <v>21.221021000000007</v>
      </c>
      <c r="J719" s="3">
        <v>57.95</v>
      </c>
      <c r="K719" s="3">
        <v>20</v>
      </c>
      <c r="L719" s="13">
        <f>YEAR(Weekly_Prices[[#This Row],[Date]])</f>
        <v>2017</v>
      </c>
      <c r="M719" s="13">
        <f>MONTH(Weekly_Prices[[#This Row],[Date]])</f>
        <v>3</v>
      </c>
      <c r="N719" s="3" t="str">
        <f>TEXT(Weekly_Prices[[#This Row],[Date]],"MMMM")</f>
        <v>March</v>
      </c>
      <c r="O719" s="3" t="str">
        <f>YEAR(Weekly_Prices[[#This Row],[Date]])&amp;"-"&amp;TEXT(WEEKNUM(Weekly_Prices[[#This Row],[Date]],2),"00")</f>
        <v>2017-11</v>
      </c>
    </row>
    <row r="720" spans="1:15" x14ac:dyDescent="0.35">
      <c r="A720" s="2">
        <v>42807</v>
      </c>
      <c r="B720" s="3">
        <v>119.802836</v>
      </c>
      <c r="C720" s="4">
        <f t="shared" si="44"/>
        <v>-0.21669900000000553</v>
      </c>
      <c r="D720" s="4">
        <f t="shared" si="42"/>
        <v>18.09613800000001</v>
      </c>
      <c r="E720" s="3">
        <v>57.95</v>
      </c>
      <c r="F720" s="3">
        <v>20</v>
      </c>
      <c r="G720" s="3">
        <v>122.76747899999998</v>
      </c>
      <c r="H720" s="4">
        <f t="shared" si="45"/>
        <v>-0.1281370000000237</v>
      </c>
      <c r="I720" s="4">
        <f t="shared" si="43"/>
        <v>20.247118999999969</v>
      </c>
      <c r="J720" s="3">
        <v>57.95</v>
      </c>
      <c r="K720" s="3">
        <v>20</v>
      </c>
      <c r="L720" s="13">
        <f>YEAR(Weekly_Prices[[#This Row],[Date]])</f>
        <v>2017</v>
      </c>
      <c r="M720" s="13">
        <f>MONTH(Weekly_Prices[[#This Row],[Date]])</f>
        <v>3</v>
      </c>
      <c r="N720" s="3" t="str">
        <f>TEXT(Weekly_Prices[[#This Row],[Date]],"MMMM")</f>
        <v>March</v>
      </c>
      <c r="O720" s="3" t="str">
        <f>YEAR(Weekly_Prices[[#This Row],[Date]])&amp;"-"&amp;TEXT(WEEKNUM(Weekly_Prices[[#This Row],[Date]],2),"00")</f>
        <v>2017-12</v>
      </c>
    </row>
    <row r="721" spans="1:15" x14ac:dyDescent="0.35">
      <c r="A721" s="2">
        <v>42814</v>
      </c>
      <c r="B721" s="3">
        <v>118.94684700000001</v>
      </c>
      <c r="C721" s="4">
        <f t="shared" si="44"/>
        <v>-0.85598899999999389</v>
      </c>
      <c r="D721" s="4">
        <f t="shared" si="42"/>
        <v>16.367141000000004</v>
      </c>
      <c r="E721" s="3">
        <v>57.95</v>
      </c>
      <c r="F721" s="3">
        <v>20</v>
      </c>
      <c r="G721" s="3">
        <v>121.839519</v>
      </c>
      <c r="H721" s="4">
        <f t="shared" si="45"/>
        <v>-0.92795999999998457</v>
      </c>
      <c r="I721" s="4">
        <f t="shared" si="43"/>
        <v>18.199730999999986</v>
      </c>
      <c r="J721" s="3">
        <v>57.95</v>
      </c>
      <c r="K721" s="3">
        <v>20</v>
      </c>
      <c r="L721" s="13">
        <f>YEAR(Weekly_Prices[[#This Row],[Date]])</f>
        <v>2017</v>
      </c>
      <c r="M721" s="13">
        <f>MONTH(Weekly_Prices[[#This Row],[Date]])</f>
        <v>3</v>
      </c>
      <c r="N721" s="3" t="str">
        <f>TEXT(Weekly_Prices[[#This Row],[Date]],"MMMM")</f>
        <v>March</v>
      </c>
      <c r="O721" s="3" t="str">
        <f>YEAR(Weekly_Prices[[#This Row],[Date]])&amp;"-"&amp;TEXT(WEEKNUM(Weekly_Prices[[#This Row],[Date]],2),"00")</f>
        <v>2017-13</v>
      </c>
    </row>
    <row r="722" spans="1:15" x14ac:dyDescent="0.35">
      <c r="A722" s="2">
        <v>42821</v>
      </c>
      <c r="B722" s="3">
        <v>118.02808513900001</v>
      </c>
      <c r="C722" s="4">
        <f t="shared" si="44"/>
        <v>-0.91876186099999302</v>
      </c>
      <c r="D722" s="4">
        <f t="shared" si="42"/>
        <v>14.626649139000008</v>
      </c>
      <c r="E722" s="3">
        <v>57.95</v>
      </c>
      <c r="F722" s="3">
        <v>20</v>
      </c>
      <c r="G722" s="3">
        <v>121.07811330400001</v>
      </c>
      <c r="H722" s="4">
        <f t="shared" si="45"/>
        <v>-0.76140569599998287</v>
      </c>
      <c r="I722" s="4">
        <f t="shared" si="43"/>
        <v>16.681481304000002</v>
      </c>
      <c r="J722" s="3">
        <v>57.95</v>
      </c>
      <c r="K722" s="3">
        <v>20</v>
      </c>
      <c r="L722" s="13">
        <f>YEAR(Weekly_Prices[[#This Row],[Date]])</f>
        <v>2017</v>
      </c>
      <c r="M722" s="13">
        <f>MONTH(Weekly_Prices[[#This Row],[Date]])</f>
        <v>3</v>
      </c>
      <c r="N722" s="3" t="str">
        <f>TEXT(Weekly_Prices[[#This Row],[Date]],"MMMM")</f>
        <v>March</v>
      </c>
      <c r="O722" s="3" t="str">
        <f>YEAR(Weekly_Prices[[#This Row],[Date]])&amp;"-"&amp;TEXT(WEEKNUM(Weekly_Prices[[#This Row],[Date]],2),"00")</f>
        <v>2017-14</v>
      </c>
    </row>
    <row r="723" spans="1:15" x14ac:dyDescent="0.35">
      <c r="A723" s="2">
        <v>42828</v>
      </c>
      <c r="B723" s="3">
        <v>116.92654499999999</v>
      </c>
      <c r="C723" s="4">
        <f t="shared" si="44"/>
        <v>-1.1015401390000221</v>
      </c>
      <c r="D723" s="4">
        <f t="shared" si="42"/>
        <v>12.417516999999989</v>
      </c>
      <c r="E723" s="3">
        <v>57.95</v>
      </c>
      <c r="F723" s="3">
        <v>20</v>
      </c>
      <c r="G723" s="3">
        <v>119.91559199999999</v>
      </c>
      <c r="H723" s="4">
        <f t="shared" si="45"/>
        <v>-1.1625213040000233</v>
      </c>
      <c r="I723" s="4">
        <f t="shared" si="43"/>
        <v>14.59961899999999</v>
      </c>
      <c r="J723" s="3">
        <v>57.95</v>
      </c>
      <c r="K723" s="3">
        <v>20</v>
      </c>
      <c r="L723" s="13">
        <f>YEAR(Weekly_Prices[[#This Row],[Date]])</f>
        <v>2017</v>
      </c>
      <c r="M723" s="13">
        <f>MONTH(Weekly_Prices[[#This Row],[Date]])</f>
        <v>4</v>
      </c>
      <c r="N723" s="3" t="str">
        <f>TEXT(Weekly_Prices[[#This Row],[Date]],"MMMM")</f>
        <v>April</v>
      </c>
      <c r="O723" s="3" t="str">
        <f>YEAR(Weekly_Prices[[#This Row],[Date]])&amp;"-"&amp;TEXT(WEEKNUM(Weekly_Prices[[#This Row],[Date]],2),"00")</f>
        <v>2017-15</v>
      </c>
    </row>
    <row r="724" spans="1:15" x14ac:dyDescent="0.35">
      <c r="A724" s="2">
        <v>42835</v>
      </c>
      <c r="B724" s="3">
        <v>117.02166</v>
      </c>
      <c r="C724" s="4">
        <f t="shared" si="44"/>
        <v>9.5115000000006944E-2</v>
      </c>
      <c r="D724" s="4">
        <f t="shared" si="42"/>
        <v>11.63108600000001</v>
      </c>
      <c r="E724" s="3">
        <v>57.95</v>
      </c>
      <c r="F724" s="3">
        <v>20</v>
      </c>
      <c r="G724" s="3">
        <v>119.97607199999999</v>
      </c>
      <c r="H724" s="4">
        <f t="shared" si="45"/>
        <v>6.0479999999998313E-2</v>
      </c>
      <c r="I724" s="4">
        <f t="shared" si="43"/>
        <v>13.997387999999987</v>
      </c>
      <c r="J724" s="3">
        <v>57.95</v>
      </c>
      <c r="K724" s="3">
        <v>20</v>
      </c>
      <c r="L724" s="13">
        <f>YEAR(Weekly_Prices[[#This Row],[Date]])</f>
        <v>2017</v>
      </c>
      <c r="M724" s="13">
        <f>MONTH(Weekly_Prices[[#This Row],[Date]])</f>
        <v>4</v>
      </c>
      <c r="N724" s="3" t="str">
        <f>TEXT(Weekly_Prices[[#This Row],[Date]],"MMMM")</f>
        <v>April</v>
      </c>
      <c r="O724" s="3" t="str">
        <f>YEAR(Weekly_Prices[[#This Row],[Date]])&amp;"-"&amp;TEXT(WEEKNUM(Weekly_Prices[[#This Row],[Date]],2),"00")</f>
        <v>2017-16</v>
      </c>
    </row>
    <row r="725" spans="1:15" x14ac:dyDescent="0.35">
      <c r="A725" s="2">
        <v>42842</v>
      </c>
      <c r="B725" s="3">
        <v>117.53871200000002</v>
      </c>
      <c r="C725" s="4">
        <f t="shared" si="44"/>
        <v>0.51705200000002094</v>
      </c>
      <c r="D725" s="4">
        <f t="shared" si="42"/>
        <v>11.131992899000025</v>
      </c>
      <c r="E725" s="3">
        <v>57.95</v>
      </c>
      <c r="F725" s="3">
        <v>20</v>
      </c>
      <c r="G725" s="3">
        <v>120.36304</v>
      </c>
      <c r="H725" s="4">
        <f t="shared" si="45"/>
        <v>0.38696800000001019</v>
      </c>
      <c r="I725" s="4">
        <f t="shared" si="43"/>
        <v>13.392984304000009</v>
      </c>
      <c r="J725" s="3">
        <v>57.95</v>
      </c>
      <c r="K725" s="3">
        <v>20</v>
      </c>
      <c r="L725" s="13">
        <f>YEAR(Weekly_Prices[[#This Row],[Date]])</f>
        <v>2017</v>
      </c>
      <c r="M725" s="13">
        <f>MONTH(Weekly_Prices[[#This Row],[Date]])</f>
        <v>4</v>
      </c>
      <c r="N725" s="3" t="str">
        <f>TEXT(Weekly_Prices[[#This Row],[Date]],"MMMM")</f>
        <v>April</v>
      </c>
      <c r="O725" s="3" t="str">
        <f>YEAR(Weekly_Prices[[#This Row],[Date]])&amp;"-"&amp;TEXT(WEEKNUM(Weekly_Prices[[#This Row],[Date]],2),"00")</f>
        <v>2017-17</v>
      </c>
    </row>
    <row r="726" spans="1:15" x14ac:dyDescent="0.35">
      <c r="A726" s="2">
        <v>42849</v>
      </c>
      <c r="B726" s="3">
        <v>118.14752200000001</v>
      </c>
      <c r="C726" s="4">
        <f t="shared" si="44"/>
        <v>0.60880999999999119</v>
      </c>
      <c r="D726" s="4">
        <f t="shared" si="42"/>
        <v>11.006344000000013</v>
      </c>
      <c r="E726" s="3">
        <v>57.95</v>
      </c>
      <c r="F726" s="3">
        <v>20</v>
      </c>
      <c r="G726" s="3">
        <v>120.769471</v>
      </c>
      <c r="H726" s="4">
        <f t="shared" si="45"/>
        <v>0.40643099999999777</v>
      </c>
      <c r="I726" s="4">
        <f t="shared" si="43"/>
        <v>13.097748999999993</v>
      </c>
      <c r="J726" s="3">
        <v>57.95</v>
      </c>
      <c r="K726" s="3">
        <v>20</v>
      </c>
      <c r="L726" s="13">
        <f>YEAR(Weekly_Prices[[#This Row],[Date]])</f>
        <v>2017</v>
      </c>
      <c r="M726" s="13">
        <f>MONTH(Weekly_Prices[[#This Row],[Date]])</f>
        <v>4</v>
      </c>
      <c r="N726" s="3" t="str">
        <f>TEXT(Weekly_Prices[[#This Row],[Date]],"MMMM")</f>
        <v>April</v>
      </c>
      <c r="O726" s="3" t="str">
        <f>YEAR(Weekly_Prices[[#This Row],[Date]])&amp;"-"&amp;TEXT(WEEKNUM(Weekly_Prices[[#This Row],[Date]],2),"00")</f>
        <v>2017-18</v>
      </c>
    </row>
    <row r="727" spans="1:15" x14ac:dyDescent="0.35">
      <c r="A727" s="2">
        <v>42856</v>
      </c>
      <c r="B727" s="3">
        <v>118.08190500000001</v>
      </c>
      <c r="C727" s="4">
        <f t="shared" si="44"/>
        <v>-6.5617000000003145E-2</v>
      </c>
      <c r="D727" s="4">
        <f t="shared" si="42"/>
        <v>10.264257999999998</v>
      </c>
      <c r="E727" s="3">
        <v>57.95</v>
      </c>
      <c r="F727" s="3">
        <v>20</v>
      </c>
      <c r="G727" s="3">
        <v>120.77887400000002</v>
      </c>
      <c r="H727" s="4">
        <f t="shared" si="45"/>
        <v>9.4030000000202563E-3</v>
      </c>
      <c r="I727" s="4">
        <f t="shared" si="43"/>
        <v>12.200344000000015</v>
      </c>
      <c r="J727" s="3">
        <v>57.95</v>
      </c>
      <c r="K727" s="3">
        <v>20</v>
      </c>
      <c r="L727" s="13">
        <f>YEAR(Weekly_Prices[[#This Row],[Date]])</f>
        <v>2017</v>
      </c>
      <c r="M727" s="13">
        <f>MONTH(Weekly_Prices[[#This Row],[Date]])</f>
        <v>5</v>
      </c>
      <c r="N727" s="3" t="str">
        <f>TEXT(Weekly_Prices[[#This Row],[Date]],"MMMM")</f>
        <v>May</v>
      </c>
      <c r="O727" s="3" t="str">
        <f>YEAR(Weekly_Prices[[#This Row],[Date]])&amp;"-"&amp;TEXT(WEEKNUM(Weekly_Prices[[#This Row],[Date]],2),"00")</f>
        <v>2017-19</v>
      </c>
    </row>
    <row r="728" spans="1:15" x14ac:dyDescent="0.35">
      <c r="A728" s="2">
        <v>42863</v>
      </c>
      <c r="B728" s="3">
        <v>117.05804500000001</v>
      </c>
      <c r="C728" s="4">
        <f t="shared" si="44"/>
        <v>-1.0238599999999991</v>
      </c>
      <c r="D728" s="4">
        <f t="shared" si="42"/>
        <v>8.8672980000000052</v>
      </c>
      <c r="E728" s="3">
        <v>57.95</v>
      </c>
      <c r="F728" s="3">
        <v>20</v>
      </c>
      <c r="G728" s="3">
        <v>119.340665</v>
      </c>
      <c r="H728" s="4">
        <f t="shared" si="45"/>
        <v>-1.4382090000000147</v>
      </c>
      <c r="I728" s="4">
        <f t="shared" si="43"/>
        <v>10.337006000000002</v>
      </c>
      <c r="J728" s="3">
        <v>57.95</v>
      </c>
      <c r="K728" s="3">
        <v>20</v>
      </c>
      <c r="L728" s="13">
        <f>YEAR(Weekly_Prices[[#This Row],[Date]])</f>
        <v>2017</v>
      </c>
      <c r="M728" s="13">
        <f>MONTH(Weekly_Prices[[#This Row],[Date]])</f>
        <v>5</v>
      </c>
      <c r="N728" s="3" t="str">
        <f>TEXT(Weekly_Prices[[#This Row],[Date]],"MMMM")</f>
        <v>May</v>
      </c>
      <c r="O728" s="3" t="str">
        <f>YEAR(Weekly_Prices[[#This Row],[Date]])&amp;"-"&amp;TEXT(WEEKNUM(Weekly_Prices[[#This Row],[Date]],2),"00")</f>
        <v>2017-20</v>
      </c>
    </row>
    <row r="729" spans="1:15" x14ac:dyDescent="0.35">
      <c r="A729" s="2">
        <v>42870</v>
      </c>
      <c r="B729" s="3">
        <v>115.60102599999998</v>
      </c>
      <c r="C729" s="4">
        <f t="shared" si="44"/>
        <v>-1.4570190000000309</v>
      </c>
      <c r="D729" s="4">
        <f t="shared" si="42"/>
        <v>7.0728389999999735</v>
      </c>
      <c r="E729" s="3">
        <v>57.95</v>
      </c>
      <c r="F729" s="3">
        <v>20</v>
      </c>
      <c r="G729" s="3">
        <v>117.649216</v>
      </c>
      <c r="H729" s="4">
        <f t="shared" si="45"/>
        <v>-1.6914490000000058</v>
      </c>
      <c r="I729" s="4">
        <f t="shared" si="43"/>
        <v>8.3529819999999972</v>
      </c>
      <c r="J729" s="3">
        <v>57.95</v>
      </c>
      <c r="K729" s="3">
        <v>20</v>
      </c>
      <c r="L729" s="13">
        <f>YEAR(Weekly_Prices[[#This Row],[Date]])</f>
        <v>2017</v>
      </c>
      <c r="M729" s="13">
        <f>MONTH(Weekly_Prices[[#This Row],[Date]])</f>
        <v>5</v>
      </c>
      <c r="N729" s="3" t="str">
        <f>TEXT(Weekly_Prices[[#This Row],[Date]],"MMMM")</f>
        <v>May</v>
      </c>
      <c r="O729" s="3" t="str">
        <f>YEAR(Weekly_Prices[[#This Row],[Date]])&amp;"-"&amp;TEXT(WEEKNUM(Weekly_Prices[[#This Row],[Date]],2),"00")</f>
        <v>2017-21</v>
      </c>
    </row>
    <row r="730" spans="1:15" x14ac:dyDescent="0.35">
      <c r="A730" s="2">
        <v>42877</v>
      </c>
      <c r="B730" s="3">
        <v>115.67225499999999</v>
      </c>
      <c r="C730" s="4">
        <f t="shared" si="44"/>
        <v>7.122900000001664E-2</v>
      </c>
      <c r="D730" s="4">
        <f t="shared" si="42"/>
        <v>6.549217999999982</v>
      </c>
      <c r="E730" s="3">
        <v>57.95</v>
      </c>
      <c r="F730" s="3">
        <v>20</v>
      </c>
      <c r="G730" s="3">
        <v>117.75771</v>
      </c>
      <c r="H730" s="4">
        <f t="shared" si="45"/>
        <v>0.10849400000000742</v>
      </c>
      <c r="I730" s="4">
        <f t="shared" si="43"/>
        <v>7.8527720000000159</v>
      </c>
      <c r="J730" s="3">
        <v>57.95</v>
      </c>
      <c r="K730" s="3">
        <v>20</v>
      </c>
      <c r="L730" s="13">
        <f>YEAR(Weekly_Prices[[#This Row],[Date]])</f>
        <v>2017</v>
      </c>
      <c r="M730" s="13">
        <f>MONTH(Weekly_Prices[[#This Row],[Date]])</f>
        <v>5</v>
      </c>
      <c r="N730" s="3" t="str">
        <f>TEXT(Weekly_Prices[[#This Row],[Date]],"MMMM")</f>
        <v>May</v>
      </c>
      <c r="O730" s="3" t="str">
        <f>YEAR(Weekly_Prices[[#This Row],[Date]])&amp;"-"&amp;TEXT(WEEKNUM(Weekly_Prices[[#This Row],[Date]],2),"00")</f>
        <v>2017-22</v>
      </c>
    </row>
    <row r="731" spans="1:15" x14ac:dyDescent="0.35">
      <c r="A731" s="2">
        <v>42884</v>
      </c>
      <c r="B731" s="3">
        <v>115.79469332000001</v>
      </c>
      <c r="C731" s="4">
        <f t="shared" si="44"/>
        <v>0.12243832000001476</v>
      </c>
      <c r="D731" s="4">
        <f t="shared" si="42"/>
        <v>6.0085672780000152</v>
      </c>
      <c r="E731" s="3">
        <v>57.95</v>
      </c>
      <c r="F731" s="3">
        <v>20</v>
      </c>
      <c r="G731" s="3">
        <v>117.88009756000001</v>
      </c>
      <c r="H731" s="4">
        <f t="shared" si="45"/>
        <v>0.12238756000000706</v>
      </c>
      <c r="I731" s="4">
        <f t="shared" si="43"/>
        <v>7.1801427760000109</v>
      </c>
      <c r="J731" s="3">
        <v>57.95</v>
      </c>
      <c r="K731" s="3">
        <v>20</v>
      </c>
      <c r="L731" s="13">
        <f>YEAR(Weekly_Prices[[#This Row],[Date]])</f>
        <v>2017</v>
      </c>
      <c r="M731" s="13">
        <f>MONTH(Weekly_Prices[[#This Row],[Date]])</f>
        <v>5</v>
      </c>
      <c r="N731" s="3" t="str">
        <f>TEXT(Weekly_Prices[[#This Row],[Date]],"MMMM")</f>
        <v>May</v>
      </c>
      <c r="O731" s="3" t="str">
        <f>YEAR(Weekly_Prices[[#This Row],[Date]])&amp;"-"&amp;TEXT(WEEKNUM(Weekly_Prices[[#This Row],[Date]],2),"00")</f>
        <v>2017-23</v>
      </c>
    </row>
    <row r="732" spans="1:15" x14ac:dyDescent="0.35">
      <c r="A732" s="2">
        <v>42891</v>
      </c>
      <c r="B732" s="3">
        <v>115.820833949</v>
      </c>
      <c r="C732" s="4">
        <f t="shared" si="44"/>
        <v>2.6140628999996807E-2</v>
      </c>
      <c r="D732" s="4">
        <f t="shared" si="42"/>
        <v>5.4185812430000055</v>
      </c>
      <c r="E732" s="3">
        <v>57.95</v>
      </c>
      <c r="F732" s="3">
        <v>20</v>
      </c>
      <c r="G732" s="3">
        <v>117.947298136</v>
      </c>
      <c r="H732" s="4">
        <f t="shared" si="45"/>
        <v>6.7200575999990519E-2</v>
      </c>
      <c r="I732" s="4">
        <f t="shared" si="43"/>
        <v>6.5199973039999861</v>
      </c>
      <c r="J732" s="3">
        <v>57.95</v>
      </c>
      <c r="K732" s="3">
        <v>20</v>
      </c>
      <c r="L732" s="13">
        <f>YEAR(Weekly_Prices[[#This Row],[Date]])</f>
        <v>2017</v>
      </c>
      <c r="M732" s="13">
        <f>MONTH(Weekly_Prices[[#This Row],[Date]])</f>
        <v>6</v>
      </c>
      <c r="N732" s="3" t="str">
        <f>TEXT(Weekly_Prices[[#This Row],[Date]],"MMMM")</f>
        <v>June</v>
      </c>
      <c r="O732" s="3" t="str">
        <f>YEAR(Weekly_Prices[[#This Row],[Date]])&amp;"-"&amp;TEXT(WEEKNUM(Weekly_Prices[[#This Row],[Date]],2),"00")</f>
        <v>2017-24</v>
      </c>
    </row>
    <row r="733" spans="1:15" x14ac:dyDescent="0.35">
      <c r="A733" s="2">
        <v>42898</v>
      </c>
      <c r="B733" s="3">
        <v>115.69343849000001</v>
      </c>
      <c r="C733" s="4">
        <f t="shared" si="44"/>
        <v>-0.12739545899999882</v>
      </c>
      <c r="D733" s="4">
        <f t="shared" si="42"/>
        <v>4.6628354900000062</v>
      </c>
      <c r="E733" s="3">
        <v>57.95</v>
      </c>
      <c r="F733" s="3">
        <v>20</v>
      </c>
      <c r="G733" s="3">
        <v>117.760837096</v>
      </c>
      <c r="H733" s="4">
        <f t="shared" si="45"/>
        <v>-0.18646103999999752</v>
      </c>
      <c r="I733" s="4">
        <f t="shared" si="43"/>
        <v>5.7709460959999888</v>
      </c>
      <c r="J733" s="3">
        <v>57.95</v>
      </c>
      <c r="K733" s="3">
        <v>20</v>
      </c>
      <c r="L733" s="13">
        <f>YEAR(Weekly_Prices[[#This Row],[Date]])</f>
        <v>2017</v>
      </c>
      <c r="M733" s="13">
        <f>MONTH(Weekly_Prices[[#This Row],[Date]])</f>
        <v>6</v>
      </c>
      <c r="N733" s="3" t="str">
        <f>TEXT(Weekly_Prices[[#This Row],[Date]],"MMMM")</f>
        <v>June</v>
      </c>
      <c r="O733" s="3" t="str">
        <f>YEAR(Weekly_Prices[[#This Row],[Date]])&amp;"-"&amp;TEXT(WEEKNUM(Weekly_Prices[[#This Row],[Date]],2),"00")</f>
        <v>2017-25</v>
      </c>
    </row>
    <row r="734" spans="1:15" x14ac:dyDescent="0.35">
      <c r="A734" s="2">
        <v>42905</v>
      </c>
      <c r="B734" s="3">
        <v>115.11818199999999</v>
      </c>
      <c r="C734" s="4">
        <f t="shared" si="44"/>
        <v>-0.57525649000001522</v>
      </c>
      <c r="D734" s="4">
        <f t="shared" si="42"/>
        <v>3.8956899999999877</v>
      </c>
      <c r="E734" s="3">
        <v>57.95</v>
      </c>
      <c r="F734" s="3">
        <v>20</v>
      </c>
      <c r="G734" s="3">
        <v>117.179143</v>
      </c>
      <c r="H734" s="4">
        <f t="shared" si="45"/>
        <v>-0.58169409600000677</v>
      </c>
      <c r="I734" s="4">
        <f t="shared" si="43"/>
        <v>4.8691290000000009</v>
      </c>
      <c r="J734" s="3">
        <v>57.95</v>
      </c>
      <c r="K734" s="3">
        <v>20</v>
      </c>
      <c r="L734" s="13">
        <f>YEAR(Weekly_Prices[[#This Row],[Date]])</f>
        <v>2017</v>
      </c>
      <c r="M734" s="13">
        <f>MONTH(Weekly_Prices[[#This Row],[Date]])</f>
        <v>6</v>
      </c>
      <c r="N734" s="3" t="str">
        <f>TEXT(Weekly_Prices[[#This Row],[Date]],"MMMM")</f>
        <v>June</v>
      </c>
      <c r="O734" s="3" t="str">
        <f>YEAR(Weekly_Prices[[#This Row],[Date]])&amp;"-"&amp;TEXT(WEEKNUM(Weekly_Prices[[#This Row],[Date]],2),"00")</f>
        <v>2017-26</v>
      </c>
    </row>
    <row r="735" spans="1:15" x14ac:dyDescent="0.35">
      <c r="A735" s="2">
        <v>42912</v>
      </c>
      <c r="B735" s="3">
        <v>114.42645200000001</v>
      </c>
      <c r="C735" s="4">
        <f t="shared" si="44"/>
        <v>-0.69172999999997842</v>
      </c>
      <c r="D735" s="4">
        <f t="shared" si="42"/>
        <v>2.9835670000000079</v>
      </c>
      <c r="E735" s="3">
        <v>57.95</v>
      </c>
      <c r="F735" s="3">
        <v>20</v>
      </c>
      <c r="G735" s="3">
        <v>116.256883</v>
      </c>
      <c r="H735" s="4">
        <f t="shared" si="45"/>
        <v>-0.92225999999999431</v>
      </c>
      <c r="I735" s="4">
        <f t="shared" si="43"/>
        <v>3.6985240000000061</v>
      </c>
      <c r="J735" s="3">
        <v>57.95</v>
      </c>
      <c r="K735" s="3">
        <v>20</v>
      </c>
      <c r="L735" s="13">
        <f>YEAR(Weekly_Prices[[#This Row],[Date]])</f>
        <v>2017</v>
      </c>
      <c r="M735" s="13">
        <f>MONTH(Weekly_Prices[[#This Row],[Date]])</f>
        <v>6</v>
      </c>
      <c r="N735" s="3" t="str">
        <f>TEXT(Weekly_Prices[[#This Row],[Date]],"MMMM")</f>
        <v>June</v>
      </c>
      <c r="O735" s="3" t="str">
        <f>YEAR(Weekly_Prices[[#This Row],[Date]])&amp;"-"&amp;TEXT(WEEKNUM(Weekly_Prices[[#This Row],[Date]],2),"00")</f>
        <v>2017-27</v>
      </c>
    </row>
    <row r="736" spans="1:15" x14ac:dyDescent="0.35">
      <c r="A736" s="2">
        <v>42919</v>
      </c>
      <c r="B736" s="3">
        <v>113.74064700000001</v>
      </c>
      <c r="C736" s="4">
        <f t="shared" si="44"/>
        <v>-0.685805000000002</v>
      </c>
      <c r="D736" s="4">
        <f t="shared" si="42"/>
        <v>2.0915930000000031</v>
      </c>
      <c r="E736" s="3">
        <v>57.95</v>
      </c>
      <c r="F736" s="3">
        <v>20</v>
      </c>
      <c r="G736" s="3">
        <v>115.62853399999999</v>
      </c>
      <c r="H736" s="4">
        <f t="shared" si="45"/>
        <v>-0.62834900000001426</v>
      </c>
      <c r="I736" s="4">
        <f t="shared" si="43"/>
        <v>2.7699539999999985</v>
      </c>
      <c r="J736" s="3">
        <v>57.95</v>
      </c>
      <c r="K736" s="3">
        <v>20</v>
      </c>
      <c r="L736" s="13">
        <f>YEAR(Weekly_Prices[[#This Row],[Date]])</f>
        <v>2017</v>
      </c>
      <c r="M736" s="13">
        <f>MONTH(Weekly_Prices[[#This Row],[Date]])</f>
        <v>7</v>
      </c>
      <c r="N736" s="3" t="str">
        <f>TEXT(Weekly_Prices[[#This Row],[Date]],"MMMM")</f>
        <v>July</v>
      </c>
      <c r="O736" s="3" t="str">
        <f>YEAR(Weekly_Prices[[#This Row],[Date]])&amp;"-"&amp;TEXT(WEEKNUM(Weekly_Prices[[#This Row],[Date]],2),"00")</f>
        <v>2017-28</v>
      </c>
    </row>
    <row r="737" spans="1:15" x14ac:dyDescent="0.35">
      <c r="A737" s="2">
        <v>42926</v>
      </c>
      <c r="B737" s="3">
        <v>113.577129</v>
      </c>
      <c r="C737" s="4">
        <f t="shared" si="44"/>
        <v>-0.16351800000001049</v>
      </c>
      <c r="D737" s="4">
        <f t="shared" si="42"/>
        <v>1.6822930000000156</v>
      </c>
      <c r="E737" s="3">
        <v>57.95</v>
      </c>
      <c r="F737" s="3">
        <v>20</v>
      </c>
      <c r="G737" s="3">
        <v>115.29017899999998</v>
      </c>
      <c r="H737" s="4">
        <f t="shared" si="45"/>
        <v>-0.33835500000000707</v>
      </c>
      <c r="I737" s="4">
        <f t="shared" si="43"/>
        <v>2.1981139999999755</v>
      </c>
      <c r="J737" s="3">
        <v>57.95</v>
      </c>
      <c r="K737" s="3">
        <v>20</v>
      </c>
      <c r="L737" s="13">
        <f>YEAR(Weekly_Prices[[#This Row],[Date]])</f>
        <v>2017</v>
      </c>
      <c r="M737" s="13">
        <f>MONTH(Weekly_Prices[[#This Row],[Date]])</f>
        <v>7</v>
      </c>
      <c r="N737" s="3" t="str">
        <f>TEXT(Weekly_Prices[[#This Row],[Date]],"MMMM")</f>
        <v>July</v>
      </c>
      <c r="O737" s="3" t="str">
        <f>YEAR(Weekly_Prices[[#This Row],[Date]])&amp;"-"&amp;TEXT(WEEKNUM(Weekly_Prices[[#This Row],[Date]],2),"00")</f>
        <v>2017-29</v>
      </c>
    </row>
    <row r="738" spans="1:15" x14ac:dyDescent="0.35">
      <c r="A738" s="2">
        <v>42933</v>
      </c>
      <c r="B738" s="3">
        <v>113.88767</v>
      </c>
      <c r="C738" s="4">
        <f t="shared" si="44"/>
        <v>0.31054100000000062</v>
      </c>
      <c r="D738" s="4">
        <f t="shared" si="42"/>
        <v>1.9711510000000061</v>
      </c>
      <c r="E738" s="3">
        <v>57.95</v>
      </c>
      <c r="F738" s="3">
        <v>20</v>
      </c>
      <c r="G738" s="3">
        <v>115.58325500000001</v>
      </c>
      <c r="H738" s="4">
        <f t="shared" si="45"/>
        <v>0.29307600000002765</v>
      </c>
      <c r="I738" s="4">
        <f t="shared" si="43"/>
        <v>2.5845280000000059</v>
      </c>
      <c r="J738" s="3">
        <v>57.95</v>
      </c>
      <c r="K738" s="3">
        <v>20</v>
      </c>
      <c r="L738" s="13">
        <f>YEAR(Weekly_Prices[[#This Row],[Date]])</f>
        <v>2017</v>
      </c>
      <c r="M738" s="13">
        <f>MONTH(Weekly_Prices[[#This Row],[Date]])</f>
        <v>7</v>
      </c>
      <c r="N738" s="3" t="str">
        <f>TEXT(Weekly_Prices[[#This Row],[Date]],"MMMM")</f>
        <v>July</v>
      </c>
      <c r="O738" s="3" t="str">
        <f>YEAR(Weekly_Prices[[#This Row],[Date]])&amp;"-"&amp;TEXT(WEEKNUM(Weekly_Prices[[#This Row],[Date]],2),"00")</f>
        <v>2017-30</v>
      </c>
    </row>
    <row r="739" spans="1:15" x14ac:dyDescent="0.35">
      <c r="A739" s="2">
        <v>42940</v>
      </c>
      <c r="B739" s="3">
        <v>113.993246</v>
      </c>
      <c r="C739" s="4">
        <f t="shared" si="44"/>
        <v>0.10557599999999923</v>
      </c>
      <c r="D739" s="4">
        <f t="shared" si="42"/>
        <v>2.3025710000000004</v>
      </c>
      <c r="E739" s="3">
        <v>57.95</v>
      </c>
      <c r="F739" s="3">
        <v>20</v>
      </c>
      <c r="G739" s="3">
        <v>115.72938499999999</v>
      </c>
      <c r="H739" s="4">
        <f t="shared" si="45"/>
        <v>0.14612999999998522</v>
      </c>
      <c r="I739" s="4">
        <f t="shared" si="43"/>
        <v>2.8358089999999834</v>
      </c>
      <c r="J739" s="3">
        <v>57.95</v>
      </c>
      <c r="K739" s="3">
        <v>20</v>
      </c>
      <c r="L739" s="13">
        <f>YEAR(Weekly_Prices[[#This Row],[Date]])</f>
        <v>2017</v>
      </c>
      <c r="M739" s="13">
        <f>MONTH(Weekly_Prices[[#This Row],[Date]])</f>
        <v>7</v>
      </c>
      <c r="N739" s="3" t="str">
        <f>TEXT(Weekly_Prices[[#This Row],[Date]],"MMMM")</f>
        <v>July</v>
      </c>
      <c r="O739" s="3" t="str">
        <f>YEAR(Weekly_Prices[[#This Row],[Date]])&amp;"-"&amp;TEXT(WEEKNUM(Weekly_Prices[[#This Row],[Date]],2),"00")</f>
        <v>2017-31</v>
      </c>
    </row>
    <row r="740" spans="1:15" x14ac:dyDescent="0.35">
      <c r="A740" s="2">
        <v>42947</v>
      </c>
      <c r="B740" s="3">
        <v>114.16122700000001</v>
      </c>
      <c r="C740" s="4">
        <f t="shared" si="44"/>
        <v>0.1679810000000117</v>
      </c>
      <c r="D740" s="4">
        <f t="shared" si="42"/>
        <v>3.1158920000000165</v>
      </c>
      <c r="E740" s="3">
        <v>57.95</v>
      </c>
      <c r="F740" s="3">
        <v>20</v>
      </c>
      <c r="G740" s="3">
        <v>115.98929800000001</v>
      </c>
      <c r="H740" s="4">
        <f t="shared" si="45"/>
        <v>0.25991300000001161</v>
      </c>
      <c r="I740" s="4">
        <f t="shared" si="43"/>
        <v>3.5636680000000069</v>
      </c>
      <c r="J740" s="3">
        <v>57.95</v>
      </c>
      <c r="K740" s="3">
        <v>20</v>
      </c>
      <c r="L740" s="13">
        <f>YEAR(Weekly_Prices[[#This Row],[Date]])</f>
        <v>2017</v>
      </c>
      <c r="M740" s="13">
        <f>MONTH(Weekly_Prices[[#This Row],[Date]])</f>
        <v>7</v>
      </c>
      <c r="N740" s="3" t="str">
        <f>TEXT(Weekly_Prices[[#This Row],[Date]],"MMMM")</f>
        <v>July</v>
      </c>
      <c r="O740" s="3" t="str">
        <f>YEAR(Weekly_Prices[[#This Row],[Date]])&amp;"-"&amp;TEXT(WEEKNUM(Weekly_Prices[[#This Row],[Date]],2),"00")</f>
        <v>2017-32</v>
      </c>
    </row>
    <row r="741" spans="1:15" x14ac:dyDescent="0.35">
      <c r="A741" s="2">
        <v>42954</v>
      </c>
      <c r="B741" s="3">
        <v>114.78238599999999</v>
      </c>
      <c r="C741" s="4">
        <f t="shared" si="44"/>
        <v>0.62115899999997737</v>
      </c>
      <c r="D741" s="4">
        <f t="shared" si="42"/>
        <v>5.0338429999999761</v>
      </c>
      <c r="E741" s="3">
        <v>57.95</v>
      </c>
      <c r="F741" s="3">
        <v>20</v>
      </c>
      <c r="G741" s="3">
        <v>116.64198000000002</v>
      </c>
      <c r="H741" s="4">
        <f t="shared" si="45"/>
        <v>0.65268200000001286</v>
      </c>
      <c r="I741" s="4">
        <f t="shared" si="43"/>
        <v>5.2375780000000134</v>
      </c>
      <c r="J741" s="3">
        <v>57.95</v>
      </c>
      <c r="K741" s="3">
        <v>20</v>
      </c>
      <c r="L741" s="13">
        <f>YEAR(Weekly_Prices[[#This Row],[Date]])</f>
        <v>2017</v>
      </c>
      <c r="M741" s="13">
        <f>MONTH(Weekly_Prices[[#This Row],[Date]])</f>
        <v>8</v>
      </c>
      <c r="N741" s="3" t="str">
        <f>TEXT(Weekly_Prices[[#This Row],[Date]],"MMMM")</f>
        <v>August</v>
      </c>
      <c r="O741" s="3" t="str">
        <f>YEAR(Weekly_Prices[[#This Row],[Date]])&amp;"-"&amp;TEXT(WEEKNUM(Weekly_Prices[[#This Row],[Date]],2),"00")</f>
        <v>2017-33</v>
      </c>
    </row>
    <row r="742" spans="1:15" x14ac:dyDescent="0.35">
      <c r="A742" s="2">
        <v>42961</v>
      </c>
      <c r="B742" s="3">
        <v>115.525835</v>
      </c>
      <c r="C742" s="4">
        <f t="shared" si="44"/>
        <v>0.74344900000001246</v>
      </c>
      <c r="D742" s="4">
        <f t="shared" si="42"/>
        <v>6.2492069999999984</v>
      </c>
      <c r="E742" s="3">
        <v>57.95</v>
      </c>
      <c r="F742" s="3">
        <v>20</v>
      </c>
      <c r="G742" s="3">
        <v>117.42689699999998</v>
      </c>
      <c r="H742" s="4">
        <f t="shared" si="45"/>
        <v>0.78491699999996456</v>
      </c>
      <c r="I742" s="4">
        <f t="shared" si="43"/>
        <v>6.4083269999999715</v>
      </c>
      <c r="J742" s="3">
        <v>57.95</v>
      </c>
      <c r="K742" s="3">
        <v>20</v>
      </c>
      <c r="L742" s="13">
        <f>YEAR(Weekly_Prices[[#This Row],[Date]])</f>
        <v>2017</v>
      </c>
      <c r="M742" s="13">
        <f>MONTH(Weekly_Prices[[#This Row],[Date]])</f>
        <v>8</v>
      </c>
      <c r="N742" s="3" t="str">
        <f>TEXT(Weekly_Prices[[#This Row],[Date]],"MMMM")</f>
        <v>August</v>
      </c>
      <c r="O742" s="3" t="str">
        <f>YEAR(Weekly_Prices[[#This Row],[Date]])&amp;"-"&amp;TEXT(WEEKNUM(Weekly_Prices[[#This Row],[Date]],2),"00")</f>
        <v>2017-34</v>
      </c>
    </row>
    <row r="743" spans="1:15" x14ac:dyDescent="0.35">
      <c r="A743" s="2">
        <v>42968</v>
      </c>
      <c r="B743" s="3">
        <v>116.04348000000002</v>
      </c>
      <c r="C743" s="4">
        <f t="shared" si="44"/>
        <v>0.5176450000000159</v>
      </c>
      <c r="D743" s="4">
        <f t="shared" si="42"/>
        <v>6.4089170000000166</v>
      </c>
      <c r="E743" s="3">
        <v>57.95</v>
      </c>
      <c r="F743" s="3">
        <v>20</v>
      </c>
      <c r="G743" s="3">
        <v>118.046673</v>
      </c>
      <c r="H743" s="4">
        <f t="shared" si="45"/>
        <v>0.61977600000001587</v>
      </c>
      <c r="I743" s="4">
        <f t="shared" si="43"/>
        <v>6.3405589999999989</v>
      </c>
      <c r="J743" s="3">
        <v>57.95</v>
      </c>
      <c r="K743" s="3">
        <v>20</v>
      </c>
      <c r="L743" s="13">
        <f>YEAR(Weekly_Prices[[#This Row],[Date]])</f>
        <v>2017</v>
      </c>
      <c r="M743" s="13">
        <f>MONTH(Weekly_Prices[[#This Row],[Date]])</f>
        <v>8</v>
      </c>
      <c r="N743" s="3" t="str">
        <f>TEXT(Weekly_Prices[[#This Row],[Date]],"MMMM")</f>
        <v>August</v>
      </c>
      <c r="O743" s="3" t="str">
        <f>YEAR(Weekly_Prices[[#This Row],[Date]])&amp;"-"&amp;TEXT(WEEKNUM(Weekly_Prices[[#This Row],[Date]],2),"00")</f>
        <v>2017-35</v>
      </c>
    </row>
    <row r="744" spans="1:15" x14ac:dyDescent="0.35">
      <c r="A744" s="2">
        <v>42975</v>
      </c>
      <c r="B744" s="3">
        <v>116.40229699999998</v>
      </c>
      <c r="C744" s="4">
        <f t="shared" si="44"/>
        <v>0.35881699999995931</v>
      </c>
      <c r="D744" s="4">
        <f t="shared" si="42"/>
        <v>5.9695999999999856</v>
      </c>
      <c r="E744" s="3">
        <v>57.95</v>
      </c>
      <c r="F744" s="3">
        <v>20</v>
      </c>
      <c r="G744" s="3">
        <v>118.241035</v>
      </c>
      <c r="H744" s="4">
        <f t="shared" si="45"/>
        <v>0.19436199999999815</v>
      </c>
      <c r="I744" s="4">
        <f t="shared" si="43"/>
        <v>5.6918889999999891</v>
      </c>
      <c r="J744" s="3">
        <v>57.95</v>
      </c>
      <c r="K744" s="3">
        <v>20</v>
      </c>
      <c r="L744" s="13">
        <f>YEAR(Weekly_Prices[[#This Row],[Date]])</f>
        <v>2017</v>
      </c>
      <c r="M744" s="13">
        <f>MONTH(Weekly_Prices[[#This Row],[Date]])</f>
        <v>8</v>
      </c>
      <c r="N744" s="3" t="str">
        <f>TEXT(Weekly_Prices[[#This Row],[Date]],"MMMM")</f>
        <v>August</v>
      </c>
      <c r="O744" s="3" t="str">
        <f>YEAR(Weekly_Prices[[#This Row],[Date]])&amp;"-"&amp;TEXT(WEEKNUM(Weekly_Prices[[#This Row],[Date]],2),"00")</f>
        <v>2017-36</v>
      </c>
    </row>
    <row r="745" spans="1:15" x14ac:dyDescent="0.35">
      <c r="A745" s="2">
        <v>42982</v>
      </c>
      <c r="B745" s="3">
        <v>116.951427</v>
      </c>
      <c r="C745" s="4">
        <f t="shared" si="44"/>
        <v>0.54913000000001944</v>
      </c>
      <c r="D745" s="4">
        <f t="shared" si="42"/>
        <v>5.9805619999999919</v>
      </c>
      <c r="E745" s="3">
        <v>57.95</v>
      </c>
      <c r="F745" s="3">
        <v>20</v>
      </c>
      <c r="G745" s="3">
        <v>118.77000200000001</v>
      </c>
      <c r="H745" s="4">
        <f t="shared" si="45"/>
        <v>0.52896700000000862</v>
      </c>
      <c r="I745" s="4">
        <f t="shared" si="43"/>
        <v>5.6688950000000204</v>
      </c>
      <c r="J745" s="3">
        <v>57.95</v>
      </c>
      <c r="K745" s="3">
        <v>20</v>
      </c>
      <c r="L745" s="13">
        <f>YEAR(Weekly_Prices[[#This Row],[Date]])</f>
        <v>2017</v>
      </c>
      <c r="M745" s="13">
        <f>MONTH(Weekly_Prices[[#This Row],[Date]])</f>
        <v>9</v>
      </c>
      <c r="N745" s="3" t="str">
        <f>TEXT(Weekly_Prices[[#This Row],[Date]],"MMMM")</f>
        <v>September</v>
      </c>
      <c r="O745" s="3" t="str">
        <f>YEAR(Weekly_Prices[[#This Row],[Date]])&amp;"-"&amp;TEXT(WEEKNUM(Weekly_Prices[[#This Row],[Date]],2),"00")</f>
        <v>2017-37</v>
      </c>
    </row>
    <row r="746" spans="1:15" x14ac:dyDescent="0.35">
      <c r="A746" s="2">
        <v>42989</v>
      </c>
      <c r="B746" s="3">
        <v>118.14317700000001</v>
      </c>
      <c r="C746" s="4">
        <f t="shared" si="44"/>
        <v>1.1917500000000132</v>
      </c>
      <c r="D746" s="4">
        <f t="shared" si="42"/>
        <v>6.8305679999999995</v>
      </c>
      <c r="E746" s="3">
        <v>57.95</v>
      </c>
      <c r="F746" s="3">
        <v>20</v>
      </c>
      <c r="G746" s="3">
        <v>119.938896</v>
      </c>
      <c r="H746" s="4">
        <f t="shared" si="45"/>
        <v>1.1688939999999945</v>
      </c>
      <c r="I746" s="4">
        <f t="shared" si="43"/>
        <v>6.5191839999999956</v>
      </c>
      <c r="J746" s="3">
        <v>57.95</v>
      </c>
      <c r="K746" s="3">
        <v>20</v>
      </c>
      <c r="L746" s="13">
        <f>YEAR(Weekly_Prices[[#This Row],[Date]])</f>
        <v>2017</v>
      </c>
      <c r="M746" s="13">
        <f>MONTH(Weekly_Prices[[#This Row],[Date]])</f>
        <v>9</v>
      </c>
      <c r="N746" s="3" t="str">
        <f>TEXT(Weekly_Prices[[#This Row],[Date]],"MMMM")</f>
        <v>September</v>
      </c>
      <c r="O746" s="3" t="str">
        <f>YEAR(Weekly_Prices[[#This Row],[Date]])&amp;"-"&amp;TEXT(WEEKNUM(Weekly_Prices[[#This Row],[Date]],2),"00")</f>
        <v>2017-38</v>
      </c>
    </row>
    <row r="747" spans="1:15" x14ac:dyDescent="0.35">
      <c r="A747" s="2">
        <v>42996</v>
      </c>
      <c r="B747" s="3">
        <v>118.852492</v>
      </c>
      <c r="C747" s="4">
        <f t="shared" si="44"/>
        <v>0.70931499999998948</v>
      </c>
      <c r="D747" s="4">
        <f t="shared" si="42"/>
        <v>7.56673069</v>
      </c>
      <c r="E747" s="3">
        <v>57.95</v>
      </c>
      <c r="F747" s="3">
        <v>20</v>
      </c>
      <c r="G747" s="3">
        <v>120.59087299999999</v>
      </c>
      <c r="H747" s="4">
        <f t="shared" si="45"/>
        <v>0.65197699999998804</v>
      </c>
      <c r="I747" s="4">
        <f t="shared" si="43"/>
        <v>7.3655542240000074</v>
      </c>
      <c r="J747" s="3">
        <v>57.95</v>
      </c>
      <c r="K747" s="3">
        <v>20</v>
      </c>
      <c r="L747" s="13">
        <f>YEAR(Weekly_Prices[[#This Row],[Date]])</f>
        <v>2017</v>
      </c>
      <c r="M747" s="13">
        <f>MONTH(Weekly_Prices[[#This Row],[Date]])</f>
        <v>9</v>
      </c>
      <c r="N747" s="3" t="str">
        <f>TEXT(Weekly_Prices[[#This Row],[Date]],"MMMM")</f>
        <v>September</v>
      </c>
      <c r="O747" s="3" t="str">
        <f>YEAR(Weekly_Prices[[#This Row],[Date]])&amp;"-"&amp;TEXT(WEEKNUM(Weekly_Prices[[#This Row],[Date]],2),"00")</f>
        <v>2017-39</v>
      </c>
    </row>
    <row r="748" spans="1:15" x14ac:dyDescent="0.35">
      <c r="A748" s="2">
        <v>43003</v>
      </c>
      <c r="B748" s="3">
        <v>118.86908100000001</v>
      </c>
      <c r="C748" s="4">
        <f t="shared" si="44"/>
        <v>1.6589000000010401E-2</v>
      </c>
      <c r="D748" s="4">
        <f t="shared" si="42"/>
        <v>7.5056071499999888</v>
      </c>
      <c r="E748" s="3">
        <v>57.95</v>
      </c>
      <c r="F748" s="3">
        <v>20</v>
      </c>
      <c r="G748" s="3">
        <v>120.91586700000001</v>
      </c>
      <c r="H748" s="4">
        <f t="shared" si="45"/>
        <v>0.32499400000001799</v>
      </c>
      <c r="I748" s="4">
        <f t="shared" si="43"/>
        <v>7.5408212320000132</v>
      </c>
      <c r="J748" s="3">
        <v>57.95</v>
      </c>
      <c r="K748" s="3">
        <v>20</v>
      </c>
      <c r="L748" s="13">
        <f>YEAR(Weekly_Prices[[#This Row],[Date]])</f>
        <v>2017</v>
      </c>
      <c r="M748" s="13">
        <f>MONTH(Weekly_Prices[[#This Row],[Date]])</f>
        <v>9</v>
      </c>
      <c r="N748" s="3" t="str">
        <f>TEXT(Weekly_Prices[[#This Row],[Date]],"MMMM")</f>
        <v>September</v>
      </c>
      <c r="O748" s="3" t="str">
        <f>YEAR(Weekly_Prices[[#This Row],[Date]])&amp;"-"&amp;TEXT(WEEKNUM(Weekly_Prices[[#This Row],[Date]],2),"00")</f>
        <v>2017-40</v>
      </c>
    </row>
    <row r="749" spans="1:15" x14ac:dyDescent="0.35">
      <c r="A749" s="2">
        <v>43010</v>
      </c>
      <c r="B749" s="3">
        <v>118.13314399999999</v>
      </c>
      <c r="C749" s="4">
        <f t="shared" si="44"/>
        <v>-0.73593700000002116</v>
      </c>
      <c r="D749" s="4">
        <f t="shared" si="42"/>
        <v>6.4835982519999931</v>
      </c>
      <c r="E749" s="3">
        <v>57.95</v>
      </c>
      <c r="F749" s="3">
        <v>20</v>
      </c>
      <c r="G749" s="3">
        <v>120.37272200000001</v>
      </c>
      <c r="H749" s="4">
        <f t="shared" si="45"/>
        <v>-0.54314499999999555</v>
      </c>
      <c r="I749" s="4">
        <f t="shared" si="43"/>
        <v>6.6659824800000109</v>
      </c>
      <c r="J749" s="3">
        <v>57.95</v>
      </c>
      <c r="K749" s="3">
        <v>20</v>
      </c>
      <c r="L749" s="13">
        <f>YEAR(Weekly_Prices[[#This Row],[Date]])</f>
        <v>2017</v>
      </c>
      <c r="M749" s="13">
        <f>MONTH(Weekly_Prices[[#This Row],[Date]])</f>
        <v>10</v>
      </c>
      <c r="N749" s="3" t="str">
        <f>TEXT(Weekly_Prices[[#This Row],[Date]],"MMMM")</f>
        <v>October</v>
      </c>
      <c r="O749" s="3" t="str">
        <f>YEAR(Weekly_Prices[[#This Row],[Date]])&amp;"-"&amp;TEXT(WEEKNUM(Weekly_Prices[[#This Row],[Date]],2),"00")</f>
        <v>2017-41</v>
      </c>
    </row>
    <row r="750" spans="1:15" x14ac:dyDescent="0.35">
      <c r="A750" s="2">
        <v>43017</v>
      </c>
      <c r="B750" s="3">
        <v>117.161768</v>
      </c>
      <c r="C750" s="4">
        <f t="shared" si="44"/>
        <v>-0.97137599999999225</v>
      </c>
      <c r="D750" s="4">
        <f t="shared" si="42"/>
        <v>4.8119069999999766</v>
      </c>
      <c r="E750" s="3">
        <v>57.95</v>
      </c>
      <c r="F750" s="3">
        <v>20</v>
      </c>
      <c r="G750" s="3">
        <v>120.51028300000002</v>
      </c>
      <c r="H750" s="4">
        <f t="shared" si="45"/>
        <v>0.13756100000000515</v>
      </c>
      <c r="I750" s="4">
        <f t="shared" si="43"/>
        <v>6.1069200000000166</v>
      </c>
      <c r="J750" s="3">
        <v>57.95</v>
      </c>
      <c r="K750" s="3">
        <v>20</v>
      </c>
      <c r="L750" s="13">
        <f>YEAR(Weekly_Prices[[#This Row],[Date]])</f>
        <v>2017</v>
      </c>
      <c r="M750" s="13">
        <f>MONTH(Weekly_Prices[[#This Row],[Date]])</f>
        <v>10</v>
      </c>
      <c r="N750" s="3" t="str">
        <f>TEXT(Weekly_Prices[[#This Row],[Date]],"MMMM")</f>
        <v>October</v>
      </c>
      <c r="O750" s="3" t="str">
        <f>YEAR(Weekly_Prices[[#This Row],[Date]])&amp;"-"&amp;TEXT(WEEKNUM(Weekly_Prices[[#This Row],[Date]],2),"00")</f>
        <v>2017-42</v>
      </c>
    </row>
    <row r="751" spans="1:15" x14ac:dyDescent="0.35">
      <c r="A751" s="2">
        <v>43024</v>
      </c>
      <c r="B751" s="3">
        <v>117.00831112</v>
      </c>
      <c r="C751" s="4">
        <f t="shared" si="44"/>
        <v>-0.15345687999999313</v>
      </c>
      <c r="D751" s="4">
        <f t="shared" si="42"/>
        <v>3.2871571200000034</v>
      </c>
      <c r="E751" s="3">
        <v>57.95</v>
      </c>
      <c r="F751" s="3">
        <v>20</v>
      </c>
      <c r="G751" s="3">
        <v>120.41775072</v>
      </c>
      <c r="H751" s="4">
        <f t="shared" si="45"/>
        <v>-9.2532280000014566E-2</v>
      </c>
      <c r="I751" s="4">
        <f t="shared" si="43"/>
        <v>4.4218727199999961</v>
      </c>
      <c r="J751" s="3">
        <v>57.95</v>
      </c>
      <c r="K751" s="3">
        <v>20</v>
      </c>
      <c r="L751" s="13">
        <f>YEAR(Weekly_Prices[[#This Row],[Date]])</f>
        <v>2017</v>
      </c>
      <c r="M751" s="13">
        <f>MONTH(Weekly_Prices[[#This Row],[Date]])</f>
        <v>10</v>
      </c>
      <c r="N751" s="3" t="str">
        <f>TEXT(Weekly_Prices[[#This Row],[Date]],"MMMM")</f>
        <v>October</v>
      </c>
      <c r="O751" s="3" t="str">
        <f>YEAR(Weekly_Prices[[#This Row],[Date]])&amp;"-"&amp;TEXT(WEEKNUM(Weekly_Prices[[#This Row],[Date]],2),"00")</f>
        <v>2017-43</v>
      </c>
    </row>
    <row r="752" spans="1:15" x14ac:dyDescent="0.35">
      <c r="A752" s="2">
        <v>43031</v>
      </c>
      <c r="B752" s="3">
        <v>117.044503789</v>
      </c>
      <c r="C752" s="4">
        <f t="shared" si="44"/>
        <v>3.6192669000001843E-2</v>
      </c>
      <c r="D752" s="4">
        <f t="shared" si="42"/>
        <v>1.8453497889999966</v>
      </c>
      <c r="E752" s="3">
        <v>57.95</v>
      </c>
      <c r="F752" s="3">
        <v>20</v>
      </c>
      <c r="G752" s="3">
        <v>120.65185460800001</v>
      </c>
      <c r="H752" s="4">
        <f t="shared" si="45"/>
        <v>0.23410388800000703</v>
      </c>
      <c r="I752" s="4">
        <f t="shared" si="43"/>
        <v>2.9527796080000002</v>
      </c>
      <c r="J752" s="3">
        <v>57.95</v>
      </c>
      <c r="K752" s="3">
        <v>20</v>
      </c>
      <c r="L752" s="13">
        <f>YEAR(Weekly_Prices[[#This Row],[Date]])</f>
        <v>2017</v>
      </c>
      <c r="M752" s="13">
        <f>MONTH(Weekly_Prices[[#This Row],[Date]])</f>
        <v>10</v>
      </c>
      <c r="N752" s="3" t="str">
        <f>TEXT(Weekly_Prices[[#This Row],[Date]],"MMMM")</f>
        <v>October</v>
      </c>
      <c r="O752" s="3" t="str">
        <f>YEAR(Weekly_Prices[[#This Row],[Date]])&amp;"-"&amp;TEXT(WEEKNUM(Weekly_Prices[[#This Row],[Date]],2),"00")</f>
        <v>2017-44</v>
      </c>
    </row>
    <row r="753" spans="1:15" x14ac:dyDescent="0.35">
      <c r="A753" s="2">
        <v>43038</v>
      </c>
      <c r="B753" s="3">
        <v>117.05967799999999</v>
      </c>
      <c r="C753" s="4">
        <f t="shared" si="44"/>
        <v>1.5174210999987281E-2</v>
      </c>
      <c r="D753" s="4">
        <f t="shared" si="42"/>
        <v>1.0374239999999872</v>
      </c>
      <c r="E753" s="3">
        <v>57.95</v>
      </c>
      <c r="F753" s="3">
        <v>20</v>
      </c>
      <c r="G753" s="3">
        <v>120.63110500000001</v>
      </c>
      <c r="H753" s="4">
        <f t="shared" si="45"/>
        <v>-2.0749608000002695E-2</v>
      </c>
      <c r="I753" s="4">
        <f t="shared" si="43"/>
        <v>2.2116169999999897</v>
      </c>
      <c r="J753" s="3">
        <v>57.95</v>
      </c>
      <c r="K753" s="3">
        <v>20</v>
      </c>
      <c r="L753" s="13">
        <f>YEAR(Weekly_Prices[[#This Row],[Date]])</f>
        <v>2017</v>
      </c>
      <c r="M753" s="13">
        <f>MONTH(Weekly_Prices[[#This Row],[Date]])</f>
        <v>10</v>
      </c>
      <c r="N753" s="3" t="str">
        <f>TEXT(Weekly_Prices[[#This Row],[Date]],"MMMM")</f>
        <v>October</v>
      </c>
      <c r="O753" s="3" t="str">
        <f>YEAR(Weekly_Prices[[#This Row],[Date]])&amp;"-"&amp;TEXT(WEEKNUM(Weekly_Prices[[#This Row],[Date]],2),"00")</f>
        <v>2017-45</v>
      </c>
    </row>
    <row r="754" spans="1:15" x14ac:dyDescent="0.35">
      <c r="A754" s="2">
        <v>43045</v>
      </c>
      <c r="B754" s="3">
        <v>117.574798</v>
      </c>
      <c r="C754" s="4">
        <f t="shared" si="44"/>
        <v>0.51512000000001024</v>
      </c>
      <c r="D754" s="4">
        <f t="shared" si="42"/>
        <v>1.0159830000000056</v>
      </c>
      <c r="E754" s="3">
        <v>57.95</v>
      </c>
      <c r="F754" s="3">
        <v>20</v>
      </c>
      <c r="G754" s="3">
        <v>121.270748</v>
      </c>
      <c r="H754" s="4">
        <f t="shared" si="45"/>
        <v>0.63964299999999241</v>
      </c>
      <c r="I754" s="4">
        <f t="shared" si="43"/>
        <v>2.2435559999999981</v>
      </c>
      <c r="J754" s="3">
        <v>57.95</v>
      </c>
      <c r="K754" s="3">
        <v>20</v>
      </c>
      <c r="L754" s="13">
        <f>YEAR(Weekly_Prices[[#This Row],[Date]])</f>
        <v>2017</v>
      </c>
      <c r="M754" s="13">
        <f>MONTH(Weekly_Prices[[#This Row],[Date]])</f>
        <v>11</v>
      </c>
      <c r="N754" s="3" t="str">
        <f>TEXT(Weekly_Prices[[#This Row],[Date]],"MMMM")</f>
        <v>November</v>
      </c>
      <c r="O754" s="3" t="str">
        <f>YEAR(Weekly_Prices[[#This Row],[Date]])&amp;"-"&amp;TEXT(WEEKNUM(Weekly_Prices[[#This Row],[Date]],2),"00")</f>
        <v>2017-46</v>
      </c>
    </row>
    <row r="755" spans="1:15" x14ac:dyDescent="0.35">
      <c r="A755" s="2">
        <v>43052</v>
      </c>
      <c r="B755" s="3">
        <v>118.91045799999999</v>
      </c>
      <c r="C755" s="4">
        <f t="shared" si="44"/>
        <v>1.3356599999999901</v>
      </c>
      <c r="D755" s="4">
        <f t="shared" si="42"/>
        <v>2.4089529999999826</v>
      </c>
      <c r="E755" s="3">
        <v>57.95</v>
      </c>
      <c r="F755" s="3">
        <v>20</v>
      </c>
      <c r="G755" s="3">
        <v>122.69288299999999</v>
      </c>
      <c r="H755" s="4">
        <f t="shared" si="45"/>
        <v>1.4221349999999973</v>
      </c>
      <c r="I755" s="4">
        <f t="shared" si="43"/>
        <v>3.7721599999999995</v>
      </c>
      <c r="J755" s="3">
        <v>57.95</v>
      </c>
      <c r="K755" s="3">
        <v>20</v>
      </c>
      <c r="L755" s="13">
        <f>YEAR(Weekly_Prices[[#This Row],[Date]])</f>
        <v>2017</v>
      </c>
      <c r="M755" s="13">
        <f>MONTH(Weekly_Prices[[#This Row],[Date]])</f>
        <v>11</v>
      </c>
      <c r="N755" s="3" t="str">
        <f>TEXT(Weekly_Prices[[#This Row],[Date]],"MMMM")</f>
        <v>November</v>
      </c>
      <c r="O755" s="3" t="str">
        <f>YEAR(Weekly_Prices[[#This Row],[Date]])&amp;"-"&amp;TEXT(WEEKNUM(Weekly_Prices[[#This Row],[Date]],2),"00")</f>
        <v>2017-47</v>
      </c>
    </row>
    <row r="756" spans="1:15" x14ac:dyDescent="0.35">
      <c r="A756" s="2">
        <v>43059</v>
      </c>
      <c r="B756" s="3">
        <v>119.67124500000001</v>
      </c>
      <c r="C756" s="4">
        <f t="shared" si="44"/>
        <v>0.76078700000002186</v>
      </c>
      <c r="D756" s="4">
        <f t="shared" si="42"/>
        <v>4.9657160000000005</v>
      </c>
      <c r="E756" s="3">
        <v>57.95</v>
      </c>
      <c r="F756" s="3">
        <v>20</v>
      </c>
      <c r="G756" s="3">
        <v>123.316999</v>
      </c>
      <c r="H756" s="4">
        <f t="shared" si="45"/>
        <v>0.62411600000000078</v>
      </c>
      <c r="I756" s="4">
        <f t="shared" si="43"/>
        <v>5.8955219999999855</v>
      </c>
      <c r="J756" s="3">
        <v>57.95</v>
      </c>
      <c r="K756" s="3">
        <v>20</v>
      </c>
      <c r="L756" s="13">
        <f>YEAR(Weekly_Prices[[#This Row],[Date]])</f>
        <v>2017</v>
      </c>
      <c r="M756" s="13">
        <f>MONTH(Weekly_Prices[[#This Row],[Date]])</f>
        <v>11</v>
      </c>
      <c r="N756" s="3" t="str">
        <f>TEXT(Weekly_Prices[[#This Row],[Date]],"MMMM")</f>
        <v>November</v>
      </c>
      <c r="O756" s="3" t="str">
        <f>YEAR(Weekly_Prices[[#This Row],[Date]])&amp;"-"&amp;TEXT(WEEKNUM(Weekly_Prices[[#This Row],[Date]],2),"00")</f>
        <v>2017-48</v>
      </c>
    </row>
    <row r="757" spans="1:15" x14ac:dyDescent="0.35">
      <c r="A757" s="2">
        <v>43066</v>
      </c>
      <c r="B757" s="3">
        <v>120.12802599999999</v>
      </c>
      <c r="C757" s="4">
        <f t="shared" si="44"/>
        <v>0.45678099999997812</v>
      </c>
      <c r="D757" s="4">
        <f t="shared" si="42"/>
        <v>6.407338999999979</v>
      </c>
      <c r="E757" s="3">
        <v>57.95</v>
      </c>
      <c r="F757" s="3">
        <v>20</v>
      </c>
      <c r="G757" s="3">
        <v>123.79218900000001</v>
      </c>
      <c r="H757" s="4">
        <f t="shared" si="45"/>
        <v>0.47519000000001199</v>
      </c>
      <c r="I757" s="4">
        <f t="shared" si="43"/>
        <v>7.2267730000000086</v>
      </c>
      <c r="J757" s="3">
        <v>57.95</v>
      </c>
      <c r="K757" s="3">
        <v>20</v>
      </c>
      <c r="L757" s="13">
        <f>YEAR(Weekly_Prices[[#This Row],[Date]])</f>
        <v>2017</v>
      </c>
      <c r="M757" s="13">
        <f>MONTH(Weekly_Prices[[#This Row],[Date]])</f>
        <v>11</v>
      </c>
      <c r="N757" s="3" t="str">
        <f>TEXT(Weekly_Prices[[#This Row],[Date]],"MMMM")</f>
        <v>November</v>
      </c>
      <c r="O757" s="3" t="str">
        <f>YEAR(Weekly_Prices[[#This Row],[Date]])&amp;"-"&amp;TEXT(WEEKNUM(Weekly_Prices[[#This Row],[Date]],2),"00")</f>
        <v>2017-49</v>
      </c>
    </row>
    <row r="758" spans="1:15" x14ac:dyDescent="0.35">
      <c r="A758" s="2">
        <v>43073</v>
      </c>
      <c r="B758" s="3">
        <v>119.754926</v>
      </c>
      <c r="C758" s="4">
        <f t="shared" si="44"/>
        <v>-0.37309999999999377</v>
      </c>
      <c r="D758" s="4">
        <f t="shared" si="42"/>
        <v>6.0904909999999717</v>
      </c>
      <c r="E758" s="3">
        <v>57.95</v>
      </c>
      <c r="F758" s="3">
        <v>20</v>
      </c>
      <c r="G758" s="3">
        <v>123.20770900000002</v>
      </c>
      <c r="H758" s="4">
        <f t="shared" si="45"/>
        <v>-0.58447999999998501</v>
      </c>
      <c r="I758" s="4">
        <f t="shared" si="43"/>
        <v>6.4565630000000169</v>
      </c>
      <c r="J758" s="3">
        <v>57.95</v>
      </c>
      <c r="K758" s="3">
        <v>20</v>
      </c>
      <c r="L758" s="13">
        <f>YEAR(Weekly_Prices[[#This Row],[Date]])</f>
        <v>2017</v>
      </c>
      <c r="M758" s="13">
        <f>MONTH(Weekly_Prices[[#This Row],[Date]])</f>
        <v>12</v>
      </c>
      <c r="N758" s="3" t="str">
        <f>TEXT(Weekly_Prices[[#This Row],[Date]],"MMMM")</f>
        <v>December</v>
      </c>
      <c r="O758" s="3" t="str">
        <f>YEAR(Weekly_Prices[[#This Row],[Date]])&amp;"-"&amp;TEXT(WEEKNUM(Weekly_Prices[[#This Row],[Date]],2),"00")</f>
        <v>2017-50</v>
      </c>
    </row>
    <row r="759" spans="1:15" x14ac:dyDescent="0.35">
      <c r="A759" s="2">
        <v>43080</v>
      </c>
      <c r="B759" s="3">
        <v>119.905991</v>
      </c>
      <c r="C759" s="4">
        <f t="shared" si="44"/>
        <v>0.15106500000000267</v>
      </c>
      <c r="D759" s="4">
        <f t="shared" ref="D759:D822" si="46">B759-B707</f>
        <v>5.6793309999999906</v>
      </c>
      <c r="E759" s="3">
        <v>57.95</v>
      </c>
      <c r="F759" s="3">
        <v>20</v>
      </c>
      <c r="G759" s="3">
        <v>123.693477</v>
      </c>
      <c r="H759" s="4">
        <f t="shared" si="45"/>
        <v>0.48576799999997888</v>
      </c>
      <c r="I759" s="4">
        <f t="shared" ref="I759:I822" si="47">G759-G707</f>
        <v>6.1791140000000127</v>
      </c>
      <c r="J759" s="3">
        <v>57.95</v>
      </c>
      <c r="K759" s="3">
        <v>20</v>
      </c>
      <c r="L759" s="13">
        <f>YEAR(Weekly_Prices[[#This Row],[Date]])</f>
        <v>2017</v>
      </c>
      <c r="M759" s="13">
        <f>MONTH(Weekly_Prices[[#This Row],[Date]])</f>
        <v>12</v>
      </c>
      <c r="N759" s="3" t="str">
        <f>TEXT(Weekly_Prices[[#This Row],[Date]],"MMMM")</f>
        <v>December</v>
      </c>
      <c r="O759" s="3" t="str">
        <f>YEAR(Weekly_Prices[[#This Row],[Date]])&amp;"-"&amp;TEXT(WEEKNUM(Weekly_Prices[[#This Row],[Date]],2),"00")</f>
        <v>2017-51</v>
      </c>
    </row>
    <row r="760" spans="1:15" x14ac:dyDescent="0.35">
      <c r="A760" s="2">
        <v>43087</v>
      </c>
      <c r="B760" s="3">
        <v>119.97797800000001</v>
      </c>
      <c r="C760" s="4">
        <f t="shared" si="44"/>
        <v>7.1987000000007129E-2</v>
      </c>
      <c r="D760" s="4">
        <f t="shared" si="46"/>
        <v>4.9777700000000067</v>
      </c>
      <c r="E760" s="3">
        <v>57.95</v>
      </c>
      <c r="F760" s="3">
        <v>20</v>
      </c>
      <c r="G760" s="3">
        <v>123.81079099999999</v>
      </c>
      <c r="H760" s="4">
        <f t="shared" si="45"/>
        <v>0.11731399999999326</v>
      </c>
      <c r="I760" s="4">
        <f t="shared" si="47"/>
        <v>5.2015289999999936</v>
      </c>
      <c r="J760" s="3">
        <v>57.95</v>
      </c>
      <c r="K760" s="3">
        <v>20</v>
      </c>
      <c r="L760" s="13">
        <f>YEAR(Weekly_Prices[[#This Row],[Date]])</f>
        <v>2017</v>
      </c>
      <c r="M760" s="13">
        <f>MONTH(Weekly_Prices[[#This Row],[Date]])</f>
        <v>12</v>
      </c>
      <c r="N760" s="3" t="str">
        <f>TEXT(Weekly_Prices[[#This Row],[Date]],"MMMM")</f>
        <v>December</v>
      </c>
      <c r="O760" s="3" t="str">
        <f>YEAR(Weekly_Prices[[#This Row],[Date]])&amp;"-"&amp;TEXT(WEEKNUM(Weekly_Prices[[#This Row],[Date]],2),"00")</f>
        <v>2017-52</v>
      </c>
    </row>
    <row r="761" spans="1:15" x14ac:dyDescent="0.35">
      <c r="A761" s="2">
        <v>43094</v>
      </c>
      <c r="B761" s="3">
        <v>120.00400500000001</v>
      </c>
      <c r="C761" s="4">
        <f t="shared" si="44"/>
        <v>2.6026999999999134E-2</v>
      </c>
      <c r="D761" s="4">
        <f t="shared" si="46"/>
        <v>4.5504960000000096</v>
      </c>
      <c r="E761" s="3">
        <v>57.95</v>
      </c>
      <c r="F761" s="3">
        <v>20</v>
      </c>
      <c r="G761" s="3">
        <v>123.429379</v>
      </c>
      <c r="H761" s="4">
        <f t="shared" si="45"/>
        <v>-0.38141199999999742</v>
      </c>
      <c r="I761" s="4">
        <f t="shared" si="47"/>
        <v>4.3994009999999975</v>
      </c>
      <c r="J761" s="3">
        <v>57.95</v>
      </c>
      <c r="K761" s="3">
        <v>20</v>
      </c>
      <c r="L761" s="13">
        <f>YEAR(Weekly_Prices[[#This Row],[Date]])</f>
        <v>2017</v>
      </c>
      <c r="M761" s="13">
        <f>MONTH(Weekly_Prices[[#This Row],[Date]])</f>
        <v>12</v>
      </c>
      <c r="N761" s="3" t="str">
        <f>TEXT(Weekly_Prices[[#This Row],[Date]],"MMMM")</f>
        <v>December</v>
      </c>
      <c r="O761" s="3" t="str">
        <f>YEAR(Weekly_Prices[[#This Row],[Date]])&amp;"-"&amp;TEXT(WEEKNUM(Weekly_Prices[[#This Row],[Date]],2),"00")</f>
        <v>2017-53</v>
      </c>
    </row>
    <row r="762" spans="1:15" x14ac:dyDescent="0.35">
      <c r="A762" s="2">
        <v>43101</v>
      </c>
      <c r="B762" s="3">
        <v>120.185446</v>
      </c>
      <c r="C762" s="4">
        <f t="shared" si="44"/>
        <v>0.18144099999999241</v>
      </c>
      <c r="D762" s="4">
        <f t="shared" si="46"/>
        <v>3.185411000000002</v>
      </c>
      <c r="E762" s="3">
        <v>57.95</v>
      </c>
      <c r="F762" s="3">
        <v>20</v>
      </c>
      <c r="G762" s="3">
        <v>123.51162099999999</v>
      </c>
      <c r="H762" s="4">
        <f t="shared" si="45"/>
        <v>8.2241999999993709E-2</v>
      </c>
      <c r="I762" s="4">
        <f t="shared" si="47"/>
        <v>3.4804719999999776</v>
      </c>
      <c r="J762" s="3">
        <v>57.95</v>
      </c>
      <c r="K762" s="3">
        <v>20</v>
      </c>
      <c r="L762" s="13">
        <f>YEAR(Weekly_Prices[[#This Row],[Date]])</f>
        <v>2018</v>
      </c>
      <c r="M762" s="13">
        <f>MONTH(Weekly_Prices[[#This Row],[Date]])</f>
        <v>1</v>
      </c>
      <c r="N762" s="3" t="str">
        <f>TEXT(Weekly_Prices[[#This Row],[Date]],"MMMM")</f>
        <v>January</v>
      </c>
      <c r="O762" s="3" t="str">
        <f>YEAR(Weekly_Prices[[#This Row],[Date]])&amp;"-"&amp;TEXT(WEEKNUM(Weekly_Prices[[#This Row],[Date]],2),"00")</f>
        <v>2018-01</v>
      </c>
    </row>
    <row r="763" spans="1:15" x14ac:dyDescent="0.35">
      <c r="A763" s="2">
        <v>43108</v>
      </c>
      <c r="B763" s="3">
        <v>120.52207200000001</v>
      </c>
      <c r="C763" s="4">
        <f t="shared" si="44"/>
        <v>0.33662600000000964</v>
      </c>
      <c r="D763" s="4">
        <f t="shared" si="46"/>
        <v>2.5436389999999989</v>
      </c>
      <c r="E763" s="3">
        <v>57.95</v>
      </c>
      <c r="F763" s="3">
        <v>20</v>
      </c>
      <c r="G763" s="3">
        <v>123.97098400000002</v>
      </c>
      <c r="H763" s="4">
        <f t="shared" si="45"/>
        <v>0.45936300000002461</v>
      </c>
      <c r="I763" s="4">
        <f t="shared" si="47"/>
        <v>2.6678670000000295</v>
      </c>
      <c r="J763" s="3">
        <v>57.95</v>
      </c>
      <c r="K763" s="3">
        <v>20</v>
      </c>
      <c r="L763" s="13">
        <f>YEAR(Weekly_Prices[[#This Row],[Date]])</f>
        <v>2018</v>
      </c>
      <c r="M763" s="13">
        <f>MONTH(Weekly_Prices[[#This Row],[Date]])</f>
        <v>1</v>
      </c>
      <c r="N763" s="3" t="str">
        <f>TEXT(Weekly_Prices[[#This Row],[Date]],"MMMM")</f>
        <v>January</v>
      </c>
      <c r="O763" s="3" t="str">
        <f>YEAR(Weekly_Prices[[#This Row],[Date]])&amp;"-"&amp;TEXT(WEEKNUM(Weekly_Prices[[#This Row],[Date]],2),"00")</f>
        <v>2018-02</v>
      </c>
    </row>
    <row r="764" spans="1:15" x14ac:dyDescent="0.35">
      <c r="A764" s="2">
        <v>43115</v>
      </c>
      <c r="B764" s="3">
        <v>120.96234400000002</v>
      </c>
      <c r="C764" s="4">
        <f t="shared" si="44"/>
        <v>0.44027200000000732</v>
      </c>
      <c r="D764" s="4">
        <f t="shared" si="46"/>
        <v>2.3280720000000059</v>
      </c>
      <c r="E764" s="3">
        <v>57.95</v>
      </c>
      <c r="F764" s="3">
        <v>20</v>
      </c>
      <c r="G764" s="3">
        <v>124.57901999999999</v>
      </c>
      <c r="H764" s="4">
        <f t="shared" si="45"/>
        <v>0.60803599999997004</v>
      </c>
      <c r="I764" s="4">
        <f t="shared" si="47"/>
        <v>2.4800459999999873</v>
      </c>
      <c r="J764" s="3">
        <v>57.95</v>
      </c>
      <c r="K764" s="3">
        <v>20</v>
      </c>
      <c r="L764" s="13">
        <f>YEAR(Weekly_Prices[[#This Row],[Date]])</f>
        <v>2018</v>
      </c>
      <c r="M764" s="13">
        <f>MONTH(Weekly_Prices[[#This Row],[Date]])</f>
        <v>1</v>
      </c>
      <c r="N764" s="3" t="str">
        <f>TEXT(Weekly_Prices[[#This Row],[Date]],"MMMM")</f>
        <v>January</v>
      </c>
      <c r="O764" s="3" t="str">
        <f>YEAR(Weekly_Prices[[#This Row],[Date]])&amp;"-"&amp;TEXT(WEEKNUM(Weekly_Prices[[#This Row],[Date]],2),"00")</f>
        <v>2018-03</v>
      </c>
    </row>
    <row r="765" spans="1:15" x14ac:dyDescent="0.35">
      <c r="A765" s="2">
        <v>43122</v>
      </c>
      <c r="B765" s="3">
        <v>121.49825800000002</v>
      </c>
      <c r="C765" s="4">
        <f t="shared" si="44"/>
        <v>0.53591400000000533</v>
      </c>
      <c r="D765" s="4">
        <f t="shared" si="46"/>
        <v>2.0692450000000235</v>
      </c>
      <c r="E765" s="3">
        <v>57.95</v>
      </c>
      <c r="F765" s="3">
        <v>20</v>
      </c>
      <c r="G765" s="3">
        <v>125.067069</v>
      </c>
      <c r="H765" s="4">
        <f t="shared" si="45"/>
        <v>0.48804900000001794</v>
      </c>
      <c r="I765" s="4">
        <f t="shared" si="47"/>
        <v>2.3218219999999974</v>
      </c>
      <c r="J765" s="3">
        <v>57.95</v>
      </c>
      <c r="K765" s="3">
        <v>20</v>
      </c>
      <c r="L765" s="13">
        <f>YEAR(Weekly_Prices[[#This Row],[Date]])</f>
        <v>2018</v>
      </c>
      <c r="M765" s="13">
        <f>MONTH(Weekly_Prices[[#This Row],[Date]])</f>
        <v>1</v>
      </c>
      <c r="N765" s="3" t="str">
        <f>TEXT(Weekly_Prices[[#This Row],[Date]],"MMMM")</f>
        <v>January</v>
      </c>
      <c r="O765" s="3" t="str">
        <f>YEAR(Weekly_Prices[[#This Row],[Date]])&amp;"-"&amp;TEXT(WEEKNUM(Weekly_Prices[[#This Row],[Date]],2),"00")</f>
        <v>2018-04</v>
      </c>
    </row>
    <row r="766" spans="1:15" x14ac:dyDescent="0.35">
      <c r="A766" s="2">
        <v>43129</v>
      </c>
      <c r="B766" s="3">
        <v>121.69471300000001</v>
      </c>
      <c r="C766" s="4">
        <f t="shared" si="44"/>
        <v>0.19645499999998606</v>
      </c>
      <c r="D766" s="4">
        <f t="shared" si="46"/>
        <v>1.6834889999999945</v>
      </c>
      <c r="E766" s="3">
        <v>57.95</v>
      </c>
      <c r="F766" s="3">
        <v>20</v>
      </c>
      <c r="G766" s="3">
        <v>125.320814</v>
      </c>
      <c r="H766" s="4">
        <f t="shared" si="45"/>
        <v>0.253744999999995</v>
      </c>
      <c r="I766" s="4">
        <f t="shared" si="47"/>
        <v>2.1263840000000016</v>
      </c>
      <c r="J766" s="3">
        <v>57.95</v>
      </c>
      <c r="K766" s="3">
        <v>20</v>
      </c>
      <c r="L766" s="13">
        <f>YEAR(Weekly_Prices[[#This Row],[Date]])</f>
        <v>2018</v>
      </c>
      <c r="M766" s="13">
        <f>MONTH(Weekly_Prices[[#This Row],[Date]])</f>
        <v>1</v>
      </c>
      <c r="N766" s="3" t="str">
        <f>TEXT(Weekly_Prices[[#This Row],[Date]],"MMMM")</f>
        <v>January</v>
      </c>
      <c r="O766" s="3" t="str">
        <f>YEAR(Weekly_Prices[[#This Row],[Date]])&amp;"-"&amp;TEXT(WEEKNUM(Weekly_Prices[[#This Row],[Date]],2),"00")</f>
        <v>2018-05</v>
      </c>
    </row>
    <row r="767" spans="1:15" x14ac:dyDescent="0.35">
      <c r="A767" s="2">
        <v>43136</v>
      </c>
      <c r="B767" s="3">
        <v>121.727217</v>
      </c>
      <c r="C767" s="4">
        <f t="shared" si="44"/>
        <v>3.2503999999988764E-2</v>
      </c>
      <c r="D767" s="4">
        <f t="shared" si="46"/>
        <v>1.5501369999999923</v>
      </c>
      <c r="E767" s="3">
        <v>57.95</v>
      </c>
      <c r="F767" s="3">
        <v>20</v>
      </c>
      <c r="G767" s="3">
        <v>125.364497</v>
      </c>
      <c r="H767" s="4">
        <f t="shared" si="45"/>
        <v>4.3683000000001471E-2</v>
      </c>
      <c r="I767" s="4">
        <f t="shared" si="47"/>
        <v>2.117666000000014</v>
      </c>
      <c r="J767" s="3">
        <v>57.95</v>
      </c>
      <c r="K767" s="3">
        <v>20</v>
      </c>
      <c r="L767" s="13">
        <f>YEAR(Weekly_Prices[[#This Row],[Date]])</f>
        <v>2018</v>
      </c>
      <c r="M767" s="13">
        <f>MONTH(Weekly_Prices[[#This Row],[Date]])</f>
        <v>2</v>
      </c>
      <c r="N767" s="3" t="str">
        <f>TEXT(Weekly_Prices[[#This Row],[Date]],"MMMM")</f>
        <v>February</v>
      </c>
      <c r="O767" s="3" t="str">
        <f>YEAR(Weekly_Prices[[#This Row],[Date]])&amp;"-"&amp;TEXT(WEEKNUM(Weekly_Prices[[#This Row],[Date]],2),"00")</f>
        <v>2018-06</v>
      </c>
    </row>
    <row r="768" spans="1:15" x14ac:dyDescent="0.35">
      <c r="A768" s="2">
        <v>43143</v>
      </c>
      <c r="B768" s="3">
        <v>121.58441200000001</v>
      </c>
      <c r="C768" s="4">
        <f t="shared" si="44"/>
        <v>-0.14280499999998142</v>
      </c>
      <c r="D768" s="4">
        <f t="shared" si="46"/>
        <v>1.4327380000000147</v>
      </c>
      <c r="E768" s="3">
        <v>57.95</v>
      </c>
      <c r="F768" s="3">
        <v>20</v>
      </c>
      <c r="G768" s="3">
        <v>125.01909800000001</v>
      </c>
      <c r="H768" s="4">
        <f t="shared" si="45"/>
        <v>-0.34539899999998624</v>
      </c>
      <c r="I768" s="4">
        <f t="shared" si="47"/>
        <v>1.8490020000000129</v>
      </c>
      <c r="J768" s="3">
        <v>57.95</v>
      </c>
      <c r="K768" s="3">
        <v>20</v>
      </c>
      <c r="L768" s="13">
        <f>YEAR(Weekly_Prices[[#This Row],[Date]])</f>
        <v>2018</v>
      </c>
      <c r="M768" s="13">
        <f>MONTH(Weekly_Prices[[#This Row],[Date]])</f>
        <v>2</v>
      </c>
      <c r="N768" s="3" t="str">
        <f>TEXT(Weekly_Prices[[#This Row],[Date]],"MMMM")</f>
        <v>February</v>
      </c>
      <c r="O768" s="3" t="str">
        <f>YEAR(Weekly_Prices[[#This Row],[Date]])&amp;"-"&amp;TEXT(WEEKNUM(Weekly_Prices[[#This Row],[Date]],2),"00")</f>
        <v>2018-07</v>
      </c>
    </row>
    <row r="769" spans="1:15" x14ac:dyDescent="0.35">
      <c r="A769" s="2">
        <v>43150</v>
      </c>
      <c r="B769" s="3">
        <v>120.516921</v>
      </c>
      <c r="C769" s="4">
        <f t="shared" si="44"/>
        <v>-1.0674910000000182</v>
      </c>
      <c r="D769" s="4">
        <f t="shared" si="46"/>
        <v>0.31799700000000541</v>
      </c>
      <c r="E769" s="3">
        <v>57.95</v>
      </c>
      <c r="F769" s="3">
        <v>20</v>
      </c>
      <c r="G769" s="3">
        <v>124.181954</v>
      </c>
      <c r="H769" s="4">
        <f t="shared" si="45"/>
        <v>-0.83714400000000921</v>
      </c>
      <c r="I769" s="4">
        <f t="shared" si="47"/>
        <v>1.0359579999999937</v>
      </c>
      <c r="J769" s="3">
        <v>57.95</v>
      </c>
      <c r="K769" s="3">
        <v>20</v>
      </c>
      <c r="L769" s="13">
        <f>YEAR(Weekly_Prices[[#This Row],[Date]])</f>
        <v>2018</v>
      </c>
      <c r="M769" s="13">
        <f>MONTH(Weekly_Prices[[#This Row],[Date]])</f>
        <v>2</v>
      </c>
      <c r="N769" s="3" t="str">
        <f>TEXT(Weekly_Prices[[#This Row],[Date]],"MMMM")</f>
        <v>February</v>
      </c>
      <c r="O769" s="3" t="str">
        <f>YEAR(Weekly_Prices[[#This Row],[Date]])&amp;"-"&amp;TEXT(WEEKNUM(Weekly_Prices[[#This Row],[Date]],2),"00")</f>
        <v>2018-08</v>
      </c>
    </row>
    <row r="770" spans="1:15" x14ac:dyDescent="0.35">
      <c r="A770" s="2">
        <v>43157</v>
      </c>
      <c r="B770" s="3">
        <v>119.55083900000001</v>
      </c>
      <c r="C770" s="4">
        <f t="shared" si="44"/>
        <v>-0.9660819999999859</v>
      </c>
      <c r="D770" s="4">
        <f t="shared" si="46"/>
        <v>-0.57089799999998547</v>
      </c>
      <c r="E770" s="3">
        <v>57.95</v>
      </c>
      <c r="F770" s="3">
        <v>20</v>
      </c>
      <c r="G770" s="3">
        <v>123.088251</v>
      </c>
      <c r="H770" s="4">
        <f t="shared" si="45"/>
        <v>-1.093703000000005</v>
      </c>
      <c r="I770" s="4">
        <f t="shared" si="47"/>
        <v>2.8646000000009053E-2</v>
      </c>
      <c r="J770" s="3">
        <v>57.95</v>
      </c>
      <c r="K770" s="3">
        <v>20</v>
      </c>
      <c r="L770" s="13">
        <f>YEAR(Weekly_Prices[[#This Row],[Date]])</f>
        <v>2018</v>
      </c>
      <c r="M770" s="13">
        <f>MONTH(Weekly_Prices[[#This Row],[Date]])</f>
        <v>2</v>
      </c>
      <c r="N770" s="3" t="str">
        <f>TEXT(Weekly_Prices[[#This Row],[Date]],"MMMM")</f>
        <v>February</v>
      </c>
      <c r="O770" s="3" t="str">
        <f>YEAR(Weekly_Prices[[#This Row],[Date]])&amp;"-"&amp;TEXT(WEEKNUM(Weekly_Prices[[#This Row],[Date]],2),"00")</f>
        <v>2018-09</v>
      </c>
    </row>
    <row r="771" spans="1:15" x14ac:dyDescent="0.35">
      <c r="A771" s="2">
        <v>43164</v>
      </c>
      <c r="B771" s="3">
        <v>119.28533400000001</v>
      </c>
      <c r="C771" s="4">
        <f t="shared" ref="C771:C834" si="48">B771-B770</f>
        <v>-0.26550500000000454</v>
      </c>
      <c r="D771" s="4">
        <f t="shared" si="46"/>
        <v>-0.73420099999999877</v>
      </c>
      <c r="E771" s="3">
        <v>57.95</v>
      </c>
      <c r="F771" s="3">
        <v>20</v>
      </c>
      <c r="G771" s="3">
        <v>122.91853999999999</v>
      </c>
      <c r="H771" s="4">
        <f t="shared" ref="H771:H834" si="49">G771-G770</f>
        <v>-0.16971100000000661</v>
      </c>
      <c r="I771" s="4">
        <f t="shared" si="47"/>
        <v>2.2923999999989064E-2</v>
      </c>
      <c r="J771" s="3">
        <v>57.95</v>
      </c>
      <c r="K771" s="3">
        <v>20</v>
      </c>
      <c r="L771" s="13">
        <f>YEAR(Weekly_Prices[[#This Row],[Date]])</f>
        <v>2018</v>
      </c>
      <c r="M771" s="13">
        <f>MONTH(Weekly_Prices[[#This Row],[Date]])</f>
        <v>3</v>
      </c>
      <c r="N771" s="3" t="str">
        <f>TEXT(Weekly_Prices[[#This Row],[Date]],"MMMM")</f>
        <v>March</v>
      </c>
      <c r="O771" s="3" t="str">
        <f>YEAR(Weekly_Prices[[#This Row],[Date]])&amp;"-"&amp;TEXT(WEEKNUM(Weekly_Prices[[#This Row],[Date]],2),"00")</f>
        <v>2018-10</v>
      </c>
    </row>
    <row r="772" spans="1:15" x14ac:dyDescent="0.35">
      <c r="A772" s="2">
        <v>43171</v>
      </c>
      <c r="B772" s="3">
        <v>119.11130999999999</v>
      </c>
      <c r="C772" s="4">
        <f t="shared" si="48"/>
        <v>-0.17402400000001705</v>
      </c>
      <c r="D772" s="4">
        <f t="shared" si="46"/>
        <v>-0.6915260000000103</v>
      </c>
      <c r="E772" s="3">
        <v>57.95</v>
      </c>
      <c r="F772" s="3">
        <v>20</v>
      </c>
      <c r="G772" s="3">
        <v>122.95577499999999</v>
      </c>
      <c r="H772" s="4">
        <f t="shared" si="49"/>
        <v>3.7234999999995466E-2</v>
      </c>
      <c r="I772" s="4">
        <f t="shared" si="47"/>
        <v>0.18829600000000823</v>
      </c>
      <c r="J772" s="3">
        <v>57.95</v>
      </c>
      <c r="K772" s="3">
        <v>20</v>
      </c>
      <c r="L772" s="13">
        <f>YEAR(Weekly_Prices[[#This Row],[Date]])</f>
        <v>2018</v>
      </c>
      <c r="M772" s="13">
        <f>MONTH(Weekly_Prices[[#This Row],[Date]])</f>
        <v>3</v>
      </c>
      <c r="N772" s="3" t="str">
        <f>TEXT(Weekly_Prices[[#This Row],[Date]],"MMMM")</f>
        <v>March</v>
      </c>
      <c r="O772" s="3" t="str">
        <f>YEAR(Weekly_Prices[[#This Row],[Date]])&amp;"-"&amp;TEXT(WEEKNUM(Weekly_Prices[[#This Row],[Date]],2),"00")</f>
        <v>2018-11</v>
      </c>
    </row>
    <row r="773" spans="1:15" x14ac:dyDescent="0.35">
      <c r="A773" s="2">
        <v>43178</v>
      </c>
      <c r="B773" s="3">
        <v>119.165947</v>
      </c>
      <c r="C773" s="4">
        <f t="shared" si="48"/>
        <v>5.4637000000013813E-2</v>
      </c>
      <c r="D773" s="4">
        <f t="shared" si="46"/>
        <v>0.21909999999999741</v>
      </c>
      <c r="E773" s="3">
        <v>57.95</v>
      </c>
      <c r="F773" s="3">
        <v>20</v>
      </c>
      <c r="G773" s="3">
        <v>122.83579800000001</v>
      </c>
      <c r="H773" s="4">
        <f t="shared" si="49"/>
        <v>-0.11997699999997735</v>
      </c>
      <c r="I773" s="4">
        <f t="shared" si="47"/>
        <v>0.99627900000001546</v>
      </c>
      <c r="J773" s="3">
        <v>57.95</v>
      </c>
      <c r="K773" s="3">
        <v>20</v>
      </c>
      <c r="L773" s="13">
        <f>YEAR(Weekly_Prices[[#This Row],[Date]])</f>
        <v>2018</v>
      </c>
      <c r="M773" s="13">
        <f>MONTH(Weekly_Prices[[#This Row],[Date]])</f>
        <v>3</v>
      </c>
      <c r="N773" s="3" t="str">
        <f>TEXT(Weekly_Prices[[#This Row],[Date]],"MMMM")</f>
        <v>March</v>
      </c>
      <c r="O773" s="3" t="str">
        <f>YEAR(Weekly_Prices[[#This Row],[Date]])&amp;"-"&amp;TEXT(WEEKNUM(Weekly_Prices[[#This Row],[Date]],2),"00")</f>
        <v>2018-12</v>
      </c>
    </row>
    <row r="774" spans="1:15" x14ac:dyDescent="0.35">
      <c r="A774" s="2">
        <v>43185</v>
      </c>
      <c r="B774" s="3">
        <v>119.22547800000001</v>
      </c>
      <c r="C774" s="4">
        <f t="shared" si="48"/>
        <v>5.9531000000006884E-2</v>
      </c>
      <c r="D774" s="4">
        <f t="shared" si="46"/>
        <v>1.1973928609999973</v>
      </c>
      <c r="E774" s="3">
        <v>57.95</v>
      </c>
      <c r="F774" s="3">
        <v>20</v>
      </c>
      <c r="G774" s="3">
        <v>122.89773199999999</v>
      </c>
      <c r="H774" s="4">
        <f t="shared" si="49"/>
        <v>6.1933999999979505E-2</v>
      </c>
      <c r="I774" s="4">
        <f t="shared" si="47"/>
        <v>1.8196186959999778</v>
      </c>
      <c r="J774" s="3">
        <v>57.95</v>
      </c>
      <c r="K774" s="3">
        <v>20</v>
      </c>
      <c r="L774" s="13">
        <f>YEAR(Weekly_Prices[[#This Row],[Date]])</f>
        <v>2018</v>
      </c>
      <c r="M774" s="13">
        <f>MONTH(Weekly_Prices[[#This Row],[Date]])</f>
        <v>3</v>
      </c>
      <c r="N774" s="3" t="str">
        <f>TEXT(Weekly_Prices[[#This Row],[Date]],"MMMM")</f>
        <v>March</v>
      </c>
      <c r="O774" s="3" t="str">
        <f>YEAR(Weekly_Prices[[#This Row],[Date]])&amp;"-"&amp;TEXT(WEEKNUM(Weekly_Prices[[#This Row],[Date]],2),"00")</f>
        <v>2018-13</v>
      </c>
    </row>
    <row r="775" spans="1:15" x14ac:dyDescent="0.35">
      <c r="A775" s="2">
        <v>43192</v>
      </c>
      <c r="B775" s="3">
        <v>119.42798300000001</v>
      </c>
      <c r="C775" s="4">
        <f t="shared" si="48"/>
        <v>0.20250500000000216</v>
      </c>
      <c r="D775" s="4">
        <f t="shared" si="46"/>
        <v>2.5014380000000216</v>
      </c>
      <c r="E775" s="3">
        <v>57.95</v>
      </c>
      <c r="F775" s="3">
        <v>20</v>
      </c>
      <c r="G775" s="3">
        <v>123.05310900000001</v>
      </c>
      <c r="H775" s="4">
        <f t="shared" si="49"/>
        <v>0.15537700000001564</v>
      </c>
      <c r="I775" s="4">
        <f t="shared" si="47"/>
        <v>3.1375170000000168</v>
      </c>
      <c r="J775" s="3">
        <v>57.95</v>
      </c>
      <c r="K775" s="3">
        <v>20</v>
      </c>
      <c r="L775" s="13">
        <f>YEAR(Weekly_Prices[[#This Row],[Date]])</f>
        <v>2018</v>
      </c>
      <c r="M775" s="13">
        <f>MONTH(Weekly_Prices[[#This Row],[Date]])</f>
        <v>4</v>
      </c>
      <c r="N775" s="3" t="str">
        <f>TEXT(Weekly_Prices[[#This Row],[Date]],"MMMM")</f>
        <v>April</v>
      </c>
      <c r="O775" s="3" t="str">
        <f>YEAR(Weekly_Prices[[#This Row],[Date]])&amp;"-"&amp;TEXT(WEEKNUM(Weekly_Prices[[#This Row],[Date]],2),"00")</f>
        <v>2018-14</v>
      </c>
    </row>
    <row r="776" spans="1:15" x14ac:dyDescent="0.35">
      <c r="A776" s="2">
        <v>43199</v>
      </c>
      <c r="B776" s="3">
        <v>119.96192599999999</v>
      </c>
      <c r="C776" s="4">
        <f t="shared" si="48"/>
        <v>0.53394299999997941</v>
      </c>
      <c r="D776" s="4">
        <f t="shared" si="46"/>
        <v>2.9402659999999941</v>
      </c>
      <c r="E776" s="3">
        <v>57.95</v>
      </c>
      <c r="F776" s="3">
        <v>20</v>
      </c>
      <c r="G776" s="3">
        <v>123.58152700000001</v>
      </c>
      <c r="H776" s="4">
        <f t="shared" si="49"/>
        <v>0.52841800000000205</v>
      </c>
      <c r="I776" s="4">
        <f t="shared" si="47"/>
        <v>3.6054550000000205</v>
      </c>
      <c r="J776" s="3">
        <v>57.95</v>
      </c>
      <c r="K776" s="3">
        <v>20</v>
      </c>
      <c r="L776" s="13">
        <f>YEAR(Weekly_Prices[[#This Row],[Date]])</f>
        <v>2018</v>
      </c>
      <c r="M776" s="13">
        <f>MONTH(Weekly_Prices[[#This Row],[Date]])</f>
        <v>4</v>
      </c>
      <c r="N776" s="3" t="str">
        <f>TEXT(Weekly_Prices[[#This Row],[Date]],"MMMM")</f>
        <v>April</v>
      </c>
      <c r="O776" s="3" t="str">
        <f>YEAR(Weekly_Prices[[#This Row],[Date]])&amp;"-"&amp;TEXT(WEEKNUM(Weekly_Prices[[#This Row],[Date]],2),"00")</f>
        <v>2018-15</v>
      </c>
    </row>
    <row r="777" spans="1:15" x14ac:dyDescent="0.35">
      <c r="A777" s="2">
        <v>43206</v>
      </c>
      <c r="B777" s="3">
        <v>120.56344551000001</v>
      </c>
      <c r="C777" s="4">
        <f t="shared" si="48"/>
        <v>0.60151951000001702</v>
      </c>
      <c r="D777" s="4">
        <f t="shared" si="46"/>
        <v>3.0247335099999901</v>
      </c>
      <c r="E777" s="3">
        <v>57.95</v>
      </c>
      <c r="F777" s="3">
        <v>20</v>
      </c>
      <c r="G777" s="3">
        <v>124.28966511200001</v>
      </c>
      <c r="H777" s="4">
        <f t="shared" si="49"/>
        <v>0.70813811200000032</v>
      </c>
      <c r="I777" s="4">
        <f t="shared" si="47"/>
        <v>3.9266251120000106</v>
      </c>
      <c r="J777" s="3">
        <v>57.95</v>
      </c>
      <c r="K777" s="3">
        <v>20</v>
      </c>
      <c r="L777" s="13">
        <f>YEAR(Weekly_Prices[[#This Row],[Date]])</f>
        <v>2018</v>
      </c>
      <c r="M777" s="13">
        <f>MONTH(Weekly_Prices[[#This Row],[Date]])</f>
        <v>4</v>
      </c>
      <c r="N777" s="3" t="str">
        <f>TEXT(Weekly_Prices[[#This Row],[Date]],"MMMM")</f>
        <v>April</v>
      </c>
      <c r="O777" s="3" t="str">
        <f>YEAR(Weekly_Prices[[#This Row],[Date]])&amp;"-"&amp;TEXT(WEEKNUM(Weekly_Prices[[#This Row],[Date]],2),"00")</f>
        <v>2018-16</v>
      </c>
    </row>
    <row r="778" spans="1:15" x14ac:dyDescent="0.35">
      <c r="A778" s="2">
        <v>43213</v>
      </c>
      <c r="B778" s="3">
        <v>121.44402841800002</v>
      </c>
      <c r="C778" s="4">
        <f t="shared" si="48"/>
        <v>0.88058290800000805</v>
      </c>
      <c r="D778" s="4">
        <f t="shared" si="46"/>
        <v>3.296506418000007</v>
      </c>
      <c r="E778" s="3">
        <v>57.95</v>
      </c>
      <c r="F778" s="3">
        <v>20</v>
      </c>
      <c r="G778" s="3">
        <v>125.387530168</v>
      </c>
      <c r="H778" s="4">
        <f t="shared" si="49"/>
        <v>1.0978650559999892</v>
      </c>
      <c r="I778" s="4">
        <f t="shared" si="47"/>
        <v>4.618059168000002</v>
      </c>
      <c r="J778" s="3">
        <v>57.95</v>
      </c>
      <c r="K778" s="3">
        <v>20</v>
      </c>
      <c r="L778" s="13">
        <f>YEAR(Weekly_Prices[[#This Row],[Date]])</f>
        <v>2018</v>
      </c>
      <c r="M778" s="13">
        <f>MONTH(Weekly_Prices[[#This Row],[Date]])</f>
        <v>4</v>
      </c>
      <c r="N778" s="3" t="str">
        <f>TEXT(Weekly_Prices[[#This Row],[Date]],"MMMM")</f>
        <v>April</v>
      </c>
      <c r="O778" s="3" t="str">
        <f>YEAR(Weekly_Prices[[#This Row],[Date]])&amp;"-"&amp;TEXT(WEEKNUM(Weekly_Prices[[#This Row],[Date]],2),"00")</f>
        <v>2018-17</v>
      </c>
    </row>
    <row r="779" spans="1:15" x14ac:dyDescent="0.35">
      <c r="A779" s="2">
        <v>43220</v>
      </c>
      <c r="B779" s="3">
        <v>122.218777</v>
      </c>
      <c r="C779" s="4">
        <f t="shared" si="48"/>
        <v>0.77474858199998664</v>
      </c>
      <c r="D779" s="4">
        <f t="shared" si="46"/>
        <v>4.1368719999999968</v>
      </c>
      <c r="E779" s="3">
        <v>57.95</v>
      </c>
      <c r="F779" s="3">
        <v>20</v>
      </c>
      <c r="G779" s="3">
        <v>126.012658</v>
      </c>
      <c r="H779" s="4">
        <f t="shared" si="49"/>
        <v>0.62512783200000399</v>
      </c>
      <c r="I779" s="4">
        <f t="shared" si="47"/>
        <v>5.2337839999999858</v>
      </c>
      <c r="J779" s="3">
        <v>57.95</v>
      </c>
      <c r="K779" s="3">
        <v>20</v>
      </c>
      <c r="L779" s="13">
        <f>YEAR(Weekly_Prices[[#This Row],[Date]])</f>
        <v>2018</v>
      </c>
      <c r="M779" s="13">
        <f>MONTH(Weekly_Prices[[#This Row],[Date]])</f>
        <v>4</v>
      </c>
      <c r="N779" s="3" t="str">
        <f>TEXT(Weekly_Prices[[#This Row],[Date]],"MMMM")</f>
        <v>April</v>
      </c>
      <c r="O779" s="3" t="str">
        <f>YEAR(Weekly_Prices[[#This Row],[Date]])&amp;"-"&amp;TEXT(WEEKNUM(Weekly_Prices[[#This Row],[Date]],2),"00")</f>
        <v>2018-18</v>
      </c>
    </row>
    <row r="780" spans="1:15" x14ac:dyDescent="0.35">
      <c r="A780" s="2">
        <v>43227</v>
      </c>
      <c r="B780" s="3">
        <v>123.26680999999999</v>
      </c>
      <c r="C780" s="4">
        <f t="shared" si="48"/>
        <v>1.0480329999999896</v>
      </c>
      <c r="D780" s="4">
        <f t="shared" si="46"/>
        <v>6.2087649999999854</v>
      </c>
      <c r="E780" s="3">
        <v>57.95</v>
      </c>
      <c r="F780" s="3">
        <v>20</v>
      </c>
      <c r="G780" s="3">
        <v>126.99148700000001</v>
      </c>
      <c r="H780" s="4">
        <f t="shared" si="49"/>
        <v>0.97882900000000461</v>
      </c>
      <c r="I780" s="4">
        <f t="shared" si="47"/>
        <v>7.6508220000000051</v>
      </c>
      <c r="J780" s="3">
        <v>57.95</v>
      </c>
      <c r="K780" s="3">
        <v>20</v>
      </c>
      <c r="L780" s="13">
        <f>YEAR(Weekly_Prices[[#This Row],[Date]])</f>
        <v>2018</v>
      </c>
      <c r="M780" s="13">
        <f>MONTH(Weekly_Prices[[#This Row],[Date]])</f>
        <v>5</v>
      </c>
      <c r="N780" s="3" t="str">
        <f>TEXT(Weekly_Prices[[#This Row],[Date]],"MMMM")</f>
        <v>May</v>
      </c>
      <c r="O780" s="3" t="str">
        <f>YEAR(Weekly_Prices[[#This Row],[Date]])&amp;"-"&amp;TEXT(WEEKNUM(Weekly_Prices[[#This Row],[Date]],2),"00")</f>
        <v>2018-19</v>
      </c>
    </row>
    <row r="781" spans="1:15" x14ac:dyDescent="0.35">
      <c r="A781" s="2">
        <v>43234</v>
      </c>
      <c r="B781" s="3">
        <v>124.32063099999998</v>
      </c>
      <c r="C781" s="4">
        <f t="shared" si="48"/>
        <v>1.053820999999985</v>
      </c>
      <c r="D781" s="4">
        <f t="shared" si="46"/>
        <v>8.7196050000000014</v>
      </c>
      <c r="E781" s="3">
        <v>57.95</v>
      </c>
      <c r="F781" s="3">
        <v>20</v>
      </c>
      <c r="G781" s="3">
        <v>128.28306999999998</v>
      </c>
      <c r="H781" s="4">
        <f t="shared" si="49"/>
        <v>1.2915829999999744</v>
      </c>
      <c r="I781" s="4">
        <f t="shared" si="47"/>
        <v>10.633853999999985</v>
      </c>
      <c r="J781" s="3">
        <v>57.95</v>
      </c>
      <c r="K781" s="3">
        <v>20</v>
      </c>
      <c r="L781" s="13">
        <f>YEAR(Weekly_Prices[[#This Row],[Date]])</f>
        <v>2018</v>
      </c>
      <c r="M781" s="13">
        <f>MONTH(Weekly_Prices[[#This Row],[Date]])</f>
        <v>5</v>
      </c>
      <c r="N781" s="3" t="str">
        <f>TEXT(Weekly_Prices[[#This Row],[Date]],"MMMM")</f>
        <v>May</v>
      </c>
      <c r="O781" s="3" t="str">
        <f>YEAR(Weekly_Prices[[#This Row],[Date]])&amp;"-"&amp;TEXT(WEEKNUM(Weekly_Prices[[#This Row],[Date]],2),"00")</f>
        <v>2018-20</v>
      </c>
    </row>
    <row r="782" spans="1:15" x14ac:dyDescent="0.35">
      <c r="A782" s="2">
        <v>43241</v>
      </c>
      <c r="B782" s="3">
        <v>125.92610000000001</v>
      </c>
      <c r="C782" s="4">
        <f t="shared" si="48"/>
        <v>1.6054690000000278</v>
      </c>
      <c r="D782" s="4">
        <f t="shared" si="46"/>
        <v>10.253845000000013</v>
      </c>
      <c r="E782" s="3">
        <v>57.95</v>
      </c>
      <c r="F782" s="3">
        <v>20</v>
      </c>
      <c r="G782" s="3">
        <v>130.03868</v>
      </c>
      <c r="H782" s="4">
        <f t="shared" si="49"/>
        <v>1.7556100000000185</v>
      </c>
      <c r="I782" s="4">
        <f t="shared" si="47"/>
        <v>12.280969999999996</v>
      </c>
      <c r="J782" s="3">
        <v>57.95</v>
      </c>
      <c r="K782" s="3">
        <v>20</v>
      </c>
      <c r="L782" s="13">
        <f>YEAR(Weekly_Prices[[#This Row],[Date]])</f>
        <v>2018</v>
      </c>
      <c r="M782" s="13">
        <f>MONTH(Weekly_Prices[[#This Row],[Date]])</f>
        <v>5</v>
      </c>
      <c r="N782" s="3" t="str">
        <f>TEXT(Weekly_Prices[[#This Row],[Date]],"MMMM")</f>
        <v>May</v>
      </c>
      <c r="O782" s="3" t="str">
        <f>YEAR(Weekly_Prices[[#This Row],[Date]])&amp;"-"&amp;TEXT(WEEKNUM(Weekly_Prices[[#This Row],[Date]],2),"00")</f>
        <v>2018-21</v>
      </c>
    </row>
    <row r="783" spans="1:15" x14ac:dyDescent="0.35">
      <c r="A783" s="2">
        <v>43248</v>
      </c>
      <c r="B783" s="3">
        <v>127.57543233</v>
      </c>
      <c r="C783" s="4">
        <f t="shared" si="48"/>
        <v>1.6493323299999929</v>
      </c>
      <c r="D783" s="4">
        <f t="shared" si="46"/>
        <v>11.780739009999991</v>
      </c>
      <c r="E783" s="3">
        <v>57.95</v>
      </c>
      <c r="F783" s="3">
        <v>20</v>
      </c>
      <c r="G783" s="3">
        <v>131.65999488</v>
      </c>
      <c r="H783" s="4">
        <f t="shared" si="49"/>
        <v>1.6213148799999999</v>
      </c>
      <c r="I783" s="4">
        <f t="shared" si="47"/>
        <v>13.779897319999989</v>
      </c>
      <c r="J783" s="3">
        <v>57.95</v>
      </c>
      <c r="K783" s="3">
        <v>20</v>
      </c>
      <c r="L783" s="13">
        <f>YEAR(Weekly_Prices[[#This Row],[Date]])</f>
        <v>2018</v>
      </c>
      <c r="M783" s="13">
        <f>MONTH(Weekly_Prices[[#This Row],[Date]])</f>
        <v>5</v>
      </c>
      <c r="N783" s="3" t="str">
        <f>TEXT(Weekly_Prices[[#This Row],[Date]],"MMMM")</f>
        <v>May</v>
      </c>
      <c r="O783" s="3" t="str">
        <f>YEAR(Weekly_Prices[[#This Row],[Date]])&amp;"-"&amp;TEXT(WEEKNUM(Weekly_Prices[[#This Row],[Date]],2),"00")</f>
        <v>2018-22</v>
      </c>
    </row>
    <row r="784" spans="1:15" x14ac:dyDescent="0.35">
      <c r="A784" s="2">
        <v>43255</v>
      </c>
      <c r="B784" s="3">
        <v>128.42974326300001</v>
      </c>
      <c r="C784" s="4">
        <f t="shared" si="48"/>
        <v>0.85431093300000782</v>
      </c>
      <c r="D784" s="4">
        <f t="shared" si="46"/>
        <v>12.608909314000002</v>
      </c>
      <c r="E784" s="3">
        <v>57.95</v>
      </c>
      <c r="F784" s="3">
        <v>20</v>
      </c>
      <c r="G784" s="3">
        <v>132.34200096000001</v>
      </c>
      <c r="H784" s="4">
        <f t="shared" si="49"/>
        <v>0.68200608000000784</v>
      </c>
      <c r="I784" s="4">
        <f t="shared" si="47"/>
        <v>14.394702824000007</v>
      </c>
      <c r="J784" s="3">
        <v>57.95</v>
      </c>
      <c r="K784" s="3">
        <v>20</v>
      </c>
      <c r="L784" s="13">
        <f>YEAR(Weekly_Prices[[#This Row],[Date]])</f>
        <v>2018</v>
      </c>
      <c r="M784" s="13">
        <f>MONTH(Weekly_Prices[[#This Row],[Date]])</f>
        <v>6</v>
      </c>
      <c r="N784" s="3" t="str">
        <f>TEXT(Weekly_Prices[[#This Row],[Date]],"MMMM")</f>
        <v>June</v>
      </c>
      <c r="O784" s="3" t="str">
        <f>YEAR(Weekly_Prices[[#This Row],[Date]])&amp;"-"&amp;TEXT(WEEKNUM(Weekly_Prices[[#This Row],[Date]],2),"00")</f>
        <v>2018-23</v>
      </c>
    </row>
    <row r="785" spans="1:15" x14ac:dyDescent="0.35">
      <c r="A785" s="2">
        <v>43262</v>
      </c>
      <c r="B785" s="3">
        <v>128.60734199999999</v>
      </c>
      <c r="C785" s="4">
        <f t="shared" si="48"/>
        <v>0.17759873699998252</v>
      </c>
      <c r="D785" s="4">
        <f t="shared" si="46"/>
        <v>12.913903509999983</v>
      </c>
      <c r="E785" s="3">
        <v>57.95</v>
      </c>
      <c r="F785" s="3">
        <v>20</v>
      </c>
      <c r="G785" s="3">
        <v>132.620206</v>
      </c>
      <c r="H785" s="4">
        <f t="shared" si="49"/>
        <v>0.27820503999998891</v>
      </c>
      <c r="I785" s="4">
        <f t="shared" si="47"/>
        <v>14.859368903999993</v>
      </c>
      <c r="J785" s="3">
        <v>57.95</v>
      </c>
      <c r="K785" s="3">
        <v>20</v>
      </c>
      <c r="L785" s="13">
        <f>YEAR(Weekly_Prices[[#This Row],[Date]])</f>
        <v>2018</v>
      </c>
      <c r="M785" s="13">
        <f>MONTH(Weekly_Prices[[#This Row],[Date]])</f>
        <v>6</v>
      </c>
      <c r="N785" s="3" t="str">
        <f>TEXT(Weekly_Prices[[#This Row],[Date]],"MMMM")</f>
        <v>June</v>
      </c>
      <c r="O785" s="3" t="str">
        <f>YEAR(Weekly_Prices[[#This Row],[Date]])&amp;"-"&amp;TEXT(WEEKNUM(Weekly_Prices[[#This Row],[Date]],2),"00")</f>
        <v>2018-24</v>
      </c>
    </row>
    <row r="786" spans="1:15" x14ac:dyDescent="0.35">
      <c r="A786" s="2">
        <v>43269</v>
      </c>
      <c r="B786" s="3">
        <v>127.924651</v>
      </c>
      <c r="C786" s="4">
        <f t="shared" si="48"/>
        <v>-0.68269099999999128</v>
      </c>
      <c r="D786" s="4">
        <f t="shared" si="46"/>
        <v>12.806469000000007</v>
      </c>
      <c r="E786" s="3">
        <v>57.95</v>
      </c>
      <c r="F786" s="3">
        <v>20</v>
      </c>
      <c r="G786" s="3">
        <v>131.983036</v>
      </c>
      <c r="H786" s="4">
        <f t="shared" si="49"/>
        <v>-0.63716999999999757</v>
      </c>
      <c r="I786" s="4">
        <f t="shared" si="47"/>
        <v>14.803893000000002</v>
      </c>
      <c r="J786" s="3">
        <v>57.95</v>
      </c>
      <c r="K786" s="3">
        <v>20</v>
      </c>
      <c r="L786" s="13">
        <f>YEAR(Weekly_Prices[[#This Row],[Date]])</f>
        <v>2018</v>
      </c>
      <c r="M786" s="13">
        <f>MONTH(Weekly_Prices[[#This Row],[Date]])</f>
        <v>6</v>
      </c>
      <c r="N786" s="3" t="str">
        <f>TEXT(Weekly_Prices[[#This Row],[Date]],"MMMM")</f>
        <v>June</v>
      </c>
      <c r="O786" s="3" t="str">
        <f>YEAR(Weekly_Prices[[#This Row],[Date]])&amp;"-"&amp;TEXT(WEEKNUM(Weekly_Prices[[#This Row],[Date]],2),"00")</f>
        <v>2018-25</v>
      </c>
    </row>
    <row r="787" spans="1:15" x14ac:dyDescent="0.35">
      <c r="A787" s="2">
        <v>43276</v>
      </c>
      <c r="B787" s="3">
        <v>127.177041</v>
      </c>
      <c r="C787" s="4">
        <f t="shared" si="48"/>
        <v>-0.74760999999999456</v>
      </c>
      <c r="D787" s="4">
        <f t="shared" si="46"/>
        <v>12.750588999999991</v>
      </c>
      <c r="E787" s="3">
        <v>57.95</v>
      </c>
      <c r="F787" s="3">
        <v>20</v>
      </c>
      <c r="G787" s="3">
        <v>131.26603499999999</v>
      </c>
      <c r="H787" s="4">
        <f t="shared" si="49"/>
        <v>-0.71700100000001044</v>
      </c>
      <c r="I787" s="4">
        <f t="shared" si="47"/>
        <v>15.009151999999986</v>
      </c>
      <c r="J787" s="3">
        <v>57.95</v>
      </c>
      <c r="K787" s="3">
        <v>20</v>
      </c>
      <c r="L787" s="13">
        <f>YEAR(Weekly_Prices[[#This Row],[Date]])</f>
        <v>2018</v>
      </c>
      <c r="M787" s="13">
        <f>MONTH(Weekly_Prices[[#This Row],[Date]])</f>
        <v>6</v>
      </c>
      <c r="N787" s="3" t="str">
        <f>TEXT(Weekly_Prices[[#This Row],[Date]],"MMMM")</f>
        <v>June</v>
      </c>
      <c r="O787" s="3" t="str">
        <f>YEAR(Weekly_Prices[[#This Row],[Date]])&amp;"-"&amp;TEXT(WEEKNUM(Weekly_Prices[[#This Row],[Date]],2),"00")</f>
        <v>2018-26</v>
      </c>
    </row>
    <row r="788" spans="1:15" x14ac:dyDescent="0.35">
      <c r="A788" s="2">
        <v>43283</v>
      </c>
      <c r="B788" s="3">
        <v>126.541259</v>
      </c>
      <c r="C788" s="4">
        <f t="shared" si="48"/>
        <v>-0.63578200000000606</v>
      </c>
      <c r="D788" s="4">
        <f t="shared" si="46"/>
        <v>12.800611999999987</v>
      </c>
      <c r="E788" s="3">
        <v>57.95</v>
      </c>
      <c r="F788" s="3">
        <v>20</v>
      </c>
      <c r="G788" s="3">
        <v>130.83313799999999</v>
      </c>
      <c r="H788" s="4">
        <f t="shared" si="49"/>
        <v>-0.43289699999999698</v>
      </c>
      <c r="I788" s="4">
        <f t="shared" si="47"/>
        <v>15.204604000000003</v>
      </c>
      <c r="J788" s="3">
        <v>57.95</v>
      </c>
      <c r="K788" s="3">
        <v>20</v>
      </c>
      <c r="L788" s="13">
        <f>YEAR(Weekly_Prices[[#This Row],[Date]])</f>
        <v>2018</v>
      </c>
      <c r="M788" s="13">
        <f>MONTH(Weekly_Prices[[#This Row],[Date]])</f>
        <v>7</v>
      </c>
      <c r="N788" s="3" t="str">
        <f>TEXT(Weekly_Prices[[#This Row],[Date]],"MMMM")</f>
        <v>July</v>
      </c>
      <c r="O788" s="3" t="str">
        <f>YEAR(Weekly_Prices[[#This Row],[Date]])&amp;"-"&amp;TEXT(WEEKNUM(Weekly_Prices[[#This Row],[Date]],2),"00")</f>
        <v>2018-27</v>
      </c>
    </row>
    <row r="789" spans="1:15" x14ac:dyDescent="0.35">
      <c r="A789" s="2">
        <v>43290</v>
      </c>
      <c r="B789" s="3">
        <v>126.97262899999998</v>
      </c>
      <c r="C789" s="4">
        <f t="shared" si="48"/>
        <v>0.43136999999998693</v>
      </c>
      <c r="D789" s="4">
        <f t="shared" si="46"/>
        <v>13.395499999999984</v>
      </c>
      <c r="E789" s="3">
        <v>57.95</v>
      </c>
      <c r="F789" s="3">
        <v>20</v>
      </c>
      <c r="G789" s="3">
        <v>131.530137</v>
      </c>
      <c r="H789" s="4">
        <f t="shared" si="49"/>
        <v>0.69699900000000525</v>
      </c>
      <c r="I789" s="4">
        <f t="shared" si="47"/>
        <v>16.239958000000016</v>
      </c>
      <c r="J789" s="3">
        <v>57.95</v>
      </c>
      <c r="K789" s="3">
        <v>20</v>
      </c>
      <c r="L789" s="13">
        <f>YEAR(Weekly_Prices[[#This Row],[Date]])</f>
        <v>2018</v>
      </c>
      <c r="M789" s="13">
        <f>MONTH(Weekly_Prices[[#This Row],[Date]])</f>
        <v>7</v>
      </c>
      <c r="N789" s="3" t="str">
        <f>TEXT(Weekly_Prices[[#This Row],[Date]],"MMMM")</f>
        <v>July</v>
      </c>
      <c r="O789" s="3" t="str">
        <f>YEAR(Weekly_Prices[[#This Row],[Date]])&amp;"-"&amp;TEXT(WEEKNUM(Weekly_Prices[[#This Row],[Date]],2),"00")</f>
        <v>2018-28</v>
      </c>
    </row>
    <row r="790" spans="1:15" x14ac:dyDescent="0.35">
      <c r="A790" s="2">
        <v>43297</v>
      </c>
      <c r="B790" s="3">
        <v>127.471738</v>
      </c>
      <c r="C790" s="4">
        <f t="shared" si="48"/>
        <v>0.49910900000001845</v>
      </c>
      <c r="D790" s="4">
        <f t="shared" si="46"/>
        <v>13.584068000000002</v>
      </c>
      <c r="E790" s="3">
        <v>57.95</v>
      </c>
      <c r="F790" s="3">
        <v>20</v>
      </c>
      <c r="G790" s="3">
        <v>131.84939800000001</v>
      </c>
      <c r="H790" s="4">
        <f t="shared" si="49"/>
        <v>0.31926100000001156</v>
      </c>
      <c r="I790" s="4">
        <f t="shared" si="47"/>
        <v>16.266143</v>
      </c>
      <c r="J790" s="3">
        <v>57.95</v>
      </c>
      <c r="K790" s="3">
        <v>20</v>
      </c>
      <c r="L790" s="13">
        <f>YEAR(Weekly_Prices[[#This Row],[Date]])</f>
        <v>2018</v>
      </c>
      <c r="M790" s="13">
        <f>MONTH(Weekly_Prices[[#This Row],[Date]])</f>
        <v>7</v>
      </c>
      <c r="N790" s="3" t="str">
        <f>TEXT(Weekly_Prices[[#This Row],[Date]],"MMMM")</f>
        <v>July</v>
      </c>
      <c r="O790" s="3" t="str">
        <f>YEAR(Weekly_Prices[[#This Row],[Date]])&amp;"-"&amp;TEXT(WEEKNUM(Weekly_Prices[[#This Row],[Date]],2),"00")</f>
        <v>2018-29</v>
      </c>
    </row>
    <row r="791" spans="1:15" x14ac:dyDescent="0.35">
      <c r="A791" s="2">
        <v>43304</v>
      </c>
      <c r="B791" s="3">
        <v>127.50429199999999</v>
      </c>
      <c r="C791" s="4">
        <f t="shared" si="48"/>
        <v>3.2553999999990424E-2</v>
      </c>
      <c r="D791" s="4">
        <f t="shared" si="46"/>
        <v>13.511045999999993</v>
      </c>
      <c r="E791" s="3">
        <v>57.95</v>
      </c>
      <c r="F791" s="3">
        <v>20</v>
      </c>
      <c r="G791" s="3">
        <v>131.90086500000001</v>
      </c>
      <c r="H791" s="4">
        <f t="shared" si="49"/>
        <v>5.1467000000002372E-2</v>
      </c>
      <c r="I791" s="4">
        <f t="shared" si="47"/>
        <v>16.171480000000017</v>
      </c>
      <c r="J791" s="3">
        <v>57.95</v>
      </c>
      <c r="K791" s="3">
        <v>20</v>
      </c>
      <c r="L791" s="13">
        <f>YEAR(Weekly_Prices[[#This Row],[Date]])</f>
        <v>2018</v>
      </c>
      <c r="M791" s="13">
        <f>MONTH(Weekly_Prices[[#This Row],[Date]])</f>
        <v>7</v>
      </c>
      <c r="N791" s="3" t="str">
        <f>TEXT(Weekly_Prices[[#This Row],[Date]],"MMMM")</f>
        <v>July</v>
      </c>
      <c r="O791" s="3" t="str">
        <f>YEAR(Weekly_Prices[[#This Row],[Date]])&amp;"-"&amp;TEXT(WEEKNUM(Weekly_Prices[[#This Row],[Date]],2),"00")</f>
        <v>2018-30</v>
      </c>
    </row>
    <row r="792" spans="1:15" x14ac:dyDescent="0.35">
      <c r="A792" s="2">
        <v>43311</v>
      </c>
      <c r="B792" s="3">
        <v>127.53762500000001</v>
      </c>
      <c r="C792" s="4">
        <f t="shared" si="48"/>
        <v>3.3333000000013158E-2</v>
      </c>
      <c r="D792" s="4">
        <f t="shared" si="46"/>
        <v>13.376397999999995</v>
      </c>
      <c r="E792" s="3">
        <v>57.95</v>
      </c>
      <c r="F792" s="3">
        <v>20</v>
      </c>
      <c r="G792" s="3">
        <v>131.93920199999999</v>
      </c>
      <c r="H792" s="4">
        <f t="shared" si="49"/>
        <v>3.83369999999843E-2</v>
      </c>
      <c r="I792" s="4">
        <f t="shared" si="47"/>
        <v>15.949903999999989</v>
      </c>
      <c r="J792" s="3">
        <v>57.95</v>
      </c>
      <c r="K792" s="3">
        <v>20</v>
      </c>
      <c r="L792" s="13">
        <f>YEAR(Weekly_Prices[[#This Row],[Date]])</f>
        <v>2018</v>
      </c>
      <c r="M792" s="13">
        <f>MONTH(Weekly_Prices[[#This Row],[Date]])</f>
        <v>7</v>
      </c>
      <c r="N792" s="3" t="str">
        <f>TEXT(Weekly_Prices[[#This Row],[Date]],"MMMM")</f>
        <v>July</v>
      </c>
      <c r="O792" s="3" t="str">
        <f>YEAR(Weekly_Prices[[#This Row],[Date]])&amp;"-"&amp;TEXT(WEEKNUM(Weekly_Prices[[#This Row],[Date]],2),"00")</f>
        <v>2018-31</v>
      </c>
    </row>
    <row r="793" spans="1:15" x14ac:dyDescent="0.35">
      <c r="A793" s="2">
        <v>43318</v>
      </c>
      <c r="B793" s="3">
        <v>128.02387999999999</v>
      </c>
      <c r="C793" s="4">
        <f t="shared" si="48"/>
        <v>0.48625499999998567</v>
      </c>
      <c r="D793" s="4">
        <f t="shared" si="46"/>
        <v>13.241494000000003</v>
      </c>
      <c r="E793" s="3">
        <v>57.95</v>
      </c>
      <c r="F793" s="3">
        <v>20</v>
      </c>
      <c r="G793" s="3">
        <v>132.38832400000001</v>
      </c>
      <c r="H793" s="4">
        <f t="shared" si="49"/>
        <v>0.4491220000000169</v>
      </c>
      <c r="I793" s="4">
        <f t="shared" si="47"/>
        <v>15.746343999999993</v>
      </c>
      <c r="J793" s="3">
        <v>57.95</v>
      </c>
      <c r="K793" s="3">
        <v>20</v>
      </c>
      <c r="L793" s="13">
        <f>YEAR(Weekly_Prices[[#This Row],[Date]])</f>
        <v>2018</v>
      </c>
      <c r="M793" s="13">
        <f>MONTH(Weekly_Prices[[#This Row],[Date]])</f>
        <v>8</v>
      </c>
      <c r="N793" s="3" t="str">
        <f>TEXT(Weekly_Prices[[#This Row],[Date]],"MMMM")</f>
        <v>August</v>
      </c>
      <c r="O793" s="3" t="str">
        <f>YEAR(Weekly_Prices[[#This Row],[Date]])&amp;"-"&amp;TEXT(WEEKNUM(Weekly_Prices[[#This Row],[Date]],2),"00")</f>
        <v>2018-32</v>
      </c>
    </row>
    <row r="794" spans="1:15" x14ac:dyDescent="0.35">
      <c r="A794" s="2">
        <v>43325</v>
      </c>
      <c r="B794" s="3">
        <v>128.39324500000001</v>
      </c>
      <c r="C794" s="4">
        <f t="shared" si="48"/>
        <v>0.36936500000001615</v>
      </c>
      <c r="D794" s="4">
        <f t="shared" si="46"/>
        <v>12.867410000000007</v>
      </c>
      <c r="E794" s="3">
        <v>57.95</v>
      </c>
      <c r="F794" s="3">
        <v>20</v>
      </c>
      <c r="G794" s="3">
        <v>132.56224400000002</v>
      </c>
      <c r="H794" s="4">
        <f t="shared" si="49"/>
        <v>0.17392000000000962</v>
      </c>
      <c r="I794" s="4">
        <f t="shared" si="47"/>
        <v>15.135347000000039</v>
      </c>
      <c r="J794" s="3">
        <v>57.95</v>
      </c>
      <c r="K794" s="3">
        <v>20</v>
      </c>
      <c r="L794" s="13">
        <f>YEAR(Weekly_Prices[[#This Row],[Date]])</f>
        <v>2018</v>
      </c>
      <c r="M794" s="13">
        <f>MONTH(Weekly_Prices[[#This Row],[Date]])</f>
        <v>8</v>
      </c>
      <c r="N794" s="3" t="str">
        <f>TEXT(Weekly_Prices[[#This Row],[Date]],"MMMM")</f>
        <v>August</v>
      </c>
      <c r="O794" s="3" t="str">
        <f>YEAR(Weekly_Prices[[#This Row],[Date]])&amp;"-"&amp;TEXT(WEEKNUM(Weekly_Prices[[#This Row],[Date]],2),"00")</f>
        <v>2018-33</v>
      </c>
    </row>
    <row r="795" spans="1:15" x14ac:dyDescent="0.35">
      <c r="A795" s="2">
        <v>43332</v>
      </c>
      <c r="B795" s="3">
        <v>128.78913299999999</v>
      </c>
      <c r="C795" s="4">
        <f t="shared" si="48"/>
        <v>0.39588799999998514</v>
      </c>
      <c r="D795" s="4">
        <f t="shared" si="46"/>
        <v>12.745652999999976</v>
      </c>
      <c r="E795" s="3">
        <v>57.95</v>
      </c>
      <c r="F795" s="3">
        <v>20</v>
      </c>
      <c r="G795" s="3">
        <v>132.97248100000002</v>
      </c>
      <c r="H795" s="4">
        <f t="shared" si="49"/>
        <v>0.41023699999999508</v>
      </c>
      <c r="I795" s="4">
        <f t="shared" si="47"/>
        <v>14.925808000000018</v>
      </c>
      <c r="J795" s="3">
        <v>57.95</v>
      </c>
      <c r="K795" s="3">
        <v>20</v>
      </c>
      <c r="L795" s="13">
        <f>YEAR(Weekly_Prices[[#This Row],[Date]])</f>
        <v>2018</v>
      </c>
      <c r="M795" s="13">
        <f>MONTH(Weekly_Prices[[#This Row],[Date]])</f>
        <v>8</v>
      </c>
      <c r="N795" s="3" t="str">
        <f>TEXT(Weekly_Prices[[#This Row],[Date]],"MMMM")</f>
        <v>August</v>
      </c>
      <c r="O795" s="3" t="str">
        <f>YEAR(Weekly_Prices[[#This Row],[Date]])&amp;"-"&amp;TEXT(WEEKNUM(Weekly_Prices[[#This Row],[Date]],2),"00")</f>
        <v>2018-34</v>
      </c>
    </row>
    <row r="796" spans="1:15" x14ac:dyDescent="0.35">
      <c r="A796" s="2">
        <v>43339</v>
      </c>
      <c r="B796" s="3">
        <v>129.18053699999999</v>
      </c>
      <c r="C796" s="4">
        <f t="shared" si="48"/>
        <v>0.39140399999999431</v>
      </c>
      <c r="D796" s="4">
        <f t="shared" si="46"/>
        <v>12.778240000000011</v>
      </c>
      <c r="E796" s="3">
        <v>57.95</v>
      </c>
      <c r="F796" s="3">
        <v>20</v>
      </c>
      <c r="G796" s="3">
        <v>133.20041900000001</v>
      </c>
      <c r="H796" s="4">
        <f t="shared" si="49"/>
        <v>0.22793799999999464</v>
      </c>
      <c r="I796" s="4">
        <f t="shared" si="47"/>
        <v>14.959384000000014</v>
      </c>
      <c r="J796" s="3">
        <v>57.95</v>
      </c>
      <c r="K796" s="3">
        <v>20</v>
      </c>
      <c r="L796" s="13">
        <f>YEAR(Weekly_Prices[[#This Row],[Date]])</f>
        <v>2018</v>
      </c>
      <c r="M796" s="13">
        <f>MONTH(Weekly_Prices[[#This Row],[Date]])</f>
        <v>8</v>
      </c>
      <c r="N796" s="3" t="str">
        <f>TEXT(Weekly_Prices[[#This Row],[Date]],"MMMM")</f>
        <v>August</v>
      </c>
      <c r="O796" s="3" t="str">
        <f>YEAR(Weekly_Prices[[#This Row],[Date]])&amp;"-"&amp;TEXT(WEEKNUM(Weekly_Prices[[#This Row],[Date]],2),"00")</f>
        <v>2018-35</v>
      </c>
    </row>
    <row r="797" spans="1:15" x14ac:dyDescent="0.35">
      <c r="A797" s="2">
        <v>43346</v>
      </c>
      <c r="B797" s="3">
        <v>129.758881</v>
      </c>
      <c r="C797" s="4">
        <f t="shared" si="48"/>
        <v>0.57834400000001551</v>
      </c>
      <c r="D797" s="4">
        <f t="shared" si="46"/>
        <v>12.807454000000007</v>
      </c>
      <c r="E797" s="3">
        <v>57.95</v>
      </c>
      <c r="F797" s="3">
        <v>20</v>
      </c>
      <c r="G797" s="3">
        <v>133.66730900000002</v>
      </c>
      <c r="H797" s="4">
        <f t="shared" si="49"/>
        <v>0.46689000000000647</v>
      </c>
      <c r="I797" s="4">
        <f t="shared" si="47"/>
        <v>14.897307000000012</v>
      </c>
      <c r="J797" s="3">
        <v>57.95</v>
      </c>
      <c r="K797" s="3">
        <v>20</v>
      </c>
      <c r="L797" s="13">
        <f>YEAR(Weekly_Prices[[#This Row],[Date]])</f>
        <v>2018</v>
      </c>
      <c r="M797" s="13">
        <f>MONTH(Weekly_Prices[[#This Row],[Date]])</f>
        <v>9</v>
      </c>
      <c r="N797" s="3" t="str">
        <f>TEXT(Weekly_Prices[[#This Row],[Date]],"MMMM")</f>
        <v>September</v>
      </c>
      <c r="O797" s="3" t="str">
        <f>YEAR(Weekly_Prices[[#This Row],[Date]])&amp;"-"&amp;TEXT(WEEKNUM(Weekly_Prices[[#This Row],[Date]],2),"00")</f>
        <v>2018-36</v>
      </c>
    </row>
    <row r="798" spans="1:15" x14ac:dyDescent="0.35">
      <c r="A798" s="2">
        <v>43353</v>
      </c>
      <c r="B798" s="3">
        <v>130.24139099999999</v>
      </c>
      <c r="C798" s="4">
        <f t="shared" si="48"/>
        <v>0.48250999999999067</v>
      </c>
      <c r="D798" s="4">
        <f t="shared" si="46"/>
        <v>12.098213999999984</v>
      </c>
      <c r="E798" s="3">
        <v>57.95</v>
      </c>
      <c r="F798" s="3">
        <v>20</v>
      </c>
      <c r="G798" s="3">
        <v>134.30754699999997</v>
      </c>
      <c r="H798" s="4">
        <f t="shared" si="49"/>
        <v>0.6402379999999539</v>
      </c>
      <c r="I798" s="4">
        <f t="shared" si="47"/>
        <v>14.368650999999971</v>
      </c>
      <c r="J798" s="3">
        <v>57.95</v>
      </c>
      <c r="K798" s="3">
        <v>20</v>
      </c>
      <c r="L798" s="13">
        <f>YEAR(Weekly_Prices[[#This Row],[Date]])</f>
        <v>2018</v>
      </c>
      <c r="M798" s="13">
        <f>MONTH(Weekly_Prices[[#This Row],[Date]])</f>
        <v>9</v>
      </c>
      <c r="N798" s="3" t="str">
        <f>TEXT(Weekly_Prices[[#This Row],[Date]],"MMMM")</f>
        <v>September</v>
      </c>
      <c r="O798" s="3" t="str">
        <f>YEAR(Weekly_Prices[[#This Row],[Date]])&amp;"-"&amp;TEXT(WEEKNUM(Weekly_Prices[[#This Row],[Date]],2),"00")</f>
        <v>2018-37</v>
      </c>
    </row>
    <row r="799" spans="1:15" x14ac:dyDescent="0.35">
      <c r="A799" s="2">
        <v>43360</v>
      </c>
      <c r="B799" s="3">
        <v>130.59118100000001</v>
      </c>
      <c r="C799" s="4">
        <f t="shared" si="48"/>
        <v>0.34979000000001292</v>
      </c>
      <c r="D799" s="4">
        <f t="shared" si="46"/>
        <v>11.738689000000008</v>
      </c>
      <c r="E799" s="3">
        <v>57.95</v>
      </c>
      <c r="F799" s="3">
        <v>20</v>
      </c>
      <c r="G799" s="3">
        <v>134.56762000000001</v>
      </c>
      <c r="H799" s="4">
        <f t="shared" si="49"/>
        <v>0.26007300000003397</v>
      </c>
      <c r="I799" s="4">
        <f t="shared" si="47"/>
        <v>13.976747000000017</v>
      </c>
      <c r="J799" s="3">
        <v>57.95</v>
      </c>
      <c r="K799" s="3">
        <v>20</v>
      </c>
      <c r="L799" s="13">
        <f>YEAR(Weekly_Prices[[#This Row],[Date]])</f>
        <v>2018</v>
      </c>
      <c r="M799" s="13">
        <f>MONTH(Weekly_Prices[[#This Row],[Date]])</f>
        <v>9</v>
      </c>
      <c r="N799" s="3" t="str">
        <f>TEXT(Weekly_Prices[[#This Row],[Date]],"MMMM")</f>
        <v>September</v>
      </c>
      <c r="O799" s="3" t="str">
        <f>YEAR(Weekly_Prices[[#This Row],[Date]])&amp;"-"&amp;TEXT(WEEKNUM(Weekly_Prices[[#This Row],[Date]],2),"00")</f>
        <v>2018-38</v>
      </c>
    </row>
    <row r="800" spans="1:15" x14ac:dyDescent="0.35">
      <c r="A800" s="2">
        <v>43367</v>
      </c>
      <c r="B800" s="3">
        <v>130.58930599999999</v>
      </c>
      <c r="C800" s="4">
        <f t="shared" si="48"/>
        <v>-1.8750000000125056E-3</v>
      </c>
      <c r="D800" s="4">
        <f t="shared" si="46"/>
        <v>11.720224999999985</v>
      </c>
      <c r="E800" s="3">
        <v>57.95</v>
      </c>
      <c r="F800" s="3">
        <v>20</v>
      </c>
      <c r="G800" s="3">
        <v>134.76879300000002</v>
      </c>
      <c r="H800" s="4">
        <f t="shared" si="49"/>
        <v>0.20117300000001137</v>
      </c>
      <c r="I800" s="4">
        <f t="shared" si="47"/>
        <v>13.852926000000011</v>
      </c>
      <c r="J800" s="3">
        <v>57.95</v>
      </c>
      <c r="K800" s="3">
        <v>20</v>
      </c>
      <c r="L800" s="13">
        <f>YEAR(Weekly_Prices[[#This Row],[Date]])</f>
        <v>2018</v>
      </c>
      <c r="M800" s="13">
        <f>MONTH(Weekly_Prices[[#This Row],[Date]])</f>
        <v>9</v>
      </c>
      <c r="N800" s="3" t="str">
        <f>TEXT(Weekly_Prices[[#This Row],[Date]],"MMMM")</f>
        <v>September</v>
      </c>
      <c r="O800" s="3" t="str">
        <f>YEAR(Weekly_Prices[[#This Row],[Date]])&amp;"-"&amp;TEXT(WEEKNUM(Weekly_Prices[[#This Row],[Date]],2),"00")</f>
        <v>2018-39</v>
      </c>
    </row>
    <row r="801" spans="1:15" x14ac:dyDescent="0.35">
      <c r="A801" s="2">
        <v>43374</v>
      </c>
      <c r="B801" s="3">
        <v>129.97690618999999</v>
      </c>
      <c r="C801" s="4">
        <f t="shared" si="48"/>
        <v>-0.61239980999999943</v>
      </c>
      <c r="D801" s="4">
        <f t="shared" si="46"/>
        <v>11.843762190000007</v>
      </c>
      <c r="E801" s="3">
        <v>57.95</v>
      </c>
      <c r="F801" s="3">
        <v>20</v>
      </c>
      <c r="G801" s="3">
        <v>134.85787044</v>
      </c>
      <c r="H801" s="4">
        <f t="shared" si="49"/>
        <v>8.9077439999982744E-2</v>
      </c>
      <c r="I801" s="4">
        <f t="shared" si="47"/>
        <v>14.485148439999989</v>
      </c>
      <c r="J801" s="3">
        <v>57.95</v>
      </c>
      <c r="K801" s="3">
        <v>20</v>
      </c>
      <c r="L801" s="13">
        <f>YEAR(Weekly_Prices[[#This Row],[Date]])</f>
        <v>2018</v>
      </c>
      <c r="M801" s="13">
        <f>MONTH(Weekly_Prices[[#This Row],[Date]])</f>
        <v>10</v>
      </c>
      <c r="N801" s="3" t="str">
        <f>TEXT(Weekly_Prices[[#This Row],[Date]],"MMMM")</f>
        <v>October</v>
      </c>
      <c r="O801" s="3" t="str">
        <f>YEAR(Weekly_Prices[[#This Row],[Date]])&amp;"-"&amp;TEXT(WEEKNUM(Weekly_Prices[[#This Row],[Date]],2),"00")</f>
        <v>2018-40</v>
      </c>
    </row>
    <row r="802" spans="1:15" x14ac:dyDescent="0.35">
      <c r="A802" s="2">
        <v>43381</v>
      </c>
      <c r="B802" s="3">
        <v>130.14655041499998</v>
      </c>
      <c r="C802" s="4">
        <f t="shared" si="48"/>
        <v>0.16964422499998477</v>
      </c>
      <c r="D802" s="4">
        <f t="shared" si="46"/>
        <v>12.984782414999984</v>
      </c>
      <c r="E802" s="3">
        <v>57.95</v>
      </c>
      <c r="F802" s="3">
        <v>20</v>
      </c>
      <c r="G802" s="3">
        <v>135.532345496</v>
      </c>
      <c r="H802" s="4">
        <f t="shared" si="49"/>
        <v>0.67447505600000568</v>
      </c>
      <c r="I802" s="4">
        <f t="shared" si="47"/>
        <v>15.02206249599999</v>
      </c>
      <c r="J802" s="3">
        <v>57.95</v>
      </c>
      <c r="K802" s="3">
        <v>20</v>
      </c>
      <c r="L802" s="13">
        <f>YEAR(Weekly_Prices[[#This Row],[Date]])</f>
        <v>2018</v>
      </c>
      <c r="M802" s="13">
        <f>MONTH(Weekly_Prices[[#This Row],[Date]])</f>
        <v>10</v>
      </c>
      <c r="N802" s="3" t="str">
        <f>TEXT(Weekly_Prices[[#This Row],[Date]],"MMMM")</f>
        <v>October</v>
      </c>
      <c r="O802" s="3" t="str">
        <f>YEAR(Weekly_Prices[[#This Row],[Date]])&amp;"-"&amp;TEXT(WEEKNUM(Weekly_Prices[[#This Row],[Date]],2),"00")</f>
        <v>2018-41</v>
      </c>
    </row>
    <row r="803" spans="1:15" x14ac:dyDescent="0.35">
      <c r="A803" s="2">
        <v>43388</v>
      </c>
      <c r="B803" s="3">
        <v>130.811042644</v>
      </c>
      <c r="C803" s="4">
        <f t="shared" si="48"/>
        <v>0.66449222900001814</v>
      </c>
      <c r="D803" s="4">
        <f t="shared" si="46"/>
        <v>13.802731523999995</v>
      </c>
      <c r="E803" s="3">
        <v>57.95</v>
      </c>
      <c r="F803" s="3">
        <v>20</v>
      </c>
      <c r="G803" s="3">
        <v>136.627661112</v>
      </c>
      <c r="H803" s="4">
        <f t="shared" si="49"/>
        <v>1.0953156159999935</v>
      </c>
      <c r="I803" s="4">
        <f t="shared" si="47"/>
        <v>16.209910391999998</v>
      </c>
      <c r="J803" s="3">
        <v>57.95</v>
      </c>
      <c r="K803" s="3">
        <v>20</v>
      </c>
      <c r="L803" s="13">
        <f>YEAR(Weekly_Prices[[#This Row],[Date]])</f>
        <v>2018</v>
      </c>
      <c r="M803" s="13">
        <f>MONTH(Weekly_Prices[[#This Row],[Date]])</f>
        <v>10</v>
      </c>
      <c r="N803" s="3" t="str">
        <f>TEXT(Weekly_Prices[[#This Row],[Date]],"MMMM")</f>
        <v>October</v>
      </c>
      <c r="O803" s="3" t="str">
        <f>YEAR(Weekly_Prices[[#This Row],[Date]])&amp;"-"&amp;TEXT(WEEKNUM(Weekly_Prices[[#This Row],[Date]],2),"00")</f>
        <v>2018-42</v>
      </c>
    </row>
    <row r="804" spans="1:15" x14ac:dyDescent="0.35">
      <c r="A804" s="2">
        <v>43395</v>
      </c>
      <c r="B804" s="3">
        <v>130.98051899999999</v>
      </c>
      <c r="C804" s="4">
        <f t="shared" si="48"/>
        <v>0.16947635599998989</v>
      </c>
      <c r="D804" s="4">
        <f t="shared" si="46"/>
        <v>13.936015210999983</v>
      </c>
      <c r="E804" s="3">
        <v>57.95</v>
      </c>
      <c r="F804" s="3">
        <v>20</v>
      </c>
      <c r="G804" s="3">
        <v>136.926725</v>
      </c>
      <c r="H804" s="4">
        <f t="shared" si="49"/>
        <v>0.29906388800000627</v>
      </c>
      <c r="I804" s="4">
        <f t="shared" si="47"/>
        <v>16.274870391999997</v>
      </c>
      <c r="J804" s="3">
        <v>57.95</v>
      </c>
      <c r="K804" s="3">
        <v>20</v>
      </c>
      <c r="L804" s="13">
        <f>YEAR(Weekly_Prices[[#This Row],[Date]])</f>
        <v>2018</v>
      </c>
      <c r="M804" s="13">
        <f>MONTH(Weekly_Prices[[#This Row],[Date]])</f>
        <v>10</v>
      </c>
      <c r="N804" s="3" t="str">
        <f>TEXT(Weekly_Prices[[#This Row],[Date]],"MMMM")</f>
        <v>October</v>
      </c>
      <c r="O804" s="3" t="str">
        <f>YEAR(Weekly_Prices[[#This Row],[Date]])&amp;"-"&amp;TEXT(WEEKNUM(Weekly_Prices[[#This Row],[Date]],2),"00")</f>
        <v>2018-43</v>
      </c>
    </row>
    <row r="805" spans="1:15" x14ac:dyDescent="0.35">
      <c r="A805" s="2">
        <v>43402</v>
      </c>
      <c r="B805" s="3">
        <v>130.64254199999999</v>
      </c>
      <c r="C805" s="4">
        <f t="shared" si="48"/>
        <v>-0.33797699999999509</v>
      </c>
      <c r="D805" s="4">
        <f t="shared" si="46"/>
        <v>13.582864000000001</v>
      </c>
      <c r="E805" s="3">
        <v>57.95</v>
      </c>
      <c r="F805" s="3">
        <v>20</v>
      </c>
      <c r="G805" s="3">
        <v>136.99369200000001</v>
      </c>
      <c r="H805" s="4">
        <f t="shared" si="49"/>
        <v>6.6967000000005328E-2</v>
      </c>
      <c r="I805" s="4">
        <f t="shared" si="47"/>
        <v>16.362587000000005</v>
      </c>
      <c r="J805" s="3">
        <v>57.95</v>
      </c>
      <c r="K805" s="3">
        <v>20</v>
      </c>
      <c r="L805" s="13">
        <f>YEAR(Weekly_Prices[[#This Row],[Date]])</f>
        <v>2018</v>
      </c>
      <c r="M805" s="13">
        <f>MONTH(Weekly_Prices[[#This Row],[Date]])</f>
        <v>10</v>
      </c>
      <c r="N805" s="3" t="str">
        <f>TEXT(Weekly_Prices[[#This Row],[Date]],"MMMM")</f>
        <v>October</v>
      </c>
      <c r="O805" s="3" t="str">
        <f>YEAR(Weekly_Prices[[#This Row],[Date]])&amp;"-"&amp;TEXT(WEEKNUM(Weekly_Prices[[#This Row],[Date]],2),"00")</f>
        <v>2018-44</v>
      </c>
    </row>
    <row r="806" spans="1:15" x14ac:dyDescent="0.35">
      <c r="A806" s="2">
        <v>43409</v>
      </c>
      <c r="B806" s="3">
        <v>130.10606200000001</v>
      </c>
      <c r="C806" s="4">
        <f t="shared" si="48"/>
        <v>-0.53647999999998319</v>
      </c>
      <c r="D806" s="4">
        <f t="shared" si="46"/>
        <v>12.531264000000007</v>
      </c>
      <c r="E806" s="3">
        <v>57.95</v>
      </c>
      <c r="F806" s="3">
        <v>20</v>
      </c>
      <c r="G806" s="3">
        <v>137.029427</v>
      </c>
      <c r="H806" s="4">
        <f t="shared" si="49"/>
        <v>3.5734999999988304E-2</v>
      </c>
      <c r="I806" s="4">
        <f t="shared" si="47"/>
        <v>15.758679000000001</v>
      </c>
      <c r="J806" s="3">
        <v>57.95</v>
      </c>
      <c r="K806" s="3">
        <v>20</v>
      </c>
      <c r="L806" s="13">
        <f>YEAR(Weekly_Prices[[#This Row],[Date]])</f>
        <v>2018</v>
      </c>
      <c r="M806" s="13">
        <f>MONTH(Weekly_Prices[[#This Row],[Date]])</f>
        <v>11</v>
      </c>
      <c r="N806" s="3" t="str">
        <f>TEXT(Weekly_Prices[[#This Row],[Date]],"MMMM")</f>
        <v>November</v>
      </c>
      <c r="O806" s="3" t="str">
        <f>YEAR(Weekly_Prices[[#This Row],[Date]])&amp;"-"&amp;TEXT(WEEKNUM(Weekly_Prices[[#This Row],[Date]],2),"00")</f>
        <v>2018-45</v>
      </c>
    </row>
    <row r="807" spans="1:15" x14ac:dyDescent="0.35">
      <c r="A807" s="2">
        <v>43416</v>
      </c>
      <c r="B807" s="3">
        <v>128.93599600000002</v>
      </c>
      <c r="C807" s="4">
        <f t="shared" si="48"/>
        <v>-1.1700659999999914</v>
      </c>
      <c r="D807" s="4">
        <f t="shared" si="46"/>
        <v>10.025538000000026</v>
      </c>
      <c r="E807" s="3">
        <v>57.95</v>
      </c>
      <c r="F807" s="3">
        <v>20</v>
      </c>
      <c r="G807" s="3">
        <v>137.08407</v>
      </c>
      <c r="H807" s="4">
        <f t="shared" si="49"/>
        <v>5.4642999999998665E-2</v>
      </c>
      <c r="I807" s="4">
        <f t="shared" si="47"/>
        <v>14.391187000000002</v>
      </c>
      <c r="J807" s="3">
        <v>57.95</v>
      </c>
      <c r="K807" s="3">
        <v>20</v>
      </c>
      <c r="L807" s="13">
        <f>YEAR(Weekly_Prices[[#This Row],[Date]])</f>
        <v>2018</v>
      </c>
      <c r="M807" s="13">
        <f>MONTH(Weekly_Prices[[#This Row],[Date]])</f>
        <v>11</v>
      </c>
      <c r="N807" s="3" t="str">
        <f>TEXT(Weekly_Prices[[#This Row],[Date]],"MMMM")</f>
        <v>November</v>
      </c>
      <c r="O807" s="3" t="str">
        <f>YEAR(Weekly_Prices[[#This Row],[Date]])&amp;"-"&amp;TEXT(WEEKNUM(Weekly_Prices[[#This Row],[Date]],2),"00")</f>
        <v>2018-46</v>
      </c>
    </row>
    <row r="808" spans="1:15" x14ac:dyDescent="0.35">
      <c r="A808" s="2">
        <v>43423</v>
      </c>
      <c r="B808" s="3">
        <v>127.39887600000002</v>
      </c>
      <c r="C808" s="4">
        <f t="shared" si="48"/>
        <v>-1.5371200000000016</v>
      </c>
      <c r="D808" s="4">
        <f t="shared" si="46"/>
        <v>7.7276310000000024</v>
      </c>
      <c r="E808" s="3">
        <v>57.95</v>
      </c>
      <c r="F808" s="3">
        <v>20</v>
      </c>
      <c r="G808" s="3">
        <v>136.38403299999999</v>
      </c>
      <c r="H808" s="4">
        <f t="shared" si="49"/>
        <v>-0.7000370000000089</v>
      </c>
      <c r="I808" s="4">
        <f t="shared" si="47"/>
        <v>13.067033999999992</v>
      </c>
      <c r="J808" s="3">
        <v>57.95</v>
      </c>
      <c r="K808" s="3">
        <v>20</v>
      </c>
      <c r="L808" s="13">
        <f>YEAR(Weekly_Prices[[#This Row],[Date]])</f>
        <v>2018</v>
      </c>
      <c r="M808" s="13">
        <f>MONTH(Weekly_Prices[[#This Row],[Date]])</f>
        <v>11</v>
      </c>
      <c r="N808" s="3" t="str">
        <f>TEXT(Weekly_Prices[[#This Row],[Date]],"MMMM")</f>
        <v>November</v>
      </c>
      <c r="O808" s="3" t="str">
        <f>YEAR(Weekly_Prices[[#This Row],[Date]])&amp;"-"&amp;TEXT(WEEKNUM(Weekly_Prices[[#This Row],[Date]],2),"00")</f>
        <v>2018-47</v>
      </c>
    </row>
    <row r="809" spans="1:15" x14ac:dyDescent="0.35">
      <c r="A809" s="2">
        <v>43430</v>
      </c>
      <c r="B809" s="3">
        <v>125.770549</v>
      </c>
      <c r="C809" s="4">
        <f t="shared" si="48"/>
        <v>-1.628327000000013</v>
      </c>
      <c r="D809" s="4">
        <f t="shared" si="46"/>
        <v>5.6425230000000113</v>
      </c>
      <c r="E809" s="3">
        <v>57.95</v>
      </c>
      <c r="F809" s="3">
        <v>20</v>
      </c>
      <c r="G809" s="3">
        <v>135.427627</v>
      </c>
      <c r="H809" s="4">
        <f t="shared" si="49"/>
        <v>-0.95640599999998699</v>
      </c>
      <c r="I809" s="4">
        <f t="shared" si="47"/>
        <v>11.635437999999994</v>
      </c>
      <c r="J809" s="3">
        <v>57.95</v>
      </c>
      <c r="K809" s="3">
        <v>20</v>
      </c>
      <c r="L809" s="13">
        <f>YEAR(Weekly_Prices[[#This Row],[Date]])</f>
        <v>2018</v>
      </c>
      <c r="M809" s="13">
        <f>MONTH(Weekly_Prices[[#This Row],[Date]])</f>
        <v>11</v>
      </c>
      <c r="N809" s="3" t="str">
        <f>TEXT(Weekly_Prices[[#This Row],[Date]],"MMMM")</f>
        <v>November</v>
      </c>
      <c r="O809" s="3" t="str">
        <f>YEAR(Weekly_Prices[[#This Row],[Date]])&amp;"-"&amp;TEXT(WEEKNUM(Weekly_Prices[[#This Row],[Date]],2),"00")</f>
        <v>2018-48</v>
      </c>
    </row>
    <row r="810" spans="1:15" x14ac:dyDescent="0.35">
      <c r="A810" s="2">
        <v>43437</v>
      </c>
      <c r="B810" s="3">
        <v>124.30094299999999</v>
      </c>
      <c r="C810" s="4">
        <f t="shared" si="48"/>
        <v>-1.4696060000000131</v>
      </c>
      <c r="D810" s="4">
        <f t="shared" si="46"/>
        <v>4.546016999999992</v>
      </c>
      <c r="E810" s="3">
        <v>57.95</v>
      </c>
      <c r="F810" s="3">
        <v>20</v>
      </c>
      <c r="G810" s="3">
        <v>134.3822212</v>
      </c>
      <c r="H810" s="4">
        <f t="shared" si="49"/>
        <v>-1.0454057999999975</v>
      </c>
      <c r="I810" s="4">
        <f t="shared" si="47"/>
        <v>11.174512199999981</v>
      </c>
      <c r="J810" s="3">
        <v>57.95</v>
      </c>
      <c r="K810" s="3">
        <v>20</v>
      </c>
      <c r="L810" s="13">
        <f>YEAR(Weekly_Prices[[#This Row],[Date]])</f>
        <v>2018</v>
      </c>
      <c r="M810" s="13">
        <f>MONTH(Weekly_Prices[[#This Row],[Date]])</f>
        <v>12</v>
      </c>
      <c r="N810" s="3" t="str">
        <f>TEXT(Weekly_Prices[[#This Row],[Date]],"MMMM")</f>
        <v>December</v>
      </c>
      <c r="O810" s="3" t="str">
        <f>YEAR(Weekly_Prices[[#This Row],[Date]])&amp;"-"&amp;TEXT(WEEKNUM(Weekly_Prices[[#This Row],[Date]],2),"00")</f>
        <v>2018-49</v>
      </c>
    </row>
    <row r="811" spans="1:15" x14ac:dyDescent="0.35">
      <c r="A811" s="2">
        <v>43444</v>
      </c>
      <c r="B811" s="3">
        <v>122.36820900000001</v>
      </c>
      <c r="C811" s="4">
        <f t="shared" si="48"/>
        <v>-1.9327339999999822</v>
      </c>
      <c r="D811" s="4">
        <f t="shared" si="46"/>
        <v>2.4622180000000071</v>
      </c>
      <c r="E811" s="3">
        <v>57.95</v>
      </c>
      <c r="F811" s="3">
        <v>20</v>
      </c>
      <c r="G811" s="3">
        <v>132.50459000000001</v>
      </c>
      <c r="H811" s="4">
        <f t="shared" si="49"/>
        <v>-1.8776311999999962</v>
      </c>
      <c r="I811" s="4">
        <f t="shared" si="47"/>
        <v>8.811113000000006</v>
      </c>
      <c r="J811" s="3">
        <v>57.95</v>
      </c>
      <c r="K811" s="3">
        <v>20</v>
      </c>
      <c r="L811" s="13">
        <f>YEAR(Weekly_Prices[[#This Row],[Date]])</f>
        <v>2018</v>
      </c>
      <c r="M811" s="13">
        <f>MONTH(Weekly_Prices[[#This Row],[Date]])</f>
        <v>12</v>
      </c>
      <c r="N811" s="3" t="str">
        <f>TEXT(Weekly_Prices[[#This Row],[Date]],"MMMM")</f>
        <v>December</v>
      </c>
      <c r="O811" s="3" t="str">
        <f>YEAR(Weekly_Prices[[#This Row],[Date]])&amp;"-"&amp;TEXT(WEEKNUM(Weekly_Prices[[#This Row],[Date]],2),"00")</f>
        <v>2018-50</v>
      </c>
    </row>
    <row r="812" spans="1:15" x14ac:dyDescent="0.35">
      <c r="A812" s="2">
        <v>43451</v>
      </c>
      <c r="B812" s="3">
        <v>121.02439699999999</v>
      </c>
      <c r="C812" s="4">
        <f t="shared" si="48"/>
        <v>-1.343812000000014</v>
      </c>
      <c r="D812" s="4">
        <f t="shared" si="46"/>
        <v>1.046418999999986</v>
      </c>
      <c r="E812" s="3">
        <v>57.95</v>
      </c>
      <c r="F812" s="3">
        <v>20</v>
      </c>
      <c r="G812" s="3">
        <v>131.259118</v>
      </c>
      <c r="H812" s="4">
        <f t="shared" si="49"/>
        <v>-1.2454720000000066</v>
      </c>
      <c r="I812" s="4">
        <f t="shared" si="47"/>
        <v>7.4483270000000061</v>
      </c>
      <c r="J812" s="3">
        <v>57.95</v>
      </c>
      <c r="K812" s="3">
        <v>20</v>
      </c>
      <c r="L812" s="13">
        <f>YEAR(Weekly_Prices[[#This Row],[Date]])</f>
        <v>2018</v>
      </c>
      <c r="M812" s="13">
        <f>MONTH(Weekly_Prices[[#This Row],[Date]])</f>
        <v>12</v>
      </c>
      <c r="N812" s="3" t="str">
        <f>TEXT(Weekly_Prices[[#This Row],[Date]],"MMMM")</f>
        <v>December</v>
      </c>
      <c r="O812" s="3" t="str">
        <f>YEAR(Weekly_Prices[[#This Row],[Date]])&amp;"-"&amp;TEXT(WEEKNUM(Weekly_Prices[[#This Row],[Date]],2),"00")</f>
        <v>2018-51</v>
      </c>
    </row>
    <row r="813" spans="1:15" x14ac:dyDescent="0.35">
      <c r="A813" s="2">
        <v>43458</v>
      </c>
      <c r="B813" s="3">
        <v>120.61384200000001</v>
      </c>
      <c r="C813" s="4">
        <f t="shared" si="48"/>
        <v>-0.41055499999998801</v>
      </c>
      <c r="D813" s="4">
        <f t="shared" si="46"/>
        <v>0.60983699999999885</v>
      </c>
      <c r="E813" s="3">
        <v>57.95</v>
      </c>
      <c r="F813" s="3">
        <v>20</v>
      </c>
      <c r="G813" s="3">
        <v>130.90695299999999</v>
      </c>
      <c r="H813" s="4">
        <f t="shared" si="49"/>
        <v>-0.35216500000001361</v>
      </c>
      <c r="I813" s="4">
        <f t="shared" si="47"/>
        <v>7.47757399999999</v>
      </c>
      <c r="J813" s="3">
        <v>57.95</v>
      </c>
      <c r="K813" s="3">
        <v>20</v>
      </c>
      <c r="L813" s="13">
        <f>YEAR(Weekly_Prices[[#This Row],[Date]])</f>
        <v>2018</v>
      </c>
      <c r="M813" s="13">
        <f>MONTH(Weekly_Prices[[#This Row],[Date]])</f>
        <v>12</v>
      </c>
      <c r="N813" s="3" t="str">
        <f>TEXT(Weekly_Prices[[#This Row],[Date]],"MMMM")</f>
        <v>December</v>
      </c>
      <c r="O813" s="3" t="str">
        <f>YEAR(Weekly_Prices[[#This Row],[Date]])&amp;"-"&amp;TEXT(WEEKNUM(Weekly_Prices[[#This Row],[Date]],2),"00")</f>
        <v>2018-52</v>
      </c>
    </row>
    <row r="814" spans="1:15" x14ac:dyDescent="0.35">
      <c r="A814" s="2">
        <v>43465</v>
      </c>
      <c r="B814" s="3">
        <v>120.179132</v>
      </c>
      <c r="C814" s="4">
        <f t="shared" si="48"/>
        <v>-0.4347100000000097</v>
      </c>
      <c r="D814" s="4">
        <f t="shared" si="46"/>
        <v>-6.3140000000032614E-3</v>
      </c>
      <c r="E814" s="3">
        <v>57.95</v>
      </c>
      <c r="F814" s="3">
        <v>20</v>
      </c>
      <c r="G814" s="3">
        <v>130.258599</v>
      </c>
      <c r="H814" s="4">
        <f t="shared" si="49"/>
        <v>-0.64835399999998344</v>
      </c>
      <c r="I814" s="4">
        <f t="shared" si="47"/>
        <v>6.7469780000000128</v>
      </c>
      <c r="J814" s="3">
        <v>57.95</v>
      </c>
      <c r="K814" s="3">
        <v>20</v>
      </c>
      <c r="L814" s="13">
        <f>YEAR(Weekly_Prices[[#This Row],[Date]])</f>
        <v>2018</v>
      </c>
      <c r="M814" s="13">
        <f>MONTH(Weekly_Prices[[#This Row],[Date]])</f>
        <v>12</v>
      </c>
      <c r="N814" s="3" t="str">
        <f>TEXT(Weekly_Prices[[#This Row],[Date]],"MMMM")</f>
        <v>December</v>
      </c>
      <c r="O814" s="3" t="str">
        <f>YEAR(Weekly_Prices[[#This Row],[Date]])&amp;"-"&amp;TEXT(WEEKNUM(Weekly_Prices[[#This Row],[Date]],2),"00")</f>
        <v>2018-53</v>
      </c>
    </row>
    <row r="815" spans="1:15" x14ac:dyDescent="0.35">
      <c r="A815" s="2">
        <v>43472</v>
      </c>
      <c r="B815" s="3">
        <v>120.27482300000001</v>
      </c>
      <c r="C815" s="4">
        <f t="shared" si="48"/>
        <v>9.5691000000016402E-2</v>
      </c>
      <c r="D815" s="4">
        <f t="shared" si="46"/>
        <v>-0.2472489999999965</v>
      </c>
      <c r="E815" s="3">
        <v>57.95</v>
      </c>
      <c r="F815" s="3">
        <v>20</v>
      </c>
      <c r="G815" s="3">
        <v>130.32910800000002</v>
      </c>
      <c r="H815" s="4">
        <f t="shared" si="49"/>
        <v>7.0509000000015476E-2</v>
      </c>
      <c r="I815" s="4">
        <f t="shared" si="47"/>
        <v>6.3581240000000037</v>
      </c>
      <c r="J815" s="3">
        <v>57.95</v>
      </c>
      <c r="K815" s="3">
        <v>20</v>
      </c>
      <c r="L815" s="13">
        <f>YEAR(Weekly_Prices[[#This Row],[Date]])</f>
        <v>2019</v>
      </c>
      <c r="M815" s="13">
        <f>MONTH(Weekly_Prices[[#This Row],[Date]])</f>
        <v>1</v>
      </c>
      <c r="N815" s="3" t="str">
        <f>TEXT(Weekly_Prices[[#This Row],[Date]],"MMMM")</f>
        <v>January</v>
      </c>
      <c r="O815" s="3" t="str">
        <f>YEAR(Weekly_Prices[[#This Row],[Date]])&amp;"-"&amp;TEXT(WEEKNUM(Weekly_Prices[[#This Row],[Date]],2),"00")</f>
        <v>2019-02</v>
      </c>
    </row>
    <row r="816" spans="1:15" x14ac:dyDescent="0.35">
      <c r="A816" s="2">
        <v>43479</v>
      </c>
      <c r="B816" s="3">
        <v>119.526061</v>
      </c>
      <c r="C816" s="4">
        <f t="shared" si="48"/>
        <v>-0.74876200000001347</v>
      </c>
      <c r="D816" s="4">
        <f t="shared" si="46"/>
        <v>-1.4362830000000173</v>
      </c>
      <c r="E816" s="3">
        <v>57.95</v>
      </c>
      <c r="F816" s="3">
        <v>20</v>
      </c>
      <c r="G816" s="3">
        <v>129.46869099999998</v>
      </c>
      <c r="H816" s="4">
        <f t="shared" si="49"/>
        <v>-0.86041700000004084</v>
      </c>
      <c r="I816" s="4">
        <f t="shared" si="47"/>
        <v>4.8896709999999928</v>
      </c>
      <c r="J816" s="3">
        <v>57.95</v>
      </c>
      <c r="K816" s="3">
        <v>20</v>
      </c>
      <c r="L816" s="13">
        <f>YEAR(Weekly_Prices[[#This Row],[Date]])</f>
        <v>2019</v>
      </c>
      <c r="M816" s="13">
        <f>MONTH(Weekly_Prices[[#This Row],[Date]])</f>
        <v>1</v>
      </c>
      <c r="N816" s="3" t="str">
        <f>TEXT(Weekly_Prices[[#This Row],[Date]],"MMMM")</f>
        <v>January</v>
      </c>
      <c r="O816" s="3" t="str">
        <f>YEAR(Weekly_Prices[[#This Row],[Date]])&amp;"-"&amp;TEXT(WEEKNUM(Weekly_Prices[[#This Row],[Date]],2),"00")</f>
        <v>2019-03</v>
      </c>
    </row>
    <row r="817" spans="1:15" x14ac:dyDescent="0.35">
      <c r="A817" s="2">
        <v>43486</v>
      </c>
      <c r="B817" s="3">
        <v>119.12088641500002</v>
      </c>
      <c r="C817" s="4">
        <f t="shared" si="48"/>
        <v>-0.40517458499998327</v>
      </c>
      <c r="D817" s="4">
        <f t="shared" si="46"/>
        <v>-2.3773715850000059</v>
      </c>
      <c r="E817" s="3">
        <v>57.95</v>
      </c>
      <c r="F817" s="3">
        <v>20</v>
      </c>
      <c r="G817" s="3">
        <v>128.92254433600002</v>
      </c>
      <c r="H817" s="4">
        <f t="shared" si="49"/>
        <v>-0.54614666399996281</v>
      </c>
      <c r="I817" s="4">
        <f t="shared" si="47"/>
        <v>3.855475336000012</v>
      </c>
      <c r="J817" s="3">
        <v>57.95</v>
      </c>
      <c r="K817" s="3">
        <v>20</v>
      </c>
      <c r="L817" s="13">
        <f>YEAR(Weekly_Prices[[#This Row],[Date]])</f>
        <v>2019</v>
      </c>
      <c r="M817" s="13">
        <f>MONTH(Weekly_Prices[[#This Row],[Date]])</f>
        <v>1</v>
      </c>
      <c r="N817" s="3" t="str">
        <f>TEXT(Weekly_Prices[[#This Row],[Date]],"MMMM")</f>
        <v>January</v>
      </c>
      <c r="O817" s="3" t="str">
        <f>YEAR(Weekly_Prices[[#This Row],[Date]])&amp;"-"&amp;TEXT(WEEKNUM(Weekly_Prices[[#This Row],[Date]],2),"00")</f>
        <v>2019-04</v>
      </c>
    </row>
    <row r="818" spans="1:15" x14ac:dyDescent="0.35">
      <c r="A818" s="2">
        <v>43493</v>
      </c>
      <c r="B818" s="3">
        <v>119.28875509800001</v>
      </c>
      <c r="C818" s="4">
        <f t="shared" si="48"/>
        <v>0.16786868299999469</v>
      </c>
      <c r="D818" s="4">
        <f t="shared" si="46"/>
        <v>-2.4059579019999973</v>
      </c>
      <c r="E818" s="3">
        <v>57.95</v>
      </c>
      <c r="F818" s="3">
        <v>20</v>
      </c>
      <c r="G818" s="3">
        <v>129.09685058399998</v>
      </c>
      <c r="H818" s="4">
        <f t="shared" si="49"/>
        <v>0.17430624799996508</v>
      </c>
      <c r="I818" s="4">
        <f t="shared" si="47"/>
        <v>3.7760365839999821</v>
      </c>
      <c r="J818" s="3">
        <v>57.95</v>
      </c>
      <c r="K818" s="3">
        <v>20</v>
      </c>
      <c r="L818" s="13">
        <f>YEAR(Weekly_Prices[[#This Row],[Date]])</f>
        <v>2019</v>
      </c>
      <c r="M818" s="13">
        <f>MONTH(Weekly_Prices[[#This Row],[Date]])</f>
        <v>1</v>
      </c>
      <c r="N818" s="3" t="str">
        <f>TEXT(Weekly_Prices[[#This Row],[Date]],"MMMM")</f>
        <v>January</v>
      </c>
      <c r="O818" s="3" t="str">
        <f>YEAR(Weekly_Prices[[#This Row],[Date]])&amp;"-"&amp;TEXT(WEEKNUM(Weekly_Prices[[#This Row],[Date]],2),"00")</f>
        <v>2019-05</v>
      </c>
    </row>
    <row r="819" spans="1:15" x14ac:dyDescent="0.35">
      <c r="A819" s="2">
        <v>43500</v>
      </c>
      <c r="B819" s="3">
        <v>119.12663400000001</v>
      </c>
      <c r="C819" s="4">
        <f t="shared" si="48"/>
        <v>-0.16212109800000007</v>
      </c>
      <c r="D819" s="4">
        <f t="shared" si="46"/>
        <v>-2.6005829999999861</v>
      </c>
      <c r="E819" s="3">
        <v>57.95</v>
      </c>
      <c r="F819" s="3">
        <v>20</v>
      </c>
      <c r="G819" s="3">
        <v>129.13307699999999</v>
      </c>
      <c r="H819" s="4">
        <f t="shared" si="49"/>
        <v>3.6226416000005202E-2</v>
      </c>
      <c r="I819" s="4">
        <f t="shared" si="47"/>
        <v>3.7685799999999858</v>
      </c>
      <c r="J819" s="3">
        <v>57.95</v>
      </c>
      <c r="K819" s="3">
        <v>20</v>
      </c>
      <c r="L819" s="13">
        <f>YEAR(Weekly_Prices[[#This Row],[Date]])</f>
        <v>2019</v>
      </c>
      <c r="M819" s="13">
        <f>MONTH(Weekly_Prices[[#This Row],[Date]])</f>
        <v>2</v>
      </c>
      <c r="N819" s="3" t="str">
        <f>TEXT(Weekly_Prices[[#This Row],[Date]],"MMMM")</f>
        <v>February</v>
      </c>
      <c r="O819" s="3" t="str">
        <f>YEAR(Weekly_Prices[[#This Row],[Date]])&amp;"-"&amp;TEXT(WEEKNUM(Weekly_Prices[[#This Row],[Date]],2),"00")</f>
        <v>2019-06</v>
      </c>
    </row>
    <row r="820" spans="1:15" x14ac:dyDescent="0.35">
      <c r="A820" s="2">
        <v>43507</v>
      </c>
      <c r="B820" s="3">
        <v>118.96756499999999</v>
      </c>
      <c r="C820" s="4">
        <f t="shared" si="48"/>
        <v>-0.15906900000001656</v>
      </c>
      <c r="D820" s="4">
        <f t="shared" si="46"/>
        <v>-2.6168470000000212</v>
      </c>
      <c r="E820" s="3">
        <v>57.95</v>
      </c>
      <c r="F820" s="3">
        <v>20</v>
      </c>
      <c r="G820" s="3">
        <v>129.17187099999998</v>
      </c>
      <c r="H820" s="4">
        <f t="shared" si="49"/>
        <v>3.8793999999995776E-2</v>
      </c>
      <c r="I820" s="4">
        <f t="shared" si="47"/>
        <v>4.1527729999999679</v>
      </c>
      <c r="J820" s="3">
        <v>57.95</v>
      </c>
      <c r="K820" s="3">
        <v>20</v>
      </c>
      <c r="L820" s="13">
        <f>YEAR(Weekly_Prices[[#This Row],[Date]])</f>
        <v>2019</v>
      </c>
      <c r="M820" s="13">
        <f>MONTH(Weekly_Prices[[#This Row],[Date]])</f>
        <v>2</v>
      </c>
      <c r="N820" s="3" t="str">
        <f>TEXT(Weekly_Prices[[#This Row],[Date]],"MMMM")</f>
        <v>February</v>
      </c>
      <c r="O820" s="3" t="str">
        <f>YEAR(Weekly_Prices[[#This Row],[Date]])&amp;"-"&amp;TEXT(WEEKNUM(Weekly_Prices[[#This Row],[Date]],2),"00")</f>
        <v>2019-07</v>
      </c>
    </row>
    <row r="821" spans="1:15" x14ac:dyDescent="0.35">
      <c r="A821" s="2">
        <v>43514</v>
      </c>
      <c r="B821" s="3">
        <v>119.04932299999999</v>
      </c>
      <c r="C821" s="4">
        <f t="shared" si="48"/>
        <v>8.1757999999993558E-2</v>
      </c>
      <c r="D821" s="4">
        <f t="shared" si="46"/>
        <v>-1.4675980000000095</v>
      </c>
      <c r="E821" s="3">
        <v>57.95</v>
      </c>
      <c r="F821" s="3">
        <v>20</v>
      </c>
      <c r="G821" s="3">
        <v>129.232439</v>
      </c>
      <c r="H821" s="4">
        <f t="shared" si="49"/>
        <v>6.0568000000017719E-2</v>
      </c>
      <c r="I821" s="4">
        <f t="shared" si="47"/>
        <v>5.0504849999999948</v>
      </c>
      <c r="J821" s="3">
        <v>57.95</v>
      </c>
      <c r="K821" s="3">
        <v>20</v>
      </c>
      <c r="L821" s="13">
        <f>YEAR(Weekly_Prices[[#This Row],[Date]])</f>
        <v>2019</v>
      </c>
      <c r="M821" s="13">
        <f>MONTH(Weekly_Prices[[#This Row],[Date]])</f>
        <v>2</v>
      </c>
      <c r="N821" s="3" t="str">
        <f>TEXT(Weekly_Prices[[#This Row],[Date]],"MMMM")</f>
        <v>February</v>
      </c>
      <c r="O821" s="3" t="str">
        <f>YEAR(Weekly_Prices[[#This Row],[Date]])&amp;"-"&amp;TEXT(WEEKNUM(Weekly_Prices[[#This Row],[Date]],2),"00")</f>
        <v>2019-08</v>
      </c>
    </row>
    <row r="822" spans="1:15" x14ac:dyDescent="0.35">
      <c r="A822" s="2">
        <v>43521</v>
      </c>
      <c r="B822" s="3">
        <v>119.22175799999999</v>
      </c>
      <c r="C822" s="4">
        <f t="shared" si="48"/>
        <v>0.17243500000000722</v>
      </c>
      <c r="D822" s="4">
        <f t="shared" si="46"/>
        <v>-0.32908100000001639</v>
      </c>
      <c r="E822" s="3">
        <v>57.95</v>
      </c>
      <c r="F822" s="3">
        <v>20</v>
      </c>
      <c r="G822" s="3">
        <v>129.66267300000001</v>
      </c>
      <c r="H822" s="4">
        <f t="shared" si="49"/>
        <v>0.43023400000001288</v>
      </c>
      <c r="I822" s="4">
        <f t="shared" si="47"/>
        <v>6.5744220000000126</v>
      </c>
      <c r="J822" s="3">
        <v>57.95</v>
      </c>
      <c r="K822" s="3">
        <v>20</v>
      </c>
      <c r="L822" s="13">
        <f>YEAR(Weekly_Prices[[#This Row],[Date]])</f>
        <v>2019</v>
      </c>
      <c r="M822" s="13">
        <f>MONTH(Weekly_Prices[[#This Row],[Date]])</f>
        <v>2</v>
      </c>
      <c r="N822" s="3" t="str">
        <f>TEXT(Weekly_Prices[[#This Row],[Date]],"MMMM")</f>
        <v>February</v>
      </c>
      <c r="O822" s="3" t="str">
        <f>YEAR(Weekly_Prices[[#This Row],[Date]])&amp;"-"&amp;TEXT(WEEKNUM(Weekly_Prices[[#This Row],[Date]],2),"00")</f>
        <v>2019-09</v>
      </c>
    </row>
    <row r="823" spans="1:15" x14ac:dyDescent="0.35">
      <c r="A823" s="2">
        <v>43528</v>
      </c>
      <c r="B823" s="3">
        <v>119.720921</v>
      </c>
      <c r="C823" s="4">
        <f t="shared" si="48"/>
        <v>0.49916300000001002</v>
      </c>
      <c r="D823" s="4">
        <f t="shared" ref="D823:D886" si="50">B823-B771</f>
        <v>0.43558699999999817</v>
      </c>
      <c r="E823" s="3">
        <v>57.95</v>
      </c>
      <c r="F823" s="3">
        <v>20</v>
      </c>
      <c r="G823" s="3">
        <v>130.250911</v>
      </c>
      <c r="H823" s="4">
        <f t="shared" si="49"/>
        <v>0.58823799999998982</v>
      </c>
      <c r="I823" s="4">
        <f t="shared" ref="I823:I886" si="51">G823-G771</f>
        <v>7.3323710000000091</v>
      </c>
      <c r="J823" s="3">
        <v>57.95</v>
      </c>
      <c r="K823" s="3">
        <v>20</v>
      </c>
      <c r="L823" s="13">
        <f>YEAR(Weekly_Prices[[#This Row],[Date]])</f>
        <v>2019</v>
      </c>
      <c r="M823" s="13">
        <f>MONTH(Weekly_Prices[[#This Row],[Date]])</f>
        <v>3</v>
      </c>
      <c r="N823" s="3" t="str">
        <f>TEXT(Weekly_Prices[[#This Row],[Date]],"MMMM")</f>
        <v>March</v>
      </c>
      <c r="O823" s="3" t="str">
        <f>YEAR(Weekly_Prices[[#This Row],[Date]])&amp;"-"&amp;TEXT(WEEKNUM(Weekly_Prices[[#This Row],[Date]],2),"00")</f>
        <v>2019-10</v>
      </c>
    </row>
    <row r="824" spans="1:15" x14ac:dyDescent="0.35">
      <c r="A824" s="2">
        <v>43535</v>
      </c>
      <c r="B824" s="3">
        <v>120.104434783</v>
      </c>
      <c r="C824" s="4">
        <f t="shared" si="48"/>
        <v>0.38351378299999794</v>
      </c>
      <c r="D824" s="4">
        <f t="shared" si="50"/>
        <v>0.99312478300001317</v>
      </c>
      <c r="E824" s="3">
        <v>57.95</v>
      </c>
      <c r="F824" s="3">
        <v>20</v>
      </c>
      <c r="G824" s="3">
        <v>130.59186642399999</v>
      </c>
      <c r="H824" s="4">
        <f t="shared" si="49"/>
        <v>0.34095542399998635</v>
      </c>
      <c r="I824" s="4">
        <f t="shared" si="51"/>
        <v>7.636091424</v>
      </c>
      <c r="J824" s="3">
        <v>57.95</v>
      </c>
      <c r="K824" s="3">
        <v>20</v>
      </c>
      <c r="L824" s="13">
        <f>YEAR(Weekly_Prices[[#This Row],[Date]])</f>
        <v>2019</v>
      </c>
      <c r="M824" s="13">
        <f>MONTH(Weekly_Prices[[#This Row],[Date]])</f>
        <v>3</v>
      </c>
      <c r="N824" s="3" t="str">
        <f>TEXT(Weekly_Prices[[#This Row],[Date]],"MMMM")</f>
        <v>March</v>
      </c>
      <c r="O824" s="3" t="str">
        <f>YEAR(Weekly_Prices[[#This Row],[Date]])&amp;"-"&amp;TEXT(WEEKNUM(Weekly_Prices[[#This Row],[Date]],2),"00")</f>
        <v>2019-11</v>
      </c>
    </row>
    <row r="825" spans="1:15" x14ac:dyDescent="0.35">
      <c r="A825" s="2">
        <v>43542</v>
      </c>
      <c r="B825" s="3">
        <v>120.47507599999999</v>
      </c>
      <c r="C825" s="4">
        <f t="shared" si="48"/>
        <v>0.37064121699998509</v>
      </c>
      <c r="D825" s="4">
        <f t="shared" si="50"/>
        <v>1.3091289999999844</v>
      </c>
      <c r="E825" s="3">
        <v>57.95</v>
      </c>
      <c r="F825" s="3">
        <v>20</v>
      </c>
      <c r="G825" s="3">
        <v>130.85225</v>
      </c>
      <c r="H825" s="4">
        <f t="shared" si="49"/>
        <v>0.2603835760000095</v>
      </c>
      <c r="I825" s="4">
        <f t="shared" si="51"/>
        <v>8.0164519999999868</v>
      </c>
      <c r="J825" s="3">
        <v>57.95</v>
      </c>
      <c r="K825" s="3">
        <v>20</v>
      </c>
      <c r="L825" s="13">
        <f>YEAR(Weekly_Prices[[#This Row],[Date]])</f>
        <v>2019</v>
      </c>
      <c r="M825" s="13">
        <f>MONTH(Weekly_Prices[[#This Row],[Date]])</f>
        <v>3</v>
      </c>
      <c r="N825" s="3" t="str">
        <f>TEXT(Weekly_Prices[[#This Row],[Date]],"MMMM")</f>
        <v>March</v>
      </c>
      <c r="O825" s="3" t="str">
        <f>YEAR(Weekly_Prices[[#This Row],[Date]])&amp;"-"&amp;TEXT(WEEKNUM(Weekly_Prices[[#This Row],[Date]],2),"00")</f>
        <v>2019-12</v>
      </c>
    </row>
    <row r="826" spans="1:15" x14ac:dyDescent="0.35">
      <c r="A826" s="2">
        <v>43549</v>
      </c>
      <c r="B826" s="3">
        <v>120.83399000000001</v>
      </c>
      <c r="C826" s="4">
        <f t="shared" si="48"/>
        <v>0.35891400000002704</v>
      </c>
      <c r="D826" s="4">
        <f t="shared" si="50"/>
        <v>1.6085120000000046</v>
      </c>
      <c r="E826" s="3">
        <v>57.95</v>
      </c>
      <c r="F826" s="3">
        <v>20</v>
      </c>
      <c r="G826" s="3">
        <v>131.15213199999999</v>
      </c>
      <c r="H826" s="4">
        <f t="shared" si="49"/>
        <v>0.29988199999999665</v>
      </c>
      <c r="I826" s="4">
        <f t="shared" si="51"/>
        <v>8.254400000000004</v>
      </c>
      <c r="J826" s="3">
        <v>57.95</v>
      </c>
      <c r="K826" s="3">
        <v>20</v>
      </c>
      <c r="L826" s="13">
        <f>YEAR(Weekly_Prices[[#This Row],[Date]])</f>
        <v>2019</v>
      </c>
      <c r="M826" s="13">
        <f>MONTH(Weekly_Prices[[#This Row],[Date]])</f>
        <v>3</v>
      </c>
      <c r="N826" s="3" t="str">
        <f>TEXT(Weekly_Prices[[#This Row],[Date]],"MMMM")</f>
        <v>March</v>
      </c>
      <c r="O826" s="3" t="str">
        <f>YEAR(Weekly_Prices[[#This Row],[Date]])&amp;"-"&amp;TEXT(WEEKNUM(Weekly_Prices[[#This Row],[Date]],2),"00")</f>
        <v>2019-13</v>
      </c>
    </row>
    <row r="827" spans="1:15" x14ac:dyDescent="0.35">
      <c r="A827" s="2">
        <v>43556</v>
      </c>
      <c r="B827" s="3">
        <v>121.70400244599999</v>
      </c>
      <c r="C827" s="4">
        <f t="shared" si="48"/>
        <v>0.87001244599997563</v>
      </c>
      <c r="D827" s="4">
        <f t="shared" si="50"/>
        <v>2.2760194459999781</v>
      </c>
      <c r="E827" s="3">
        <v>57.95</v>
      </c>
      <c r="F827" s="3">
        <v>20</v>
      </c>
      <c r="G827" s="3">
        <v>131.48396620800003</v>
      </c>
      <c r="H827" s="4">
        <f t="shared" si="49"/>
        <v>0.33183420800003205</v>
      </c>
      <c r="I827" s="4">
        <f t="shared" si="51"/>
        <v>8.4308572080000204</v>
      </c>
      <c r="J827" s="3">
        <v>57.95</v>
      </c>
      <c r="K827" s="3">
        <v>20</v>
      </c>
      <c r="L827" s="13">
        <f>YEAR(Weekly_Prices[[#This Row],[Date]])</f>
        <v>2019</v>
      </c>
      <c r="M827" s="13">
        <f>MONTH(Weekly_Prices[[#This Row],[Date]])</f>
        <v>4</v>
      </c>
      <c r="N827" s="3" t="str">
        <f>TEXT(Weekly_Prices[[#This Row],[Date]],"MMMM")</f>
        <v>April</v>
      </c>
      <c r="O827" s="3" t="str">
        <f>YEAR(Weekly_Prices[[#This Row],[Date]])&amp;"-"&amp;TEXT(WEEKNUM(Weekly_Prices[[#This Row],[Date]],2),"00")</f>
        <v>2019-14</v>
      </c>
    </row>
    <row r="828" spans="1:15" x14ac:dyDescent="0.35">
      <c r="A828" s="2">
        <v>43563</v>
      </c>
      <c r="B828" s="3">
        <v>122.664817</v>
      </c>
      <c r="C828" s="4">
        <f t="shared" si="48"/>
        <v>0.96081455400000948</v>
      </c>
      <c r="D828" s="4">
        <f t="shared" si="50"/>
        <v>2.7028910000000081</v>
      </c>
      <c r="E828" s="3">
        <v>57.95</v>
      </c>
      <c r="F828" s="3">
        <v>20</v>
      </c>
      <c r="G828" s="3">
        <v>132.08424600000001</v>
      </c>
      <c r="H828" s="4">
        <f t="shared" si="49"/>
        <v>0.60027979199998072</v>
      </c>
      <c r="I828" s="4">
        <f t="shared" si="51"/>
        <v>8.502718999999999</v>
      </c>
      <c r="J828" s="3">
        <v>57.95</v>
      </c>
      <c r="K828" s="3">
        <v>20</v>
      </c>
      <c r="L828" s="13">
        <f>YEAR(Weekly_Prices[[#This Row],[Date]])</f>
        <v>2019</v>
      </c>
      <c r="M828" s="13">
        <f>MONTH(Weekly_Prices[[#This Row],[Date]])</f>
        <v>4</v>
      </c>
      <c r="N828" s="3" t="str">
        <f>TEXT(Weekly_Prices[[#This Row],[Date]],"MMMM")</f>
        <v>April</v>
      </c>
      <c r="O828" s="3" t="str">
        <f>YEAR(Weekly_Prices[[#This Row],[Date]])&amp;"-"&amp;TEXT(WEEKNUM(Weekly_Prices[[#This Row],[Date]],2),"00")</f>
        <v>2019-15</v>
      </c>
    </row>
    <row r="829" spans="1:15" x14ac:dyDescent="0.35">
      <c r="A829" s="2">
        <v>43570</v>
      </c>
      <c r="B829" s="3">
        <v>124.05550700000001</v>
      </c>
      <c r="C829" s="4">
        <f t="shared" si="48"/>
        <v>1.3906900000000064</v>
      </c>
      <c r="D829" s="4">
        <f t="shared" si="50"/>
        <v>3.4920614899999975</v>
      </c>
      <c r="E829" s="3">
        <v>57.95</v>
      </c>
      <c r="F829" s="3">
        <v>20</v>
      </c>
      <c r="G829" s="3">
        <v>132.96357799999998</v>
      </c>
      <c r="H829" s="4">
        <f t="shared" si="49"/>
        <v>0.87933199999997669</v>
      </c>
      <c r="I829" s="4">
        <f t="shared" si="51"/>
        <v>8.6739128879999754</v>
      </c>
      <c r="J829" s="3">
        <v>57.95</v>
      </c>
      <c r="K829" s="3">
        <v>20</v>
      </c>
      <c r="L829" s="13">
        <f>YEAR(Weekly_Prices[[#This Row],[Date]])</f>
        <v>2019</v>
      </c>
      <c r="M829" s="13">
        <f>MONTH(Weekly_Prices[[#This Row],[Date]])</f>
        <v>4</v>
      </c>
      <c r="N829" s="3" t="str">
        <f>TEXT(Weekly_Prices[[#This Row],[Date]],"MMMM")</f>
        <v>April</v>
      </c>
      <c r="O829" s="3" t="str">
        <f>YEAR(Weekly_Prices[[#This Row],[Date]])&amp;"-"&amp;TEXT(WEEKNUM(Weekly_Prices[[#This Row],[Date]],2),"00")</f>
        <v>2019-16</v>
      </c>
    </row>
    <row r="830" spans="1:15" x14ac:dyDescent="0.35">
      <c r="A830" s="2">
        <v>43577</v>
      </c>
      <c r="B830" s="3">
        <v>125.429169</v>
      </c>
      <c r="C830" s="4">
        <f t="shared" si="48"/>
        <v>1.3736619999999959</v>
      </c>
      <c r="D830" s="4">
        <f t="shared" si="50"/>
        <v>3.9851405819999854</v>
      </c>
      <c r="E830" s="3">
        <v>57.95</v>
      </c>
      <c r="F830" s="3">
        <v>20</v>
      </c>
      <c r="G830" s="3">
        <v>133.993045</v>
      </c>
      <c r="H830" s="4">
        <f t="shared" si="49"/>
        <v>1.029467000000011</v>
      </c>
      <c r="I830" s="4">
        <f t="shared" si="51"/>
        <v>8.6055148319999972</v>
      </c>
      <c r="J830" s="3">
        <v>57.95</v>
      </c>
      <c r="K830" s="3">
        <v>20</v>
      </c>
      <c r="L830" s="13">
        <f>YEAR(Weekly_Prices[[#This Row],[Date]])</f>
        <v>2019</v>
      </c>
      <c r="M830" s="13">
        <f>MONTH(Weekly_Prices[[#This Row],[Date]])</f>
        <v>4</v>
      </c>
      <c r="N830" s="3" t="str">
        <f>TEXT(Weekly_Prices[[#This Row],[Date]],"MMMM")</f>
        <v>April</v>
      </c>
      <c r="O830" s="3" t="str">
        <f>YEAR(Weekly_Prices[[#This Row],[Date]])&amp;"-"&amp;TEXT(WEEKNUM(Weekly_Prices[[#This Row],[Date]],2),"00")</f>
        <v>2019-17</v>
      </c>
    </row>
    <row r="831" spans="1:15" x14ac:dyDescent="0.35">
      <c r="A831" s="2">
        <v>43584</v>
      </c>
      <c r="B831" s="3">
        <v>126.360643</v>
      </c>
      <c r="C831" s="4">
        <f t="shared" si="48"/>
        <v>0.93147399999999436</v>
      </c>
      <c r="D831" s="4">
        <f t="shared" si="50"/>
        <v>4.1418659999999932</v>
      </c>
      <c r="E831" s="3">
        <v>57.95</v>
      </c>
      <c r="F831" s="3">
        <v>20</v>
      </c>
      <c r="G831" s="3">
        <v>134.60391199999998</v>
      </c>
      <c r="H831" s="4">
        <f t="shared" si="49"/>
        <v>0.61086699999998473</v>
      </c>
      <c r="I831" s="4">
        <f t="shared" si="51"/>
        <v>8.591253999999978</v>
      </c>
      <c r="J831" s="3">
        <v>57.95</v>
      </c>
      <c r="K831" s="3">
        <v>20</v>
      </c>
      <c r="L831" s="13">
        <f>YEAR(Weekly_Prices[[#This Row],[Date]])</f>
        <v>2019</v>
      </c>
      <c r="M831" s="13">
        <f>MONTH(Weekly_Prices[[#This Row],[Date]])</f>
        <v>4</v>
      </c>
      <c r="N831" s="3" t="str">
        <f>TEXT(Weekly_Prices[[#This Row],[Date]],"MMMM")</f>
        <v>April</v>
      </c>
      <c r="O831" s="3" t="str">
        <f>YEAR(Weekly_Prices[[#This Row],[Date]])&amp;"-"&amp;TEXT(WEEKNUM(Weekly_Prices[[#This Row],[Date]],2),"00")</f>
        <v>2019-18</v>
      </c>
    </row>
    <row r="832" spans="1:15" x14ac:dyDescent="0.35">
      <c r="A832" s="2">
        <v>43591</v>
      </c>
      <c r="B832" s="3">
        <v>127.49724900000001</v>
      </c>
      <c r="C832" s="4">
        <f t="shared" si="48"/>
        <v>1.1366060000000147</v>
      </c>
      <c r="D832" s="4">
        <f t="shared" si="50"/>
        <v>4.2304390000000183</v>
      </c>
      <c r="E832" s="3">
        <v>57.95</v>
      </c>
      <c r="F832" s="3">
        <v>20</v>
      </c>
      <c r="G832" s="3">
        <v>135.40746299999998</v>
      </c>
      <c r="H832" s="4">
        <f t="shared" si="49"/>
        <v>0.80355099999999879</v>
      </c>
      <c r="I832" s="4">
        <f t="shared" si="51"/>
        <v>8.4159759999999721</v>
      </c>
      <c r="J832" s="3">
        <v>57.95</v>
      </c>
      <c r="K832" s="3">
        <v>20</v>
      </c>
      <c r="L832" s="13">
        <f>YEAR(Weekly_Prices[[#This Row],[Date]])</f>
        <v>2019</v>
      </c>
      <c r="M832" s="13">
        <f>MONTH(Weekly_Prices[[#This Row],[Date]])</f>
        <v>5</v>
      </c>
      <c r="N832" s="3" t="str">
        <f>TEXT(Weekly_Prices[[#This Row],[Date]],"MMMM")</f>
        <v>May</v>
      </c>
      <c r="O832" s="3" t="str">
        <f>YEAR(Weekly_Prices[[#This Row],[Date]])&amp;"-"&amp;TEXT(WEEKNUM(Weekly_Prices[[#This Row],[Date]],2),"00")</f>
        <v>2019-19</v>
      </c>
    </row>
    <row r="833" spans="1:15" x14ac:dyDescent="0.35">
      <c r="A833" s="2">
        <v>43598</v>
      </c>
      <c r="B833" s="3">
        <v>127.97096900000001</v>
      </c>
      <c r="C833" s="4">
        <f t="shared" si="48"/>
        <v>0.47372000000000014</v>
      </c>
      <c r="D833" s="4">
        <f t="shared" si="50"/>
        <v>3.6503380000000334</v>
      </c>
      <c r="E833" s="3">
        <v>57.95</v>
      </c>
      <c r="F833" s="3">
        <v>20</v>
      </c>
      <c r="G833" s="3">
        <v>135.35876199999998</v>
      </c>
      <c r="H833" s="4">
        <f t="shared" si="49"/>
        <v>-4.870099999999411E-2</v>
      </c>
      <c r="I833" s="4">
        <f t="shared" si="51"/>
        <v>7.0756920000000036</v>
      </c>
      <c r="J833" s="3">
        <v>57.95</v>
      </c>
      <c r="K833" s="3">
        <v>20</v>
      </c>
      <c r="L833" s="13">
        <f>YEAR(Weekly_Prices[[#This Row],[Date]])</f>
        <v>2019</v>
      </c>
      <c r="M833" s="13">
        <f>MONTH(Weekly_Prices[[#This Row],[Date]])</f>
        <v>5</v>
      </c>
      <c r="N833" s="3" t="str">
        <f>TEXT(Weekly_Prices[[#This Row],[Date]],"MMMM")</f>
        <v>May</v>
      </c>
      <c r="O833" s="3" t="str">
        <f>YEAR(Weekly_Prices[[#This Row],[Date]])&amp;"-"&amp;TEXT(WEEKNUM(Weekly_Prices[[#This Row],[Date]],2),"00")</f>
        <v>2019-20</v>
      </c>
    </row>
    <row r="834" spans="1:15" x14ac:dyDescent="0.35">
      <c r="A834" s="2">
        <v>43605</v>
      </c>
      <c r="B834" s="3">
        <v>128.509333</v>
      </c>
      <c r="C834" s="4">
        <f t="shared" si="48"/>
        <v>0.53836399999998719</v>
      </c>
      <c r="D834" s="4">
        <f t="shared" si="50"/>
        <v>2.5832329999999928</v>
      </c>
      <c r="E834" s="3">
        <v>57.95</v>
      </c>
      <c r="F834" s="3">
        <v>20</v>
      </c>
      <c r="G834" s="3">
        <v>135.82256599999999</v>
      </c>
      <c r="H834" s="4">
        <f t="shared" si="49"/>
        <v>0.46380400000001032</v>
      </c>
      <c r="I834" s="4">
        <f t="shared" si="51"/>
        <v>5.7838859999999954</v>
      </c>
      <c r="J834" s="3">
        <v>57.95</v>
      </c>
      <c r="K834" s="3">
        <v>20</v>
      </c>
      <c r="L834" s="13">
        <f>YEAR(Weekly_Prices[[#This Row],[Date]])</f>
        <v>2019</v>
      </c>
      <c r="M834" s="13">
        <f>MONTH(Weekly_Prices[[#This Row],[Date]])</f>
        <v>5</v>
      </c>
      <c r="N834" s="3" t="str">
        <f>TEXT(Weekly_Prices[[#This Row],[Date]],"MMMM")</f>
        <v>May</v>
      </c>
      <c r="O834" s="3" t="str">
        <f>YEAR(Weekly_Prices[[#This Row],[Date]])&amp;"-"&amp;TEXT(WEEKNUM(Weekly_Prices[[#This Row],[Date]],2),"00")</f>
        <v>2019-21</v>
      </c>
    </row>
    <row r="835" spans="1:15" x14ac:dyDescent="0.35">
      <c r="A835" s="2">
        <v>43612</v>
      </c>
      <c r="B835" s="3">
        <v>129.14256900000001</v>
      </c>
      <c r="C835" s="4">
        <f t="shared" ref="C835:C898" si="52">B835-B834</f>
        <v>0.63323600000001079</v>
      </c>
      <c r="D835" s="4">
        <f t="shared" si="50"/>
        <v>1.5671366700000107</v>
      </c>
      <c r="E835" s="3">
        <v>57.95</v>
      </c>
      <c r="F835" s="3">
        <v>20</v>
      </c>
      <c r="G835" s="3">
        <v>136.446383</v>
      </c>
      <c r="H835" s="4">
        <f t="shared" ref="H835:H898" si="53">G835-G834</f>
        <v>0.62381700000000251</v>
      </c>
      <c r="I835" s="4">
        <f t="shared" si="51"/>
        <v>4.786388119999998</v>
      </c>
      <c r="J835" s="3">
        <v>57.95</v>
      </c>
      <c r="K835" s="3">
        <v>20</v>
      </c>
      <c r="L835" s="13">
        <f>YEAR(Weekly_Prices[[#This Row],[Date]])</f>
        <v>2019</v>
      </c>
      <c r="M835" s="13">
        <f>MONTH(Weekly_Prices[[#This Row],[Date]])</f>
        <v>5</v>
      </c>
      <c r="N835" s="3" t="str">
        <f>TEXT(Weekly_Prices[[#This Row],[Date]],"MMMM")</f>
        <v>May</v>
      </c>
      <c r="O835" s="3" t="str">
        <f>YEAR(Weekly_Prices[[#This Row],[Date]])&amp;"-"&amp;TEXT(WEEKNUM(Weekly_Prices[[#This Row],[Date]],2),"00")</f>
        <v>2019-22</v>
      </c>
    </row>
    <row r="836" spans="1:15" x14ac:dyDescent="0.35">
      <c r="A836" s="2">
        <v>43619</v>
      </c>
      <c r="B836" s="3">
        <v>129.407206</v>
      </c>
      <c r="C836" s="4">
        <f t="shared" si="52"/>
        <v>0.26463699999999335</v>
      </c>
      <c r="D836" s="4">
        <f t="shared" si="50"/>
        <v>0.9774627369999962</v>
      </c>
      <c r="E836" s="3">
        <v>57.95</v>
      </c>
      <c r="F836" s="3">
        <v>20</v>
      </c>
      <c r="G836" s="3">
        <v>136.393553</v>
      </c>
      <c r="H836" s="4">
        <f t="shared" si="53"/>
        <v>-5.2830000000000155E-2</v>
      </c>
      <c r="I836" s="4">
        <f t="shared" si="51"/>
        <v>4.05155203999999</v>
      </c>
      <c r="J836" s="3">
        <v>57.95</v>
      </c>
      <c r="K836" s="3">
        <v>20</v>
      </c>
      <c r="L836" s="13">
        <f>YEAR(Weekly_Prices[[#This Row],[Date]])</f>
        <v>2019</v>
      </c>
      <c r="M836" s="13">
        <f>MONTH(Weekly_Prices[[#This Row],[Date]])</f>
        <v>6</v>
      </c>
      <c r="N836" s="3" t="str">
        <f>TEXT(Weekly_Prices[[#This Row],[Date]],"MMMM")</f>
        <v>June</v>
      </c>
      <c r="O836" s="3" t="str">
        <f>YEAR(Weekly_Prices[[#This Row],[Date]])&amp;"-"&amp;TEXT(WEEKNUM(Weekly_Prices[[#This Row],[Date]],2),"00")</f>
        <v>2019-23</v>
      </c>
    </row>
    <row r="837" spans="1:15" x14ac:dyDescent="0.35">
      <c r="A837" s="2">
        <v>43626</v>
      </c>
      <c r="B837" s="3">
        <v>128.88566800000001</v>
      </c>
      <c r="C837" s="4">
        <f t="shared" si="52"/>
        <v>-0.52153799999999251</v>
      </c>
      <c r="D837" s="4">
        <f t="shared" si="50"/>
        <v>0.27832600000002117</v>
      </c>
      <c r="E837" s="3">
        <v>57.95</v>
      </c>
      <c r="F837" s="3">
        <v>20</v>
      </c>
      <c r="G837" s="3">
        <v>135.40170000000001</v>
      </c>
      <c r="H837" s="4">
        <f t="shared" si="53"/>
        <v>-0.99185299999999188</v>
      </c>
      <c r="I837" s="4">
        <f t="shared" si="51"/>
        <v>2.7814940000000092</v>
      </c>
      <c r="J837" s="3">
        <v>57.95</v>
      </c>
      <c r="K837" s="3">
        <v>20</v>
      </c>
      <c r="L837" s="13">
        <f>YEAR(Weekly_Prices[[#This Row],[Date]])</f>
        <v>2019</v>
      </c>
      <c r="M837" s="13">
        <f>MONTH(Weekly_Prices[[#This Row],[Date]])</f>
        <v>6</v>
      </c>
      <c r="N837" s="3" t="str">
        <f>TEXT(Weekly_Prices[[#This Row],[Date]],"MMMM")</f>
        <v>June</v>
      </c>
      <c r="O837" s="3" t="str">
        <f>YEAR(Weekly_Prices[[#This Row],[Date]])&amp;"-"&amp;TEXT(WEEKNUM(Weekly_Prices[[#This Row],[Date]],2),"00")</f>
        <v>2019-24</v>
      </c>
    </row>
    <row r="838" spans="1:15" x14ac:dyDescent="0.35">
      <c r="A838" s="2">
        <v>43633</v>
      </c>
      <c r="B838" s="3">
        <v>127.66077299999999</v>
      </c>
      <c r="C838" s="4">
        <f t="shared" si="52"/>
        <v>-1.2248950000000178</v>
      </c>
      <c r="D838" s="4">
        <f t="shared" si="50"/>
        <v>-0.26387800000000539</v>
      </c>
      <c r="E838" s="3">
        <v>57.95</v>
      </c>
      <c r="F838" s="3">
        <v>20</v>
      </c>
      <c r="G838" s="3">
        <v>133.758456</v>
      </c>
      <c r="H838" s="4">
        <f t="shared" si="53"/>
        <v>-1.6432440000000099</v>
      </c>
      <c r="I838" s="4">
        <f t="shared" si="51"/>
        <v>1.7754199999999969</v>
      </c>
      <c r="J838" s="3">
        <v>57.95</v>
      </c>
      <c r="K838" s="3">
        <v>20</v>
      </c>
      <c r="L838" s="13">
        <f>YEAR(Weekly_Prices[[#This Row],[Date]])</f>
        <v>2019</v>
      </c>
      <c r="M838" s="13">
        <f>MONTH(Weekly_Prices[[#This Row],[Date]])</f>
        <v>6</v>
      </c>
      <c r="N838" s="3" t="str">
        <f>TEXT(Weekly_Prices[[#This Row],[Date]],"MMMM")</f>
        <v>June</v>
      </c>
      <c r="O838" s="3" t="str">
        <f>YEAR(Weekly_Prices[[#This Row],[Date]])&amp;"-"&amp;TEXT(WEEKNUM(Weekly_Prices[[#This Row],[Date]],2),"00")</f>
        <v>2019-25</v>
      </c>
    </row>
    <row r="839" spans="1:15" x14ac:dyDescent="0.35">
      <c r="A839" s="2">
        <v>43640</v>
      </c>
      <c r="B839" s="3">
        <v>126.66311600000002</v>
      </c>
      <c r="C839" s="4">
        <f t="shared" si="52"/>
        <v>-0.99765699999997537</v>
      </c>
      <c r="D839" s="4">
        <f t="shared" si="50"/>
        <v>-0.5139249999999862</v>
      </c>
      <c r="E839" s="3">
        <v>57.95</v>
      </c>
      <c r="F839" s="3">
        <v>20</v>
      </c>
      <c r="G839" s="3">
        <v>131.813941</v>
      </c>
      <c r="H839" s="4">
        <f t="shared" si="53"/>
        <v>-1.9445149999999956</v>
      </c>
      <c r="I839" s="4">
        <f t="shared" si="51"/>
        <v>0.54790600000001177</v>
      </c>
      <c r="J839" s="3">
        <v>57.95</v>
      </c>
      <c r="K839" s="3">
        <v>20</v>
      </c>
      <c r="L839" s="13">
        <f>YEAR(Weekly_Prices[[#This Row],[Date]])</f>
        <v>2019</v>
      </c>
      <c r="M839" s="13">
        <f>MONTH(Weekly_Prices[[#This Row],[Date]])</f>
        <v>6</v>
      </c>
      <c r="N839" s="3" t="str">
        <f>TEXT(Weekly_Prices[[#This Row],[Date]],"MMMM")</f>
        <v>June</v>
      </c>
      <c r="O839" s="3" t="str">
        <f>YEAR(Weekly_Prices[[#This Row],[Date]])&amp;"-"&amp;TEXT(WEEKNUM(Weekly_Prices[[#This Row],[Date]],2),"00")</f>
        <v>2019-26</v>
      </c>
    </row>
    <row r="840" spans="1:15" x14ac:dyDescent="0.35">
      <c r="A840" s="2">
        <v>43647</v>
      </c>
      <c r="B840" s="3">
        <v>126.48721100000002</v>
      </c>
      <c r="C840" s="4">
        <f t="shared" si="52"/>
        <v>-0.1759050000000002</v>
      </c>
      <c r="D840" s="4">
        <f t="shared" si="50"/>
        <v>-5.4047999999980334E-2</v>
      </c>
      <c r="E840" s="3">
        <v>57.95</v>
      </c>
      <c r="F840" s="3">
        <v>20</v>
      </c>
      <c r="G840" s="3">
        <v>131.554757</v>
      </c>
      <c r="H840" s="4">
        <f t="shared" si="53"/>
        <v>-0.25918400000000474</v>
      </c>
      <c r="I840" s="4">
        <f t="shared" si="51"/>
        <v>0.72161900000000401</v>
      </c>
      <c r="J840" s="3">
        <v>57.95</v>
      </c>
      <c r="K840" s="3">
        <v>20</v>
      </c>
      <c r="L840" s="13">
        <f>YEAR(Weekly_Prices[[#This Row],[Date]])</f>
        <v>2019</v>
      </c>
      <c r="M840" s="13">
        <f>MONTH(Weekly_Prices[[#This Row],[Date]])</f>
        <v>7</v>
      </c>
      <c r="N840" s="3" t="str">
        <f>TEXT(Weekly_Prices[[#This Row],[Date]],"MMMM")</f>
        <v>July</v>
      </c>
      <c r="O840" s="3" t="str">
        <f>YEAR(Weekly_Prices[[#This Row],[Date]])&amp;"-"&amp;TEXT(WEEKNUM(Weekly_Prices[[#This Row],[Date]],2),"00")</f>
        <v>2019-27</v>
      </c>
    </row>
    <row r="841" spans="1:15" x14ac:dyDescent="0.35">
      <c r="A841" s="2">
        <v>43654</v>
      </c>
      <c r="B841" s="3">
        <v>126.86261400000001</v>
      </c>
      <c r="C841" s="4">
        <f t="shared" si="52"/>
        <v>0.37540299999999149</v>
      </c>
      <c r="D841" s="4">
        <f t="shared" si="50"/>
        <v>-0.11001499999997577</v>
      </c>
      <c r="E841" s="3">
        <v>57.95</v>
      </c>
      <c r="F841" s="3">
        <v>20</v>
      </c>
      <c r="G841" s="3">
        <v>131.68070699999998</v>
      </c>
      <c r="H841" s="4">
        <f t="shared" si="53"/>
        <v>0.1259499999999889</v>
      </c>
      <c r="I841" s="4">
        <f t="shared" si="51"/>
        <v>0.15056999999998766</v>
      </c>
      <c r="J841" s="3">
        <v>57.95</v>
      </c>
      <c r="K841" s="3">
        <v>20</v>
      </c>
      <c r="L841" s="13">
        <f>YEAR(Weekly_Prices[[#This Row],[Date]])</f>
        <v>2019</v>
      </c>
      <c r="M841" s="13">
        <f>MONTH(Weekly_Prices[[#This Row],[Date]])</f>
        <v>7</v>
      </c>
      <c r="N841" s="3" t="str">
        <f>TEXT(Weekly_Prices[[#This Row],[Date]],"MMMM")</f>
        <v>July</v>
      </c>
      <c r="O841" s="3" t="str">
        <f>YEAR(Weekly_Prices[[#This Row],[Date]])&amp;"-"&amp;TEXT(WEEKNUM(Weekly_Prices[[#This Row],[Date]],2),"00")</f>
        <v>2019-28</v>
      </c>
    </row>
    <row r="842" spans="1:15" x14ac:dyDescent="0.35">
      <c r="A842" s="2">
        <v>43661</v>
      </c>
      <c r="B842" s="3">
        <v>127.127914</v>
      </c>
      <c r="C842" s="4">
        <f t="shared" si="52"/>
        <v>0.26529999999999632</v>
      </c>
      <c r="D842" s="4">
        <f t="shared" si="50"/>
        <v>-0.34382399999999791</v>
      </c>
      <c r="E842" s="3">
        <v>57.95</v>
      </c>
      <c r="F842" s="3">
        <v>20</v>
      </c>
      <c r="G842" s="3">
        <v>131.859849</v>
      </c>
      <c r="H842" s="4">
        <f t="shared" si="53"/>
        <v>0.17914200000001301</v>
      </c>
      <c r="I842" s="4">
        <f t="shared" si="51"/>
        <v>1.0450999999989108E-2</v>
      </c>
      <c r="J842" s="3">
        <v>57.95</v>
      </c>
      <c r="K842" s="3">
        <v>20</v>
      </c>
      <c r="L842" s="13">
        <f>YEAR(Weekly_Prices[[#This Row],[Date]])</f>
        <v>2019</v>
      </c>
      <c r="M842" s="13">
        <f>MONTH(Weekly_Prices[[#This Row],[Date]])</f>
        <v>7</v>
      </c>
      <c r="N842" s="3" t="str">
        <f>TEXT(Weekly_Prices[[#This Row],[Date]],"MMMM")</f>
        <v>July</v>
      </c>
      <c r="O842" s="3" t="str">
        <f>YEAR(Weekly_Prices[[#This Row],[Date]])&amp;"-"&amp;TEXT(WEEKNUM(Weekly_Prices[[#This Row],[Date]],2),"00")</f>
        <v>2019-29</v>
      </c>
    </row>
    <row r="843" spans="1:15" x14ac:dyDescent="0.35">
      <c r="A843" s="2">
        <v>43668</v>
      </c>
      <c r="B843" s="3">
        <v>127.809271</v>
      </c>
      <c r="C843" s="4">
        <f t="shared" si="52"/>
        <v>0.68135699999999133</v>
      </c>
      <c r="D843" s="4">
        <f t="shared" si="50"/>
        <v>0.304979000000003</v>
      </c>
      <c r="E843" s="3">
        <v>57.95</v>
      </c>
      <c r="F843" s="3">
        <v>20</v>
      </c>
      <c r="G843" s="3">
        <v>132.214248</v>
      </c>
      <c r="H843" s="4">
        <f t="shared" si="53"/>
        <v>0.3543990000000008</v>
      </c>
      <c r="I843" s="4">
        <f t="shared" si="51"/>
        <v>0.31338299999998753</v>
      </c>
      <c r="J843" s="3">
        <v>57.95</v>
      </c>
      <c r="K843" s="3">
        <v>20</v>
      </c>
      <c r="L843" s="13">
        <f>YEAR(Weekly_Prices[[#This Row],[Date]])</f>
        <v>2019</v>
      </c>
      <c r="M843" s="13">
        <f>MONTH(Weekly_Prices[[#This Row],[Date]])</f>
        <v>7</v>
      </c>
      <c r="N843" s="3" t="str">
        <f>TEXT(Weekly_Prices[[#This Row],[Date]],"MMMM")</f>
        <v>July</v>
      </c>
      <c r="O843" s="3" t="str">
        <f>YEAR(Weekly_Prices[[#This Row],[Date]])&amp;"-"&amp;TEXT(WEEKNUM(Weekly_Prices[[#This Row],[Date]],2),"00")</f>
        <v>2019-30</v>
      </c>
    </row>
    <row r="844" spans="1:15" x14ac:dyDescent="0.35">
      <c r="A844" s="2">
        <v>43675</v>
      </c>
      <c r="B844" s="3">
        <v>128.03377699999999</v>
      </c>
      <c r="C844" s="4">
        <f t="shared" si="52"/>
        <v>0.22450599999999099</v>
      </c>
      <c r="D844" s="4">
        <f t="shared" si="50"/>
        <v>0.49615199999998083</v>
      </c>
      <c r="E844" s="3">
        <v>57.95</v>
      </c>
      <c r="F844" s="3">
        <v>20</v>
      </c>
      <c r="G844" s="3">
        <v>132.59614400000001</v>
      </c>
      <c r="H844" s="4">
        <f t="shared" si="53"/>
        <v>0.38189600000001178</v>
      </c>
      <c r="I844" s="4">
        <f t="shared" si="51"/>
        <v>0.65694200000001501</v>
      </c>
      <c r="J844" s="3">
        <v>57.95</v>
      </c>
      <c r="K844" s="3">
        <v>20</v>
      </c>
      <c r="L844" s="13">
        <f>YEAR(Weekly_Prices[[#This Row],[Date]])</f>
        <v>2019</v>
      </c>
      <c r="M844" s="13">
        <f>MONTH(Weekly_Prices[[#This Row],[Date]])</f>
        <v>7</v>
      </c>
      <c r="N844" s="3" t="str">
        <f>TEXT(Weekly_Prices[[#This Row],[Date]],"MMMM")</f>
        <v>July</v>
      </c>
      <c r="O844" s="3" t="str">
        <f>YEAR(Weekly_Prices[[#This Row],[Date]])&amp;"-"&amp;TEXT(WEEKNUM(Weekly_Prices[[#This Row],[Date]],2),"00")</f>
        <v>2019-31</v>
      </c>
    </row>
    <row r="845" spans="1:15" x14ac:dyDescent="0.35">
      <c r="A845" s="2">
        <v>43682</v>
      </c>
      <c r="B845" s="3">
        <v>128.37035900000001</v>
      </c>
      <c r="C845" s="4">
        <f t="shared" si="52"/>
        <v>0.33658200000002125</v>
      </c>
      <c r="D845" s="4">
        <f t="shared" si="50"/>
        <v>0.34647900000001641</v>
      </c>
      <c r="E845" s="3">
        <v>57.95</v>
      </c>
      <c r="F845" s="3">
        <v>20</v>
      </c>
      <c r="G845" s="3">
        <v>132.60573299999999</v>
      </c>
      <c r="H845" s="4">
        <f t="shared" si="53"/>
        <v>9.5889999999769771E-3</v>
      </c>
      <c r="I845" s="4">
        <f t="shared" si="51"/>
        <v>0.21740899999997509</v>
      </c>
      <c r="J845" s="3">
        <v>57.95</v>
      </c>
      <c r="K845" s="3">
        <v>20</v>
      </c>
      <c r="L845" s="13">
        <f>YEAR(Weekly_Prices[[#This Row],[Date]])</f>
        <v>2019</v>
      </c>
      <c r="M845" s="13">
        <f>MONTH(Weekly_Prices[[#This Row],[Date]])</f>
        <v>8</v>
      </c>
      <c r="N845" s="3" t="str">
        <f>TEXT(Weekly_Prices[[#This Row],[Date]],"MMMM")</f>
        <v>August</v>
      </c>
      <c r="O845" s="3" t="str">
        <f>YEAR(Weekly_Prices[[#This Row],[Date]])&amp;"-"&amp;TEXT(WEEKNUM(Weekly_Prices[[#This Row],[Date]],2),"00")</f>
        <v>2019-32</v>
      </c>
    </row>
    <row r="846" spans="1:15" x14ac:dyDescent="0.35">
      <c r="A846" s="2">
        <v>43689</v>
      </c>
      <c r="B846" s="3">
        <v>128.361242</v>
      </c>
      <c r="C846" s="4">
        <f t="shared" si="52"/>
        <v>-9.1170000000033724E-3</v>
      </c>
      <c r="D846" s="4">
        <f t="shared" si="50"/>
        <v>-3.2003000000003112E-2</v>
      </c>
      <c r="E846" s="3">
        <v>57.95</v>
      </c>
      <c r="F846" s="3">
        <v>20</v>
      </c>
      <c r="G846" s="3">
        <v>132.588686</v>
      </c>
      <c r="H846" s="4">
        <f t="shared" si="53"/>
        <v>-1.7046999999990931E-2</v>
      </c>
      <c r="I846" s="4">
        <f t="shared" si="51"/>
        <v>2.6441999999974541E-2</v>
      </c>
      <c r="J846" s="3">
        <v>57.95</v>
      </c>
      <c r="K846" s="3">
        <v>20</v>
      </c>
      <c r="L846" s="13">
        <f>YEAR(Weekly_Prices[[#This Row],[Date]])</f>
        <v>2019</v>
      </c>
      <c r="M846" s="13">
        <f>MONTH(Weekly_Prices[[#This Row],[Date]])</f>
        <v>8</v>
      </c>
      <c r="N846" s="3" t="str">
        <f>TEXT(Weekly_Prices[[#This Row],[Date]],"MMMM")</f>
        <v>August</v>
      </c>
      <c r="O846" s="3" t="str">
        <f>YEAR(Weekly_Prices[[#This Row],[Date]])&amp;"-"&amp;TEXT(WEEKNUM(Weekly_Prices[[#This Row],[Date]],2),"00")</f>
        <v>2019-33</v>
      </c>
    </row>
    <row r="847" spans="1:15" x14ac:dyDescent="0.35">
      <c r="A847" s="2">
        <v>43696</v>
      </c>
      <c r="B847" s="3">
        <v>128.16598299999998</v>
      </c>
      <c r="C847" s="4">
        <f t="shared" si="52"/>
        <v>-0.19525900000002139</v>
      </c>
      <c r="D847" s="4">
        <f t="shared" si="50"/>
        <v>-0.62315000000000964</v>
      </c>
      <c r="E847" s="3">
        <v>57.95</v>
      </c>
      <c r="F847" s="3">
        <v>20</v>
      </c>
      <c r="G847" s="3">
        <v>132.59598700000001</v>
      </c>
      <c r="H847" s="4">
        <f t="shared" si="53"/>
        <v>7.3010000000124364E-3</v>
      </c>
      <c r="I847" s="4">
        <f t="shared" si="51"/>
        <v>-0.3764940000000081</v>
      </c>
      <c r="J847" s="3">
        <v>57.95</v>
      </c>
      <c r="K847" s="3">
        <v>20</v>
      </c>
      <c r="L847" s="13">
        <f>YEAR(Weekly_Prices[[#This Row],[Date]])</f>
        <v>2019</v>
      </c>
      <c r="M847" s="13">
        <f>MONTH(Weekly_Prices[[#This Row],[Date]])</f>
        <v>8</v>
      </c>
      <c r="N847" s="3" t="str">
        <f>TEXT(Weekly_Prices[[#This Row],[Date]],"MMMM")</f>
        <v>August</v>
      </c>
      <c r="O847" s="3" t="str">
        <f>YEAR(Weekly_Prices[[#This Row],[Date]])&amp;"-"&amp;TEXT(WEEKNUM(Weekly_Prices[[#This Row],[Date]],2),"00")</f>
        <v>2019-34</v>
      </c>
    </row>
    <row r="848" spans="1:15" x14ac:dyDescent="0.35">
      <c r="A848" s="2">
        <v>43703</v>
      </c>
      <c r="B848" s="3">
        <v>128.221036</v>
      </c>
      <c r="C848" s="4">
        <f t="shared" si="52"/>
        <v>5.5053000000015118E-2</v>
      </c>
      <c r="D848" s="4">
        <f t="shared" si="50"/>
        <v>-0.95950099999998884</v>
      </c>
      <c r="E848" s="3">
        <v>57.95</v>
      </c>
      <c r="F848" s="3">
        <v>20</v>
      </c>
      <c r="G848" s="3">
        <v>132.51085499999999</v>
      </c>
      <c r="H848" s="4">
        <f t="shared" si="53"/>
        <v>-8.5132000000015751E-2</v>
      </c>
      <c r="I848" s="4">
        <f t="shared" si="51"/>
        <v>-0.6895640000000185</v>
      </c>
      <c r="J848" s="3">
        <v>57.95</v>
      </c>
      <c r="K848" s="3">
        <v>20</v>
      </c>
      <c r="L848" s="13">
        <f>YEAR(Weekly_Prices[[#This Row],[Date]])</f>
        <v>2019</v>
      </c>
      <c r="M848" s="13">
        <f>MONTH(Weekly_Prices[[#This Row],[Date]])</f>
        <v>8</v>
      </c>
      <c r="N848" s="3" t="str">
        <f>TEXT(Weekly_Prices[[#This Row],[Date]],"MMMM")</f>
        <v>August</v>
      </c>
      <c r="O848" s="3" t="str">
        <f>YEAR(Weekly_Prices[[#This Row],[Date]])&amp;"-"&amp;TEXT(WEEKNUM(Weekly_Prices[[#This Row],[Date]],2),"00")</f>
        <v>2019-35</v>
      </c>
    </row>
    <row r="849" spans="1:15" x14ac:dyDescent="0.35">
      <c r="A849" s="2">
        <v>43710</v>
      </c>
      <c r="B849" s="3">
        <v>127.864315</v>
      </c>
      <c r="C849" s="4">
        <f t="shared" si="52"/>
        <v>-0.35672099999999318</v>
      </c>
      <c r="D849" s="4">
        <f t="shared" si="50"/>
        <v>-1.8945659999999975</v>
      </c>
      <c r="E849" s="3">
        <v>57.95</v>
      </c>
      <c r="F849" s="3">
        <v>20</v>
      </c>
      <c r="G849" s="3">
        <v>132.29071999999999</v>
      </c>
      <c r="H849" s="4">
        <f t="shared" si="53"/>
        <v>-0.22013499999999908</v>
      </c>
      <c r="I849" s="4">
        <f t="shared" si="51"/>
        <v>-1.376589000000024</v>
      </c>
      <c r="J849" s="3">
        <v>57.95</v>
      </c>
      <c r="K849" s="3">
        <v>20</v>
      </c>
      <c r="L849" s="13">
        <f>YEAR(Weekly_Prices[[#This Row],[Date]])</f>
        <v>2019</v>
      </c>
      <c r="M849" s="13">
        <f>MONTH(Weekly_Prices[[#This Row],[Date]])</f>
        <v>9</v>
      </c>
      <c r="N849" s="3" t="str">
        <f>TEXT(Weekly_Prices[[#This Row],[Date]],"MMMM")</f>
        <v>September</v>
      </c>
      <c r="O849" s="3" t="str">
        <f>YEAR(Weekly_Prices[[#This Row],[Date]])&amp;"-"&amp;TEXT(WEEKNUM(Weekly_Prices[[#This Row],[Date]],2),"00")</f>
        <v>2019-36</v>
      </c>
    </row>
    <row r="850" spans="1:15" x14ac:dyDescent="0.35">
      <c r="A850" s="2">
        <v>43717</v>
      </c>
      <c r="B850" s="3">
        <v>127.78941630300001</v>
      </c>
      <c r="C850" s="4">
        <f t="shared" si="52"/>
        <v>-7.4898696999994741E-2</v>
      </c>
      <c r="D850" s="4">
        <f t="shared" si="50"/>
        <v>-2.4519746969999829</v>
      </c>
      <c r="E850" s="3">
        <v>57.95</v>
      </c>
      <c r="F850" s="3">
        <v>20</v>
      </c>
      <c r="G850" s="3">
        <v>131.886735888</v>
      </c>
      <c r="H850" s="4">
        <f t="shared" si="53"/>
        <v>-0.40398411199998918</v>
      </c>
      <c r="I850" s="4">
        <f t="shared" si="51"/>
        <v>-2.4208111119999671</v>
      </c>
      <c r="J850" s="3">
        <v>57.95</v>
      </c>
      <c r="K850" s="3">
        <v>20</v>
      </c>
      <c r="L850" s="13">
        <f>YEAR(Weekly_Prices[[#This Row],[Date]])</f>
        <v>2019</v>
      </c>
      <c r="M850" s="13">
        <f>MONTH(Weekly_Prices[[#This Row],[Date]])</f>
        <v>9</v>
      </c>
      <c r="N850" s="3" t="str">
        <f>TEXT(Weekly_Prices[[#This Row],[Date]],"MMMM")</f>
        <v>September</v>
      </c>
      <c r="O850" s="3" t="str">
        <f>YEAR(Weekly_Prices[[#This Row],[Date]])&amp;"-"&amp;TEXT(WEEKNUM(Weekly_Prices[[#This Row],[Date]],2),"00")</f>
        <v>2019-37</v>
      </c>
    </row>
    <row r="851" spans="1:15" x14ac:dyDescent="0.35">
      <c r="A851" s="2">
        <v>43724</v>
      </c>
      <c r="B851" s="3">
        <v>126.91823550600002</v>
      </c>
      <c r="C851" s="4">
        <f t="shared" si="52"/>
        <v>-0.87118079699999385</v>
      </c>
      <c r="D851" s="4">
        <f t="shared" si="50"/>
        <v>-3.6729454939999897</v>
      </c>
      <c r="E851" s="3">
        <v>57.95</v>
      </c>
      <c r="F851" s="3">
        <v>20</v>
      </c>
      <c r="G851" s="3">
        <v>131.34646807999999</v>
      </c>
      <c r="H851" s="4">
        <f t="shared" si="53"/>
        <v>-0.54026780800001006</v>
      </c>
      <c r="I851" s="4">
        <f t="shared" si="51"/>
        <v>-3.2211519200000112</v>
      </c>
      <c r="J851" s="3">
        <v>57.95</v>
      </c>
      <c r="K851" s="3">
        <v>20</v>
      </c>
      <c r="L851" s="13">
        <f>YEAR(Weekly_Prices[[#This Row],[Date]])</f>
        <v>2019</v>
      </c>
      <c r="M851" s="13">
        <f>MONTH(Weekly_Prices[[#This Row],[Date]])</f>
        <v>9</v>
      </c>
      <c r="N851" s="3" t="str">
        <f>TEXT(Weekly_Prices[[#This Row],[Date]],"MMMM")</f>
        <v>September</v>
      </c>
      <c r="O851" s="3" t="str">
        <f>YEAR(Weekly_Prices[[#This Row],[Date]])&amp;"-"&amp;TEXT(WEEKNUM(Weekly_Prices[[#This Row],[Date]],2),"00")</f>
        <v>2019-38</v>
      </c>
    </row>
    <row r="852" spans="1:15" x14ac:dyDescent="0.35">
      <c r="A852" s="2">
        <v>43731</v>
      </c>
      <c r="B852" s="3">
        <v>126.77891231400001</v>
      </c>
      <c r="C852" s="4">
        <f t="shared" si="52"/>
        <v>-0.1393231920000062</v>
      </c>
      <c r="D852" s="4">
        <f t="shared" si="50"/>
        <v>-3.8103936859999834</v>
      </c>
      <c r="E852" s="3">
        <v>57.95</v>
      </c>
      <c r="F852" s="3">
        <v>20</v>
      </c>
      <c r="G852" s="3">
        <v>131.52317466400001</v>
      </c>
      <c r="H852" s="4">
        <f t="shared" si="53"/>
        <v>0.17670658400001571</v>
      </c>
      <c r="I852" s="4">
        <f t="shared" si="51"/>
        <v>-3.2456183360000068</v>
      </c>
      <c r="J852" s="3">
        <v>57.95</v>
      </c>
      <c r="K852" s="3">
        <v>20</v>
      </c>
      <c r="L852" s="13">
        <f>YEAR(Weekly_Prices[[#This Row],[Date]])</f>
        <v>2019</v>
      </c>
      <c r="M852" s="13">
        <f>MONTH(Weekly_Prices[[#This Row],[Date]])</f>
        <v>9</v>
      </c>
      <c r="N852" s="3" t="str">
        <f>TEXT(Weekly_Prices[[#This Row],[Date]],"MMMM")</f>
        <v>September</v>
      </c>
      <c r="O852" s="3" t="str">
        <f>YEAR(Weekly_Prices[[#This Row],[Date]])&amp;"-"&amp;TEXT(WEEKNUM(Weekly_Prices[[#This Row],[Date]],2),"00")</f>
        <v>2019-39</v>
      </c>
    </row>
    <row r="853" spans="1:15" x14ac:dyDescent="0.35">
      <c r="A853" s="2">
        <v>43738</v>
      </c>
      <c r="B853" s="3">
        <v>126.92396400000001</v>
      </c>
      <c r="C853" s="4">
        <f t="shared" si="52"/>
        <v>0.14505168600000218</v>
      </c>
      <c r="D853" s="4">
        <f t="shared" si="50"/>
        <v>-3.0529421899999818</v>
      </c>
      <c r="E853" s="3">
        <v>57.95</v>
      </c>
      <c r="F853" s="3">
        <v>20</v>
      </c>
      <c r="G853" s="3">
        <v>131.83384999999998</v>
      </c>
      <c r="H853" s="4">
        <f t="shared" si="53"/>
        <v>0.31067533599997432</v>
      </c>
      <c r="I853" s="4">
        <f t="shared" si="51"/>
        <v>-3.0240204400000152</v>
      </c>
      <c r="J853" s="3">
        <v>57.95</v>
      </c>
      <c r="K853" s="3">
        <v>20</v>
      </c>
      <c r="L853" s="13">
        <f>YEAR(Weekly_Prices[[#This Row],[Date]])</f>
        <v>2019</v>
      </c>
      <c r="M853" s="13">
        <f>MONTH(Weekly_Prices[[#This Row],[Date]])</f>
        <v>9</v>
      </c>
      <c r="N853" s="3" t="str">
        <f>TEXT(Weekly_Prices[[#This Row],[Date]],"MMMM")</f>
        <v>September</v>
      </c>
      <c r="O853" s="3" t="str">
        <f>YEAR(Weekly_Prices[[#This Row],[Date]])&amp;"-"&amp;TEXT(WEEKNUM(Weekly_Prices[[#This Row],[Date]],2),"00")</f>
        <v>2019-40</v>
      </c>
    </row>
    <row r="854" spans="1:15" x14ac:dyDescent="0.35">
      <c r="A854" s="2">
        <v>43745</v>
      </c>
      <c r="B854" s="3">
        <v>126.86949499999999</v>
      </c>
      <c r="C854" s="4">
        <f t="shared" si="52"/>
        <v>-5.4469000000025858E-2</v>
      </c>
      <c r="D854" s="4">
        <f t="shared" si="50"/>
        <v>-3.2770554149999924</v>
      </c>
      <c r="E854" s="3">
        <v>57.95</v>
      </c>
      <c r="F854" s="3">
        <v>20</v>
      </c>
      <c r="G854" s="3">
        <v>131.82080299999998</v>
      </c>
      <c r="H854" s="4">
        <f t="shared" si="53"/>
        <v>-1.3047000000000253E-2</v>
      </c>
      <c r="I854" s="4">
        <f t="shared" si="51"/>
        <v>-3.7115424960000212</v>
      </c>
      <c r="J854" s="3">
        <v>57.95</v>
      </c>
      <c r="K854" s="3">
        <v>20</v>
      </c>
      <c r="L854" s="13">
        <f>YEAR(Weekly_Prices[[#This Row],[Date]])</f>
        <v>2019</v>
      </c>
      <c r="M854" s="13">
        <f>MONTH(Weekly_Prices[[#This Row],[Date]])</f>
        <v>10</v>
      </c>
      <c r="N854" s="3" t="str">
        <f>TEXT(Weekly_Prices[[#This Row],[Date]],"MMMM")</f>
        <v>October</v>
      </c>
      <c r="O854" s="3" t="str">
        <f>YEAR(Weekly_Prices[[#This Row],[Date]])&amp;"-"&amp;TEXT(WEEKNUM(Weekly_Prices[[#This Row],[Date]],2),"00")</f>
        <v>2019-41</v>
      </c>
    </row>
    <row r="855" spans="1:15" x14ac:dyDescent="0.35">
      <c r="A855" s="2">
        <v>43752</v>
      </c>
      <c r="B855" s="3">
        <v>126.90649099999999</v>
      </c>
      <c r="C855" s="4">
        <f t="shared" si="52"/>
        <v>3.6996000000002027E-2</v>
      </c>
      <c r="D855" s="4">
        <f t="shared" si="50"/>
        <v>-3.9045516440000085</v>
      </c>
      <c r="E855" s="3">
        <v>57.95</v>
      </c>
      <c r="F855" s="3">
        <v>20</v>
      </c>
      <c r="G855" s="3">
        <v>131.89290799999998</v>
      </c>
      <c r="H855" s="4">
        <f t="shared" si="53"/>
        <v>7.2104999999993424E-2</v>
      </c>
      <c r="I855" s="4">
        <f t="shared" si="51"/>
        <v>-4.7347531120000212</v>
      </c>
      <c r="J855" s="3">
        <v>57.95</v>
      </c>
      <c r="K855" s="3">
        <v>20</v>
      </c>
      <c r="L855" s="13">
        <f>YEAR(Weekly_Prices[[#This Row],[Date]])</f>
        <v>2019</v>
      </c>
      <c r="M855" s="13">
        <f>MONTH(Weekly_Prices[[#This Row],[Date]])</f>
        <v>10</v>
      </c>
      <c r="N855" s="3" t="str">
        <f>TEXT(Weekly_Prices[[#This Row],[Date]],"MMMM")</f>
        <v>October</v>
      </c>
      <c r="O855" s="3" t="str">
        <f>YEAR(Weekly_Prices[[#This Row],[Date]])&amp;"-"&amp;TEXT(WEEKNUM(Weekly_Prices[[#This Row],[Date]],2),"00")</f>
        <v>2019-42</v>
      </c>
    </row>
    <row r="856" spans="1:15" x14ac:dyDescent="0.35">
      <c r="A856" s="2">
        <v>43759</v>
      </c>
      <c r="B856" s="3">
        <v>126.40242000000001</v>
      </c>
      <c r="C856" s="4">
        <f t="shared" si="52"/>
        <v>-0.50407099999998195</v>
      </c>
      <c r="D856" s="4">
        <f t="shared" si="50"/>
        <v>-4.5780989999999804</v>
      </c>
      <c r="E856" s="3">
        <v>57.95</v>
      </c>
      <c r="F856" s="3">
        <v>20</v>
      </c>
      <c r="G856" s="3">
        <v>131.27925299999998</v>
      </c>
      <c r="H856" s="4">
        <f t="shared" si="53"/>
        <v>-0.61365499999999429</v>
      </c>
      <c r="I856" s="4">
        <f t="shared" si="51"/>
        <v>-5.6474720000000218</v>
      </c>
      <c r="J856" s="3">
        <v>57.95</v>
      </c>
      <c r="K856" s="3">
        <v>20</v>
      </c>
      <c r="L856" s="13">
        <f>YEAR(Weekly_Prices[[#This Row],[Date]])</f>
        <v>2019</v>
      </c>
      <c r="M856" s="13">
        <f>MONTH(Weekly_Prices[[#This Row],[Date]])</f>
        <v>10</v>
      </c>
      <c r="N856" s="3" t="str">
        <f>TEXT(Weekly_Prices[[#This Row],[Date]],"MMMM")</f>
        <v>October</v>
      </c>
      <c r="O856" s="3" t="str">
        <f>YEAR(Weekly_Prices[[#This Row],[Date]])&amp;"-"&amp;TEXT(WEEKNUM(Weekly_Prices[[#This Row],[Date]],2),"00")</f>
        <v>2019-43</v>
      </c>
    </row>
    <row r="857" spans="1:15" x14ac:dyDescent="0.35">
      <c r="A857" s="2">
        <v>43766</v>
      </c>
      <c r="B857" s="3">
        <v>125.76551399999998</v>
      </c>
      <c r="C857" s="4">
        <f t="shared" si="52"/>
        <v>-0.63690600000002462</v>
      </c>
      <c r="D857" s="4">
        <f t="shared" si="50"/>
        <v>-4.8770280000000099</v>
      </c>
      <c r="E857" s="3">
        <v>57.95</v>
      </c>
      <c r="F857" s="3">
        <v>20</v>
      </c>
      <c r="G857" s="3">
        <v>130.603532</v>
      </c>
      <c r="H857" s="4">
        <f t="shared" si="53"/>
        <v>-0.67572099999998159</v>
      </c>
      <c r="I857" s="4">
        <f t="shared" si="51"/>
        <v>-6.3901600000000087</v>
      </c>
      <c r="J857" s="3">
        <v>57.95</v>
      </c>
      <c r="K857" s="3">
        <v>20</v>
      </c>
      <c r="L857" s="13">
        <f>YEAR(Weekly_Prices[[#This Row],[Date]])</f>
        <v>2019</v>
      </c>
      <c r="M857" s="13">
        <f>MONTH(Weekly_Prices[[#This Row],[Date]])</f>
        <v>10</v>
      </c>
      <c r="N857" s="3" t="str">
        <f>TEXT(Weekly_Prices[[#This Row],[Date]],"MMMM")</f>
        <v>October</v>
      </c>
      <c r="O857" s="3" t="str">
        <f>YEAR(Weekly_Prices[[#This Row],[Date]])&amp;"-"&amp;TEXT(WEEKNUM(Weekly_Prices[[#This Row],[Date]],2),"00")</f>
        <v>2019-44</v>
      </c>
    </row>
    <row r="858" spans="1:15" x14ac:dyDescent="0.35">
      <c r="A858" s="2">
        <v>43773</v>
      </c>
      <c r="B858" s="3">
        <v>125.558701</v>
      </c>
      <c r="C858" s="4">
        <f t="shared" si="52"/>
        <v>-0.20681299999998259</v>
      </c>
      <c r="D858" s="4">
        <f t="shared" si="50"/>
        <v>-4.5473610000000093</v>
      </c>
      <c r="E858" s="3">
        <v>57.95</v>
      </c>
      <c r="F858" s="3">
        <v>20</v>
      </c>
      <c r="G858" s="3">
        <v>130.37609499999999</v>
      </c>
      <c r="H858" s="4">
        <f t="shared" si="53"/>
        <v>-0.22743700000000899</v>
      </c>
      <c r="I858" s="4">
        <f t="shared" si="51"/>
        <v>-6.653332000000006</v>
      </c>
      <c r="J858" s="3">
        <v>57.95</v>
      </c>
      <c r="K858" s="3">
        <v>20</v>
      </c>
      <c r="L858" s="13">
        <f>YEAR(Weekly_Prices[[#This Row],[Date]])</f>
        <v>2019</v>
      </c>
      <c r="M858" s="13">
        <f>MONTH(Weekly_Prices[[#This Row],[Date]])</f>
        <v>11</v>
      </c>
      <c r="N858" s="3" t="str">
        <f>TEXT(Weekly_Prices[[#This Row],[Date]],"MMMM")</f>
        <v>November</v>
      </c>
      <c r="O858" s="3" t="str">
        <f>YEAR(Weekly_Prices[[#This Row],[Date]])&amp;"-"&amp;TEXT(WEEKNUM(Weekly_Prices[[#This Row],[Date]],2),"00")</f>
        <v>2019-45</v>
      </c>
    </row>
    <row r="859" spans="1:15" x14ac:dyDescent="0.35">
      <c r="A859" s="2">
        <v>43780</v>
      </c>
      <c r="B859" s="3">
        <v>125.59399900000001</v>
      </c>
      <c r="C859" s="4">
        <f t="shared" si="52"/>
        <v>3.5298000000011598E-2</v>
      </c>
      <c r="D859" s="4">
        <f t="shared" si="50"/>
        <v>-3.3419970000000063</v>
      </c>
      <c r="E859" s="3">
        <v>57.95</v>
      </c>
      <c r="F859" s="3">
        <v>20</v>
      </c>
      <c r="G859" s="3">
        <v>130.42490999999998</v>
      </c>
      <c r="H859" s="4">
        <f t="shared" si="53"/>
        <v>4.8814999999990505E-2</v>
      </c>
      <c r="I859" s="4">
        <f t="shared" si="51"/>
        <v>-6.6591600000000142</v>
      </c>
      <c r="J859" s="3">
        <v>57.95</v>
      </c>
      <c r="K859" s="3">
        <v>20</v>
      </c>
      <c r="L859" s="13">
        <f>YEAR(Weekly_Prices[[#This Row],[Date]])</f>
        <v>2019</v>
      </c>
      <c r="M859" s="13">
        <f>MONTH(Weekly_Prices[[#This Row],[Date]])</f>
        <v>11</v>
      </c>
      <c r="N859" s="3" t="str">
        <f>TEXT(Weekly_Prices[[#This Row],[Date]],"MMMM")</f>
        <v>November</v>
      </c>
      <c r="O859" s="3" t="str">
        <f>YEAR(Weekly_Prices[[#This Row],[Date]])&amp;"-"&amp;TEXT(WEEKNUM(Weekly_Prices[[#This Row],[Date]],2),"00")</f>
        <v>2019-46</v>
      </c>
    </row>
    <row r="860" spans="1:15" x14ac:dyDescent="0.35">
      <c r="A860" s="2">
        <v>43787</v>
      </c>
      <c r="B860" s="3">
        <v>125.582346</v>
      </c>
      <c r="C860" s="4">
        <f t="shared" si="52"/>
        <v>-1.1653000000009683E-2</v>
      </c>
      <c r="D860" s="4">
        <f t="shared" si="50"/>
        <v>-1.8165300000000144</v>
      </c>
      <c r="E860" s="3">
        <v>57.95</v>
      </c>
      <c r="F860" s="3">
        <v>20</v>
      </c>
      <c r="G860" s="3">
        <v>130.345595</v>
      </c>
      <c r="H860" s="4">
        <f t="shared" si="53"/>
        <v>-7.9314999999979818E-2</v>
      </c>
      <c r="I860" s="4">
        <f t="shared" si="51"/>
        <v>-6.0384379999999851</v>
      </c>
      <c r="J860" s="3">
        <v>57.95</v>
      </c>
      <c r="K860" s="3">
        <v>20</v>
      </c>
      <c r="L860" s="13">
        <f>YEAR(Weekly_Prices[[#This Row],[Date]])</f>
        <v>2019</v>
      </c>
      <c r="M860" s="13">
        <f>MONTH(Weekly_Prices[[#This Row],[Date]])</f>
        <v>11</v>
      </c>
      <c r="N860" s="3" t="str">
        <f>TEXT(Weekly_Prices[[#This Row],[Date]],"MMMM")</f>
        <v>November</v>
      </c>
      <c r="O860" s="3" t="str">
        <f>YEAR(Weekly_Prices[[#This Row],[Date]])&amp;"-"&amp;TEXT(WEEKNUM(Weekly_Prices[[#This Row],[Date]],2),"00")</f>
        <v>2019-47</v>
      </c>
    </row>
    <row r="861" spans="1:15" x14ac:dyDescent="0.35">
      <c r="A861" s="2">
        <v>43794</v>
      </c>
      <c r="B861" s="3">
        <v>125.31979800000001</v>
      </c>
      <c r="C861" s="4">
        <f t="shared" si="52"/>
        <v>-0.26254799999999534</v>
      </c>
      <c r="D861" s="4">
        <f t="shared" si="50"/>
        <v>-0.45075099999999679</v>
      </c>
      <c r="E861" s="3">
        <v>57.95</v>
      </c>
      <c r="F861" s="3">
        <v>20</v>
      </c>
      <c r="G861" s="3">
        <v>130.07831300000001</v>
      </c>
      <c r="H861" s="4">
        <f t="shared" si="53"/>
        <v>-0.26728199999999447</v>
      </c>
      <c r="I861" s="4">
        <f t="shared" si="51"/>
        <v>-5.3493139999999926</v>
      </c>
      <c r="J861" s="3">
        <v>57.95</v>
      </c>
      <c r="K861" s="3">
        <v>20</v>
      </c>
      <c r="L861" s="13">
        <f>YEAR(Weekly_Prices[[#This Row],[Date]])</f>
        <v>2019</v>
      </c>
      <c r="M861" s="13">
        <f>MONTH(Weekly_Prices[[#This Row],[Date]])</f>
        <v>11</v>
      </c>
      <c r="N861" s="3" t="str">
        <f>TEXT(Weekly_Prices[[#This Row],[Date]],"MMMM")</f>
        <v>November</v>
      </c>
      <c r="O861" s="3" t="str">
        <f>YEAR(Weekly_Prices[[#This Row],[Date]])&amp;"-"&amp;TEXT(WEEKNUM(Weekly_Prices[[#This Row],[Date]],2),"00")</f>
        <v>2019-48</v>
      </c>
    </row>
    <row r="862" spans="1:15" x14ac:dyDescent="0.35">
      <c r="A862" s="2">
        <v>43801</v>
      </c>
      <c r="B862" s="3">
        <v>124.80878300000001</v>
      </c>
      <c r="C862" s="4">
        <f t="shared" si="52"/>
        <v>-0.51101500000000044</v>
      </c>
      <c r="D862" s="4">
        <f t="shared" si="50"/>
        <v>0.50784000000001583</v>
      </c>
      <c r="E862" s="3">
        <v>57.95</v>
      </c>
      <c r="F862" s="3">
        <v>20</v>
      </c>
      <c r="G862" s="3">
        <v>129.79383300000001</v>
      </c>
      <c r="H862" s="4">
        <f t="shared" si="53"/>
        <v>-0.28448000000000206</v>
      </c>
      <c r="I862" s="4">
        <f t="shared" si="51"/>
        <v>-4.5883881999999971</v>
      </c>
      <c r="J862" s="3">
        <v>57.95</v>
      </c>
      <c r="K862" s="3">
        <v>20</v>
      </c>
      <c r="L862" s="13">
        <f>YEAR(Weekly_Prices[[#This Row],[Date]])</f>
        <v>2019</v>
      </c>
      <c r="M862" s="13">
        <f>MONTH(Weekly_Prices[[#This Row],[Date]])</f>
        <v>12</v>
      </c>
      <c r="N862" s="3" t="str">
        <f>TEXT(Weekly_Prices[[#This Row],[Date]],"MMMM")</f>
        <v>December</v>
      </c>
      <c r="O862" s="3" t="str">
        <f>YEAR(Weekly_Prices[[#This Row],[Date]])&amp;"-"&amp;TEXT(WEEKNUM(Weekly_Prices[[#This Row],[Date]],2),"00")</f>
        <v>2019-49</v>
      </c>
    </row>
    <row r="863" spans="1:15" x14ac:dyDescent="0.35">
      <c r="A863" s="2">
        <v>43808</v>
      </c>
      <c r="B863" s="3">
        <v>124.748176</v>
      </c>
      <c r="C863" s="4">
        <f t="shared" si="52"/>
        <v>-6.0607000000004518E-2</v>
      </c>
      <c r="D863" s="4">
        <f t="shared" si="50"/>
        <v>2.3799669999999935</v>
      </c>
      <c r="E863" s="3">
        <v>57.95</v>
      </c>
      <c r="F863" s="3">
        <v>20</v>
      </c>
      <c r="G863" s="3">
        <v>129.79018500000001</v>
      </c>
      <c r="H863" s="4">
        <f t="shared" si="53"/>
        <v>-3.6479999999983193E-3</v>
      </c>
      <c r="I863" s="4">
        <f t="shared" si="51"/>
        <v>-2.7144049999999993</v>
      </c>
      <c r="J863" s="3">
        <v>57.95</v>
      </c>
      <c r="K863" s="3">
        <v>20</v>
      </c>
      <c r="L863" s="13">
        <f>YEAR(Weekly_Prices[[#This Row],[Date]])</f>
        <v>2019</v>
      </c>
      <c r="M863" s="13">
        <f>MONTH(Weekly_Prices[[#This Row],[Date]])</f>
        <v>12</v>
      </c>
      <c r="N863" s="3" t="str">
        <f>TEXT(Weekly_Prices[[#This Row],[Date]],"MMMM")</f>
        <v>December</v>
      </c>
      <c r="O863" s="3" t="str">
        <f>YEAR(Weekly_Prices[[#This Row],[Date]])&amp;"-"&amp;TEXT(WEEKNUM(Weekly_Prices[[#This Row],[Date]],2),"00")</f>
        <v>2019-50</v>
      </c>
    </row>
    <row r="864" spans="1:15" x14ac:dyDescent="0.35">
      <c r="A864" s="2">
        <v>43815</v>
      </c>
      <c r="B864" s="3">
        <v>124.32997</v>
      </c>
      <c r="C864" s="4">
        <f t="shared" si="52"/>
        <v>-0.41820599999999786</v>
      </c>
      <c r="D864" s="4">
        <f t="shared" si="50"/>
        <v>3.3055730000000096</v>
      </c>
      <c r="E864" s="3">
        <v>57.95</v>
      </c>
      <c r="F864" s="3">
        <v>20</v>
      </c>
      <c r="G864" s="3">
        <v>129.56176199999999</v>
      </c>
      <c r="H864" s="4">
        <f t="shared" si="53"/>
        <v>-0.22842300000002069</v>
      </c>
      <c r="I864" s="4">
        <f t="shared" si="51"/>
        <v>-1.6973560000000134</v>
      </c>
      <c r="J864" s="3">
        <v>57.95</v>
      </c>
      <c r="K864" s="3">
        <v>20</v>
      </c>
      <c r="L864" s="13">
        <f>YEAR(Weekly_Prices[[#This Row],[Date]])</f>
        <v>2019</v>
      </c>
      <c r="M864" s="13">
        <f>MONTH(Weekly_Prices[[#This Row],[Date]])</f>
        <v>12</v>
      </c>
      <c r="N864" s="3" t="str">
        <f>TEXT(Weekly_Prices[[#This Row],[Date]],"MMMM")</f>
        <v>December</v>
      </c>
      <c r="O864" s="3" t="str">
        <f>YEAR(Weekly_Prices[[#This Row],[Date]])&amp;"-"&amp;TEXT(WEEKNUM(Weekly_Prices[[#This Row],[Date]],2),"00")</f>
        <v>2019-51</v>
      </c>
    </row>
    <row r="865" spans="1:15" x14ac:dyDescent="0.35">
      <c r="A865" s="2">
        <v>43822</v>
      </c>
      <c r="B865" s="3">
        <v>124.15753999999998</v>
      </c>
      <c r="C865" s="4">
        <f t="shared" si="52"/>
        <v>-0.17243000000001985</v>
      </c>
      <c r="D865" s="4">
        <f t="shared" si="50"/>
        <v>3.5436979999999778</v>
      </c>
      <c r="E865" s="3">
        <v>57.95</v>
      </c>
      <c r="F865" s="3">
        <v>20</v>
      </c>
      <c r="G865" s="3">
        <v>129.81113200000001</v>
      </c>
      <c r="H865" s="4">
        <f t="shared" si="53"/>
        <v>0.2493700000000274</v>
      </c>
      <c r="I865" s="4">
        <f t="shared" si="51"/>
        <v>-1.0958209999999724</v>
      </c>
      <c r="J865" s="3">
        <v>57.95</v>
      </c>
      <c r="K865" s="3">
        <v>20</v>
      </c>
      <c r="L865" s="13">
        <f>YEAR(Weekly_Prices[[#This Row],[Date]])</f>
        <v>2019</v>
      </c>
      <c r="M865" s="13">
        <f>MONTH(Weekly_Prices[[#This Row],[Date]])</f>
        <v>12</v>
      </c>
      <c r="N865" s="3" t="str">
        <f>TEXT(Weekly_Prices[[#This Row],[Date]],"MMMM")</f>
        <v>December</v>
      </c>
      <c r="O865" s="3" t="str">
        <f>YEAR(Weekly_Prices[[#This Row],[Date]])&amp;"-"&amp;TEXT(WEEKNUM(Weekly_Prices[[#This Row],[Date]],2),"00")</f>
        <v>2019-52</v>
      </c>
    </row>
    <row r="866" spans="1:15" x14ac:dyDescent="0.35">
      <c r="A866" s="2">
        <v>43829</v>
      </c>
      <c r="B866" s="3">
        <v>124.96215100000001</v>
      </c>
      <c r="C866" s="4">
        <f t="shared" si="52"/>
        <v>0.80461100000002261</v>
      </c>
      <c r="D866" s="4">
        <f t="shared" si="50"/>
        <v>4.7830190000000101</v>
      </c>
      <c r="E866" s="3">
        <v>57.95</v>
      </c>
      <c r="F866" s="3">
        <v>20</v>
      </c>
      <c r="G866" s="3">
        <v>130.542046</v>
      </c>
      <c r="H866" s="4">
        <f t="shared" si="53"/>
        <v>0.7309139999999843</v>
      </c>
      <c r="I866" s="4">
        <f t="shared" si="51"/>
        <v>0.28344699999999534</v>
      </c>
      <c r="J866" s="3">
        <v>57.95</v>
      </c>
      <c r="K866" s="3">
        <v>20</v>
      </c>
      <c r="L866" s="13">
        <f>YEAR(Weekly_Prices[[#This Row],[Date]])</f>
        <v>2019</v>
      </c>
      <c r="M866" s="13">
        <f>MONTH(Weekly_Prices[[#This Row],[Date]])</f>
        <v>12</v>
      </c>
      <c r="N866" s="3" t="str">
        <f>TEXT(Weekly_Prices[[#This Row],[Date]],"MMMM")</f>
        <v>December</v>
      </c>
      <c r="O866" s="3" t="str">
        <f>YEAR(Weekly_Prices[[#This Row],[Date]])&amp;"-"&amp;TEXT(WEEKNUM(Weekly_Prices[[#This Row],[Date]],2),"00")</f>
        <v>2019-53</v>
      </c>
    </row>
    <row r="867" spans="1:15" x14ac:dyDescent="0.35">
      <c r="A867" s="2">
        <v>43836</v>
      </c>
      <c r="B867" s="3">
        <v>126.085869</v>
      </c>
      <c r="C867" s="4">
        <f t="shared" si="52"/>
        <v>1.1237179999999967</v>
      </c>
      <c r="D867" s="4">
        <f t="shared" si="50"/>
        <v>5.8110459999999904</v>
      </c>
      <c r="E867" s="3">
        <v>57.95</v>
      </c>
      <c r="F867" s="3">
        <v>20</v>
      </c>
      <c r="G867" s="3">
        <v>131.55515700000001</v>
      </c>
      <c r="H867" s="4">
        <f t="shared" si="53"/>
        <v>1.0131110000000092</v>
      </c>
      <c r="I867" s="4">
        <f t="shared" si="51"/>
        <v>1.2260489999999891</v>
      </c>
      <c r="J867" s="3">
        <v>57.95</v>
      </c>
      <c r="K867" s="3">
        <v>20</v>
      </c>
      <c r="L867" s="13">
        <f>YEAR(Weekly_Prices[[#This Row],[Date]])</f>
        <v>2020</v>
      </c>
      <c r="M867" s="13">
        <f>MONTH(Weekly_Prices[[#This Row],[Date]])</f>
        <v>1</v>
      </c>
      <c r="N867" s="3" t="str">
        <f>TEXT(Weekly_Prices[[#This Row],[Date]],"MMMM")</f>
        <v>January</v>
      </c>
      <c r="O867" s="3" t="str">
        <f>YEAR(Weekly_Prices[[#This Row],[Date]])&amp;"-"&amp;TEXT(WEEKNUM(Weekly_Prices[[#This Row],[Date]],2),"00")</f>
        <v>2020-02</v>
      </c>
    </row>
    <row r="868" spans="1:15" x14ac:dyDescent="0.35">
      <c r="A868" s="2">
        <v>43843</v>
      </c>
      <c r="B868" s="3">
        <v>127.16739200000001</v>
      </c>
      <c r="C868" s="4">
        <f t="shared" si="52"/>
        <v>1.0815230000000042</v>
      </c>
      <c r="D868" s="4">
        <f t="shared" si="50"/>
        <v>7.6413310000000081</v>
      </c>
      <c r="E868" s="3">
        <v>57.95</v>
      </c>
      <c r="F868" s="3">
        <v>20</v>
      </c>
      <c r="G868" s="3">
        <v>132.68823499999999</v>
      </c>
      <c r="H868" s="4">
        <f t="shared" si="53"/>
        <v>1.1330779999999834</v>
      </c>
      <c r="I868" s="4">
        <f t="shared" si="51"/>
        <v>3.2195440000000133</v>
      </c>
      <c r="J868" s="3">
        <v>57.95</v>
      </c>
      <c r="K868" s="3">
        <v>20</v>
      </c>
      <c r="L868" s="13">
        <f>YEAR(Weekly_Prices[[#This Row],[Date]])</f>
        <v>2020</v>
      </c>
      <c r="M868" s="13">
        <f>MONTH(Weekly_Prices[[#This Row],[Date]])</f>
        <v>1</v>
      </c>
      <c r="N868" s="3" t="str">
        <f>TEXT(Weekly_Prices[[#This Row],[Date]],"MMMM")</f>
        <v>January</v>
      </c>
      <c r="O868" s="3" t="str">
        <f>YEAR(Weekly_Prices[[#This Row],[Date]])&amp;"-"&amp;TEXT(WEEKNUM(Weekly_Prices[[#This Row],[Date]],2),"00")</f>
        <v>2020-03</v>
      </c>
    </row>
    <row r="869" spans="1:15" x14ac:dyDescent="0.35">
      <c r="A869" s="2">
        <v>43850</v>
      </c>
      <c r="B869" s="3">
        <v>127.177227</v>
      </c>
      <c r="C869" s="4">
        <f t="shared" si="52"/>
        <v>9.8349999999953752E-3</v>
      </c>
      <c r="D869" s="4">
        <f t="shared" si="50"/>
        <v>8.0563405849999867</v>
      </c>
      <c r="E869" s="3">
        <v>57.95</v>
      </c>
      <c r="F869" s="3">
        <v>20</v>
      </c>
      <c r="G869" s="3">
        <v>132.739754</v>
      </c>
      <c r="H869" s="4">
        <f t="shared" si="53"/>
        <v>5.1519000000013193E-2</v>
      </c>
      <c r="I869" s="4">
        <f t="shared" si="51"/>
        <v>3.8172096639999893</v>
      </c>
      <c r="J869" s="3">
        <v>57.95</v>
      </c>
      <c r="K869" s="3">
        <v>20</v>
      </c>
      <c r="L869" s="13">
        <f>YEAR(Weekly_Prices[[#This Row],[Date]])</f>
        <v>2020</v>
      </c>
      <c r="M869" s="13">
        <f>MONTH(Weekly_Prices[[#This Row],[Date]])</f>
        <v>1</v>
      </c>
      <c r="N869" s="3" t="str">
        <f>TEXT(Weekly_Prices[[#This Row],[Date]],"MMMM")</f>
        <v>January</v>
      </c>
      <c r="O869" s="3" t="str">
        <f>YEAR(Weekly_Prices[[#This Row],[Date]])&amp;"-"&amp;TEXT(WEEKNUM(Weekly_Prices[[#This Row],[Date]],2),"00")</f>
        <v>2020-04</v>
      </c>
    </row>
    <row r="870" spans="1:15" x14ac:dyDescent="0.35">
      <c r="A870" s="2">
        <v>43857</v>
      </c>
      <c r="B870" s="3">
        <v>127.33458900000001</v>
      </c>
      <c r="C870" s="4">
        <f t="shared" si="52"/>
        <v>0.15736200000000622</v>
      </c>
      <c r="D870" s="4">
        <f t="shared" si="50"/>
        <v>8.0458339019999983</v>
      </c>
      <c r="E870" s="3">
        <v>57.95</v>
      </c>
      <c r="F870" s="3">
        <v>20</v>
      </c>
      <c r="G870" s="3">
        <v>132.88088099999999</v>
      </c>
      <c r="H870" s="4">
        <f t="shared" si="53"/>
        <v>0.14112699999998313</v>
      </c>
      <c r="I870" s="4">
        <f t="shared" si="51"/>
        <v>3.7840304160000073</v>
      </c>
      <c r="J870" s="3">
        <v>57.95</v>
      </c>
      <c r="K870" s="3">
        <v>20</v>
      </c>
      <c r="L870" s="13">
        <f>YEAR(Weekly_Prices[[#This Row],[Date]])</f>
        <v>2020</v>
      </c>
      <c r="M870" s="13">
        <f>MONTH(Weekly_Prices[[#This Row],[Date]])</f>
        <v>1</v>
      </c>
      <c r="N870" s="3" t="str">
        <f>TEXT(Weekly_Prices[[#This Row],[Date]],"MMMM")</f>
        <v>January</v>
      </c>
      <c r="O870" s="3" t="str">
        <f>YEAR(Weekly_Prices[[#This Row],[Date]])&amp;"-"&amp;TEXT(WEEKNUM(Weekly_Prices[[#This Row],[Date]],2),"00")</f>
        <v>2020-05</v>
      </c>
    </row>
    <row r="871" spans="1:15" x14ac:dyDescent="0.35">
      <c r="A871" s="2">
        <v>43864</v>
      </c>
      <c r="B871" s="3">
        <v>125.84808699999999</v>
      </c>
      <c r="C871" s="4">
        <f t="shared" si="52"/>
        <v>-1.4865020000000158</v>
      </c>
      <c r="D871" s="4">
        <f t="shared" si="50"/>
        <v>6.7214529999999826</v>
      </c>
      <c r="E871" s="3">
        <v>57.95</v>
      </c>
      <c r="F871" s="3">
        <v>20</v>
      </c>
      <c r="G871" s="3">
        <v>131.475672</v>
      </c>
      <c r="H871" s="4">
        <f t="shared" si="53"/>
        <v>-1.4052089999999851</v>
      </c>
      <c r="I871" s="4">
        <f t="shared" si="51"/>
        <v>2.3425950000000171</v>
      </c>
      <c r="J871" s="3">
        <v>57.95</v>
      </c>
      <c r="K871" s="3">
        <v>20</v>
      </c>
      <c r="L871" s="13">
        <f>YEAR(Weekly_Prices[[#This Row],[Date]])</f>
        <v>2020</v>
      </c>
      <c r="M871" s="13">
        <f>MONTH(Weekly_Prices[[#This Row],[Date]])</f>
        <v>2</v>
      </c>
      <c r="N871" s="3" t="str">
        <f>TEXT(Weekly_Prices[[#This Row],[Date]],"MMMM")</f>
        <v>February</v>
      </c>
      <c r="O871" s="3" t="str">
        <f>YEAR(Weekly_Prices[[#This Row],[Date]])&amp;"-"&amp;TEXT(WEEKNUM(Weekly_Prices[[#This Row],[Date]],2),"00")</f>
        <v>2020-06</v>
      </c>
    </row>
    <row r="872" spans="1:15" x14ac:dyDescent="0.35">
      <c r="A872" s="2">
        <v>43871</v>
      </c>
      <c r="B872" s="3">
        <v>124.72935999999999</v>
      </c>
      <c r="C872" s="4">
        <f t="shared" si="52"/>
        <v>-1.1187270000000069</v>
      </c>
      <c r="D872" s="4">
        <f t="shared" si="50"/>
        <v>5.7617949999999922</v>
      </c>
      <c r="E872" s="3">
        <v>57.95</v>
      </c>
      <c r="F872" s="3">
        <v>20</v>
      </c>
      <c r="G872" s="3">
        <v>129.70444699999999</v>
      </c>
      <c r="H872" s="4">
        <f t="shared" si="53"/>
        <v>-1.7712250000000154</v>
      </c>
      <c r="I872" s="4">
        <f t="shared" si="51"/>
        <v>0.53257600000000593</v>
      </c>
      <c r="J872" s="3">
        <v>57.95</v>
      </c>
      <c r="K872" s="3">
        <v>20</v>
      </c>
      <c r="L872" s="13">
        <f>YEAR(Weekly_Prices[[#This Row],[Date]])</f>
        <v>2020</v>
      </c>
      <c r="M872" s="13">
        <f>MONTH(Weekly_Prices[[#This Row],[Date]])</f>
        <v>2</v>
      </c>
      <c r="N872" s="3" t="str">
        <f>TEXT(Weekly_Prices[[#This Row],[Date]],"MMMM")</f>
        <v>February</v>
      </c>
      <c r="O872" s="3" t="str">
        <f>YEAR(Weekly_Prices[[#This Row],[Date]])&amp;"-"&amp;TEXT(WEEKNUM(Weekly_Prices[[#This Row],[Date]],2),"00")</f>
        <v>2020-07</v>
      </c>
    </row>
    <row r="873" spans="1:15" x14ac:dyDescent="0.35">
      <c r="A873" s="2">
        <v>43878</v>
      </c>
      <c r="B873" s="3">
        <v>123.796075</v>
      </c>
      <c r="C873" s="4">
        <f t="shared" si="52"/>
        <v>-0.93328499999998371</v>
      </c>
      <c r="D873" s="4">
        <f t="shared" si="50"/>
        <v>4.746752000000015</v>
      </c>
      <c r="E873" s="3">
        <v>57.95</v>
      </c>
      <c r="F873" s="3">
        <v>20</v>
      </c>
      <c r="G873" s="3">
        <v>128.20284899999999</v>
      </c>
      <c r="H873" s="4">
        <f t="shared" si="53"/>
        <v>-1.5015980000000013</v>
      </c>
      <c r="I873" s="4">
        <f t="shared" si="51"/>
        <v>-1.0295900000000131</v>
      </c>
      <c r="J873" s="3">
        <v>57.95</v>
      </c>
      <c r="K873" s="3">
        <v>20</v>
      </c>
      <c r="L873" s="13">
        <f>YEAR(Weekly_Prices[[#This Row],[Date]])</f>
        <v>2020</v>
      </c>
      <c r="M873" s="13">
        <f>MONTH(Weekly_Prices[[#This Row],[Date]])</f>
        <v>2</v>
      </c>
      <c r="N873" s="3" t="str">
        <f>TEXT(Weekly_Prices[[#This Row],[Date]],"MMMM")</f>
        <v>February</v>
      </c>
      <c r="O873" s="3" t="str">
        <f>YEAR(Weekly_Prices[[#This Row],[Date]])&amp;"-"&amp;TEXT(WEEKNUM(Weekly_Prices[[#This Row],[Date]],2),"00")</f>
        <v>2020-08</v>
      </c>
    </row>
    <row r="874" spans="1:15" x14ac:dyDescent="0.35">
      <c r="A874" s="2">
        <v>43885</v>
      </c>
      <c r="B874" s="3">
        <v>123.44644915299999</v>
      </c>
      <c r="C874" s="4">
        <f t="shared" si="52"/>
        <v>-0.34962584700001287</v>
      </c>
      <c r="D874" s="4">
        <f t="shared" si="50"/>
        <v>4.2246911529999949</v>
      </c>
      <c r="E874" s="3">
        <v>57.95</v>
      </c>
      <c r="F874" s="3">
        <v>20</v>
      </c>
      <c r="G874" s="3">
        <v>127.67442647200001</v>
      </c>
      <c r="H874" s="4">
        <f t="shared" si="53"/>
        <v>-0.5284225279999788</v>
      </c>
      <c r="I874" s="4">
        <f t="shared" si="51"/>
        <v>-1.9882465280000048</v>
      </c>
      <c r="J874" s="3">
        <v>57.95</v>
      </c>
      <c r="K874" s="3">
        <v>20</v>
      </c>
      <c r="L874" s="13">
        <f>YEAR(Weekly_Prices[[#This Row],[Date]])</f>
        <v>2020</v>
      </c>
      <c r="M874" s="13">
        <f>MONTH(Weekly_Prices[[#This Row],[Date]])</f>
        <v>2</v>
      </c>
      <c r="N874" s="3" t="str">
        <f>TEXT(Weekly_Prices[[#This Row],[Date]],"MMMM")</f>
        <v>February</v>
      </c>
      <c r="O874" s="3" t="str">
        <f>YEAR(Weekly_Prices[[#This Row],[Date]])&amp;"-"&amp;TEXT(WEEKNUM(Weekly_Prices[[#This Row],[Date]],2),"00")</f>
        <v>2020-09</v>
      </c>
    </row>
    <row r="875" spans="1:15" x14ac:dyDescent="0.35">
      <c r="A875" s="2">
        <v>43892</v>
      </c>
      <c r="B875" s="3">
        <v>122.43127200000001</v>
      </c>
      <c r="C875" s="4">
        <f t="shared" si="52"/>
        <v>-1.015177152999982</v>
      </c>
      <c r="D875" s="4">
        <f t="shared" si="50"/>
        <v>2.7103510000000028</v>
      </c>
      <c r="E875" s="3">
        <v>57.95</v>
      </c>
      <c r="F875" s="3">
        <v>20</v>
      </c>
      <c r="G875" s="3">
        <v>126.62246399999999</v>
      </c>
      <c r="H875" s="4">
        <f t="shared" si="53"/>
        <v>-1.0519624720000138</v>
      </c>
      <c r="I875" s="4">
        <f t="shared" si="51"/>
        <v>-3.6284470000000084</v>
      </c>
      <c r="J875" s="3">
        <v>57.95</v>
      </c>
      <c r="K875" s="3">
        <v>20</v>
      </c>
      <c r="L875" s="13">
        <f>YEAR(Weekly_Prices[[#This Row],[Date]])</f>
        <v>2020</v>
      </c>
      <c r="M875" s="13">
        <f>MONTH(Weekly_Prices[[#This Row],[Date]])</f>
        <v>3</v>
      </c>
      <c r="N875" s="3" t="str">
        <f>TEXT(Weekly_Prices[[#This Row],[Date]],"MMMM")</f>
        <v>March</v>
      </c>
      <c r="O875" s="3" t="str">
        <f>YEAR(Weekly_Prices[[#This Row],[Date]])&amp;"-"&amp;TEXT(WEEKNUM(Weekly_Prices[[#This Row],[Date]],2),"00")</f>
        <v>2020-10</v>
      </c>
    </row>
    <row r="876" spans="1:15" x14ac:dyDescent="0.35">
      <c r="A876" s="2">
        <v>43899</v>
      </c>
      <c r="B876" s="3">
        <v>122.24398099999999</v>
      </c>
      <c r="C876" s="4">
        <f t="shared" si="52"/>
        <v>-0.18729100000001608</v>
      </c>
      <c r="D876" s="4">
        <f t="shared" si="50"/>
        <v>2.1395462169999888</v>
      </c>
      <c r="E876" s="3">
        <v>57.95</v>
      </c>
      <c r="F876" s="3">
        <v>20</v>
      </c>
      <c r="G876" s="3">
        <v>126.25264799999999</v>
      </c>
      <c r="H876" s="4">
        <f t="shared" si="53"/>
        <v>-0.36981600000000014</v>
      </c>
      <c r="I876" s="4">
        <f t="shared" si="51"/>
        <v>-4.3392184239999949</v>
      </c>
      <c r="J876" s="3">
        <v>57.95</v>
      </c>
      <c r="K876" s="3">
        <v>20</v>
      </c>
      <c r="L876" s="13">
        <f>YEAR(Weekly_Prices[[#This Row],[Date]])</f>
        <v>2020</v>
      </c>
      <c r="M876" s="13">
        <f>MONTH(Weekly_Prices[[#This Row],[Date]])</f>
        <v>3</v>
      </c>
      <c r="N876" s="3" t="str">
        <f>TEXT(Weekly_Prices[[#This Row],[Date]],"MMMM")</f>
        <v>March</v>
      </c>
      <c r="O876" s="3" t="str">
        <f>YEAR(Weekly_Prices[[#This Row],[Date]])&amp;"-"&amp;TEXT(WEEKNUM(Weekly_Prices[[#This Row],[Date]],2),"00")</f>
        <v>2020-11</v>
      </c>
    </row>
    <row r="877" spans="1:15" x14ac:dyDescent="0.35">
      <c r="A877" s="2">
        <v>43906</v>
      </c>
      <c r="B877" s="3">
        <v>120.328169</v>
      </c>
      <c r="C877" s="4">
        <f t="shared" si="52"/>
        <v>-1.9158119999999883</v>
      </c>
      <c r="D877" s="4">
        <f t="shared" si="50"/>
        <v>-0.14690699999998458</v>
      </c>
      <c r="E877" s="3">
        <v>57.95</v>
      </c>
      <c r="F877" s="3">
        <v>20</v>
      </c>
      <c r="G877" s="3">
        <v>124.363474</v>
      </c>
      <c r="H877" s="4">
        <f t="shared" si="53"/>
        <v>-1.889173999999997</v>
      </c>
      <c r="I877" s="4">
        <f t="shared" si="51"/>
        <v>-6.4887760000000014</v>
      </c>
      <c r="J877" s="3">
        <v>57.95</v>
      </c>
      <c r="K877" s="3">
        <v>20</v>
      </c>
      <c r="L877" s="13">
        <f>YEAR(Weekly_Prices[[#This Row],[Date]])</f>
        <v>2020</v>
      </c>
      <c r="M877" s="13">
        <f>MONTH(Weekly_Prices[[#This Row],[Date]])</f>
        <v>3</v>
      </c>
      <c r="N877" s="3" t="str">
        <f>TEXT(Weekly_Prices[[#This Row],[Date]],"MMMM")</f>
        <v>March</v>
      </c>
      <c r="O877" s="3" t="str">
        <f>YEAR(Weekly_Prices[[#This Row],[Date]])&amp;"-"&amp;TEXT(WEEKNUM(Weekly_Prices[[#This Row],[Date]],2),"00")</f>
        <v>2020-12</v>
      </c>
    </row>
    <row r="878" spans="1:15" x14ac:dyDescent="0.35">
      <c r="A878" s="2">
        <v>43913</v>
      </c>
      <c r="B878" s="3">
        <v>119.64450399999998</v>
      </c>
      <c r="C878" s="4">
        <f t="shared" si="52"/>
        <v>-0.68366500000001906</v>
      </c>
      <c r="D878" s="4">
        <f t="shared" si="50"/>
        <v>-1.1894860000000307</v>
      </c>
      <c r="E878" s="3">
        <v>57.95</v>
      </c>
      <c r="F878" s="3">
        <v>20</v>
      </c>
      <c r="G878" s="3">
        <v>123.40948499999999</v>
      </c>
      <c r="H878" s="4">
        <f t="shared" si="53"/>
        <v>-0.95398900000000708</v>
      </c>
      <c r="I878" s="4">
        <f t="shared" si="51"/>
        <v>-7.7426470000000052</v>
      </c>
      <c r="J878" s="3">
        <v>57.95</v>
      </c>
      <c r="K878" s="3">
        <v>20</v>
      </c>
      <c r="L878" s="13">
        <f>YEAR(Weekly_Prices[[#This Row],[Date]])</f>
        <v>2020</v>
      </c>
      <c r="M878" s="13">
        <f>MONTH(Weekly_Prices[[#This Row],[Date]])</f>
        <v>3</v>
      </c>
      <c r="N878" s="3" t="str">
        <f>TEXT(Weekly_Prices[[#This Row],[Date]],"MMMM")</f>
        <v>March</v>
      </c>
      <c r="O878" s="3" t="str">
        <f>YEAR(Weekly_Prices[[#This Row],[Date]])&amp;"-"&amp;TEXT(WEEKNUM(Weekly_Prices[[#This Row],[Date]],2),"00")</f>
        <v>2020-13</v>
      </c>
    </row>
    <row r="879" spans="1:15" x14ac:dyDescent="0.35">
      <c r="A879" s="2">
        <v>43920</v>
      </c>
      <c r="B879" s="3">
        <v>112.452709</v>
      </c>
      <c r="C879" s="4">
        <f t="shared" si="52"/>
        <v>-7.1917949999999848</v>
      </c>
      <c r="D879" s="4">
        <f t="shared" si="50"/>
        <v>-9.2512934459999911</v>
      </c>
      <c r="E879" s="3">
        <v>57.95</v>
      </c>
      <c r="F879" s="3">
        <v>20</v>
      </c>
      <c r="G879" s="3">
        <v>118.59799800000002</v>
      </c>
      <c r="H879" s="4">
        <f t="shared" si="53"/>
        <v>-4.8114869999999712</v>
      </c>
      <c r="I879" s="4">
        <f t="shared" si="51"/>
        <v>-12.885968208000008</v>
      </c>
      <c r="J879" s="3">
        <v>57.95</v>
      </c>
      <c r="K879" s="3">
        <v>20</v>
      </c>
      <c r="L879" s="13">
        <f>YEAR(Weekly_Prices[[#This Row],[Date]])</f>
        <v>2020</v>
      </c>
      <c r="M879" s="13">
        <f>MONTH(Weekly_Prices[[#This Row],[Date]])</f>
        <v>3</v>
      </c>
      <c r="N879" s="3" t="str">
        <f>TEXT(Weekly_Prices[[#This Row],[Date]],"MMMM")</f>
        <v>March</v>
      </c>
      <c r="O879" s="3" t="str">
        <f>YEAR(Weekly_Prices[[#This Row],[Date]])&amp;"-"&amp;TEXT(WEEKNUM(Weekly_Prices[[#This Row],[Date]],2),"00")</f>
        <v>2020-14</v>
      </c>
    </row>
    <row r="880" spans="1:15" x14ac:dyDescent="0.35">
      <c r="A880" s="2">
        <v>43927</v>
      </c>
      <c r="B880" s="3">
        <v>110.234797</v>
      </c>
      <c r="C880" s="4">
        <f t="shared" si="52"/>
        <v>-2.2179119999999983</v>
      </c>
      <c r="D880" s="4">
        <f t="shared" si="50"/>
        <v>-12.430019999999999</v>
      </c>
      <c r="E880" s="3">
        <v>57.95</v>
      </c>
      <c r="F880" s="3">
        <v>20</v>
      </c>
      <c r="G880" s="3">
        <v>116.833354</v>
      </c>
      <c r="H880" s="4">
        <f t="shared" si="53"/>
        <v>-1.7646440000000183</v>
      </c>
      <c r="I880" s="4">
        <f t="shared" si="51"/>
        <v>-15.250892000000007</v>
      </c>
      <c r="J880" s="3">
        <v>57.95</v>
      </c>
      <c r="K880" s="3">
        <v>20</v>
      </c>
      <c r="L880" s="13">
        <f>YEAR(Weekly_Prices[[#This Row],[Date]])</f>
        <v>2020</v>
      </c>
      <c r="M880" s="13">
        <f>MONTH(Weekly_Prices[[#This Row],[Date]])</f>
        <v>4</v>
      </c>
      <c r="N880" s="3" t="str">
        <f>TEXT(Weekly_Prices[[#This Row],[Date]],"MMMM")</f>
        <v>April</v>
      </c>
      <c r="O880" s="3" t="str">
        <f>YEAR(Weekly_Prices[[#This Row],[Date]])&amp;"-"&amp;TEXT(WEEKNUM(Weekly_Prices[[#This Row],[Date]],2),"00")</f>
        <v>2020-15</v>
      </c>
    </row>
    <row r="881" spans="1:15" x14ac:dyDescent="0.35">
      <c r="A881" s="2">
        <v>43934</v>
      </c>
      <c r="B881" s="3">
        <v>109.26581899999999</v>
      </c>
      <c r="C881" s="4">
        <f t="shared" si="52"/>
        <v>-0.968978000000007</v>
      </c>
      <c r="D881" s="4">
        <f t="shared" si="50"/>
        <v>-14.789688000000012</v>
      </c>
      <c r="E881" s="3">
        <v>57.95</v>
      </c>
      <c r="F881" s="3">
        <v>20</v>
      </c>
      <c r="G881" s="3">
        <v>116.150812</v>
      </c>
      <c r="H881" s="4">
        <f t="shared" si="53"/>
        <v>-0.68254199999999798</v>
      </c>
      <c r="I881" s="4">
        <f t="shared" si="51"/>
        <v>-16.812765999999982</v>
      </c>
      <c r="J881" s="3">
        <v>57.95</v>
      </c>
      <c r="K881" s="3">
        <v>20</v>
      </c>
      <c r="L881" s="13">
        <f>YEAR(Weekly_Prices[[#This Row],[Date]])</f>
        <v>2020</v>
      </c>
      <c r="M881" s="13">
        <f>MONTH(Weekly_Prices[[#This Row],[Date]])</f>
        <v>4</v>
      </c>
      <c r="N881" s="3" t="str">
        <f>TEXT(Weekly_Prices[[#This Row],[Date]],"MMMM")</f>
        <v>April</v>
      </c>
      <c r="O881" s="3" t="str">
        <f>YEAR(Weekly_Prices[[#This Row],[Date]])&amp;"-"&amp;TEXT(WEEKNUM(Weekly_Prices[[#This Row],[Date]],2),"00")</f>
        <v>2020-16</v>
      </c>
    </row>
    <row r="882" spans="1:15" x14ac:dyDescent="0.35">
      <c r="A882" s="2">
        <v>43941</v>
      </c>
      <c r="B882" s="3">
        <v>108.63274699999999</v>
      </c>
      <c r="C882" s="4">
        <f t="shared" si="52"/>
        <v>-0.63307199999999852</v>
      </c>
      <c r="D882" s="4">
        <f t="shared" si="50"/>
        <v>-16.796422000000007</v>
      </c>
      <c r="E882" s="3">
        <v>57.95</v>
      </c>
      <c r="F882" s="3">
        <v>20</v>
      </c>
      <c r="G882" s="3">
        <v>115.732573</v>
      </c>
      <c r="H882" s="4">
        <f t="shared" si="53"/>
        <v>-0.41823899999999981</v>
      </c>
      <c r="I882" s="4">
        <f t="shared" si="51"/>
        <v>-18.260471999999993</v>
      </c>
      <c r="J882" s="3">
        <v>57.95</v>
      </c>
      <c r="K882" s="3">
        <v>20</v>
      </c>
      <c r="L882" s="13">
        <f>YEAR(Weekly_Prices[[#This Row],[Date]])</f>
        <v>2020</v>
      </c>
      <c r="M882" s="13">
        <f>MONTH(Weekly_Prices[[#This Row],[Date]])</f>
        <v>4</v>
      </c>
      <c r="N882" s="3" t="str">
        <f>TEXT(Weekly_Prices[[#This Row],[Date]],"MMMM")</f>
        <v>April</v>
      </c>
      <c r="O882" s="3" t="str">
        <f>YEAR(Weekly_Prices[[#This Row],[Date]])&amp;"-"&amp;TEXT(WEEKNUM(Weekly_Prices[[#This Row],[Date]],2),"00")</f>
        <v>2020-17</v>
      </c>
    </row>
    <row r="883" spans="1:15" x14ac:dyDescent="0.35">
      <c r="A883" s="2">
        <v>43948</v>
      </c>
      <c r="B883" s="3">
        <v>107.87505999999999</v>
      </c>
      <c r="C883" s="4">
        <f t="shared" si="52"/>
        <v>-0.75768700000000422</v>
      </c>
      <c r="D883" s="4">
        <f t="shared" si="50"/>
        <v>-18.485583000000005</v>
      </c>
      <c r="E883" s="3">
        <v>57.95</v>
      </c>
      <c r="F883" s="3">
        <v>20</v>
      </c>
      <c r="G883" s="3">
        <v>115.21615199999999</v>
      </c>
      <c r="H883" s="4">
        <f t="shared" si="53"/>
        <v>-0.51642100000000823</v>
      </c>
      <c r="I883" s="4">
        <f t="shared" si="51"/>
        <v>-19.387759999999986</v>
      </c>
      <c r="J883" s="3">
        <v>57.95</v>
      </c>
      <c r="K883" s="3">
        <v>20</v>
      </c>
      <c r="L883" s="13">
        <f>YEAR(Weekly_Prices[[#This Row],[Date]])</f>
        <v>2020</v>
      </c>
      <c r="M883" s="13">
        <f>MONTH(Weekly_Prices[[#This Row],[Date]])</f>
        <v>4</v>
      </c>
      <c r="N883" s="3" t="str">
        <f>TEXT(Weekly_Prices[[#This Row],[Date]],"MMMM")</f>
        <v>April</v>
      </c>
      <c r="O883" s="3" t="str">
        <f>YEAR(Weekly_Prices[[#This Row],[Date]])&amp;"-"&amp;TEXT(WEEKNUM(Weekly_Prices[[#This Row],[Date]],2),"00")</f>
        <v>2020-18</v>
      </c>
    </row>
    <row r="884" spans="1:15" x14ac:dyDescent="0.35">
      <c r="A884" s="2">
        <v>43955</v>
      </c>
      <c r="B884" s="3">
        <v>107.55538900000002</v>
      </c>
      <c r="C884" s="4">
        <f t="shared" si="52"/>
        <v>-0.31967099999997117</v>
      </c>
      <c r="D884" s="4">
        <f t="shared" si="50"/>
        <v>-19.941859999999991</v>
      </c>
      <c r="E884" s="3">
        <v>57.95</v>
      </c>
      <c r="F884" s="3">
        <v>20</v>
      </c>
      <c r="G884" s="3">
        <v>114.93898399999999</v>
      </c>
      <c r="H884" s="4">
        <f t="shared" si="53"/>
        <v>-0.27716800000000319</v>
      </c>
      <c r="I884" s="4">
        <f t="shared" si="51"/>
        <v>-20.468478999999988</v>
      </c>
      <c r="J884" s="3">
        <v>57.95</v>
      </c>
      <c r="K884" s="3">
        <v>20</v>
      </c>
      <c r="L884" s="13">
        <f>YEAR(Weekly_Prices[[#This Row],[Date]])</f>
        <v>2020</v>
      </c>
      <c r="M884" s="13">
        <f>MONTH(Weekly_Prices[[#This Row],[Date]])</f>
        <v>5</v>
      </c>
      <c r="N884" s="3" t="str">
        <f>TEXT(Weekly_Prices[[#This Row],[Date]],"MMMM")</f>
        <v>May</v>
      </c>
      <c r="O884" s="3" t="str">
        <f>YEAR(Weekly_Prices[[#This Row],[Date]])&amp;"-"&amp;TEXT(WEEKNUM(Weekly_Prices[[#This Row],[Date]],2),"00")</f>
        <v>2020-19</v>
      </c>
    </row>
    <row r="885" spans="1:15" x14ac:dyDescent="0.35">
      <c r="A885" s="2">
        <v>43962</v>
      </c>
      <c r="B885" s="3">
        <v>107.45436000000001</v>
      </c>
      <c r="C885" s="4">
        <f t="shared" si="52"/>
        <v>-0.10102900000001114</v>
      </c>
      <c r="D885" s="4">
        <f t="shared" si="50"/>
        <v>-20.516609000000003</v>
      </c>
      <c r="E885" s="3">
        <v>57.95</v>
      </c>
      <c r="F885" s="3">
        <v>20</v>
      </c>
      <c r="G885" s="3">
        <v>114.827827</v>
      </c>
      <c r="H885" s="4">
        <f t="shared" si="53"/>
        <v>-0.11115699999999151</v>
      </c>
      <c r="I885" s="4">
        <f t="shared" si="51"/>
        <v>-20.530934999999985</v>
      </c>
      <c r="J885" s="3">
        <v>57.95</v>
      </c>
      <c r="K885" s="3">
        <v>20</v>
      </c>
      <c r="L885" s="13">
        <f>YEAR(Weekly_Prices[[#This Row],[Date]])</f>
        <v>2020</v>
      </c>
      <c r="M885" s="13">
        <f>MONTH(Weekly_Prices[[#This Row],[Date]])</f>
        <v>5</v>
      </c>
      <c r="N885" s="3" t="str">
        <f>TEXT(Weekly_Prices[[#This Row],[Date]],"MMMM")</f>
        <v>May</v>
      </c>
      <c r="O885" s="3" t="str">
        <f>YEAR(Weekly_Prices[[#This Row],[Date]])&amp;"-"&amp;TEXT(WEEKNUM(Weekly_Prices[[#This Row],[Date]],2),"00")</f>
        <v>2020-20</v>
      </c>
    </row>
    <row r="886" spans="1:15" x14ac:dyDescent="0.35">
      <c r="A886" s="2">
        <v>43969</v>
      </c>
      <c r="B886" s="3">
        <v>105.093524</v>
      </c>
      <c r="C886" s="4">
        <f t="shared" si="52"/>
        <v>-2.3608360000000062</v>
      </c>
      <c r="D886" s="4">
        <f t="shared" si="50"/>
        <v>-23.415808999999996</v>
      </c>
      <c r="E886" s="3">
        <v>57.95</v>
      </c>
      <c r="F886" s="3">
        <v>20</v>
      </c>
      <c r="G886" s="3">
        <v>112.22185500000001</v>
      </c>
      <c r="H886" s="4">
        <f t="shared" si="53"/>
        <v>-2.6059719999999942</v>
      </c>
      <c r="I886" s="4">
        <f t="shared" si="51"/>
        <v>-23.60071099999999</v>
      </c>
      <c r="J886" s="3">
        <v>57.95</v>
      </c>
      <c r="K886" s="3">
        <v>20</v>
      </c>
      <c r="L886" s="13">
        <f>YEAR(Weekly_Prices[[#This Row],[Date]])</f>
        <v>2020</v>
      </c>
      <c r="M886" s="13">
        <f>MONTH(Weekly_Prices[[#This Row],[Date]])</f>
        <v>5</v>
      </c>
      <c r="N886" s="3" t="str">
        <f>TEXT(Weekly_Prices[[#This Row],[Date]],"MMMM")</f>
        <v>May</v>
      </c>
      <c r="O886" s="3" t="str">
        <f>YEAR(Weekly_Prices[[#This Row],[Date]])&amp;"-"&amp;TEXT(WEEKNUM(Weekly_Prices[[#This Row],[Date]],2),"00")</f>
        <v>2020-21</v>
      </c>
    </row>
    <row r="887" spans="1:15" x14ac:dyDescent="0.35">
      <c r="A887" s="2">
        <v>43976</v>
      </c>
      <c r="B887" s="3">
        <v>104.869348</v>
      </c>
      <c r="C887" s="4">
        <f t="shared" si="52"/>
        <v>-0.22417599999999993</v>
      </c>
      <c r="D887" s="4">
        <f t="shared" ref="D887:D950" si="54">B887-B835</f>
        <v>-24.273221000000007</v>
      </c>
      <c r="E887" s="3">
        <v>57.95</v>
      </c>
      <c r="F887" s="3">
        <v>20</v>
      </c>
      <c r="G887" s="3">
        <v>111.70437499999998</v>
      </c>
      <c r="H887" s="4">
        <f t="shared" si="53"/>
        <v>-0.51748000000002037</v>
      </c>
      <c r="I887" s="4">
        <f t="shared" ref="I887:I950" si="55">G887-G835</f>
        <v>-24.742008000000013</v>
      </c>
      <c r="J887" s="3">
        <v>57.95</v>
      </c>
      <c r="K887" s="3">
        <v>20</v>
      </c>
      <c r="L887" s="13">
        <f>YEAR(Weekly_Prices[[#This Row],[Date]])</f>
        <v>2020</v>
      </c>
      <c r="M887" s="13">
        <f>MONTH(Weekly_Prices[[#This Row],[Date]])</f>
        <v>5</v>
      </c>
      <c r="N887" s="3" t="str">
        <f>TEXT(Weekly_Prices[[#This Row],[Date]],"MMMM")</f>
        <v>May</v>
      </c>
      <c r="O887" s="3" t="str">
        <f>YEAR(Weekly_Prices[[#This Row],[Date]])&amp;"-"&amp;TEXT(WEEKNUM(Weekly_Prices[[#This Row],[Date]],2),"00")</f>
        <v>2020-22</v>
      </c>
    </row>
    <row r="888" spans="1:15" x14ac:dyDescent="0.35">
      <c r="A888" s="2">
        <v>43983</v>
      </c>
      <c r="B888" s="3">
        <v>105.17289400000001</v>
      </c>
      <c r="C888" s="4">
        <f t="shared" si="52"/>
        <v>0.30354600000001142</v>
      </c>
      <c r="D888" s="4">
        <f t="shared" si="54"/>
        <v>-24.234311999999989</v>
      </c>
      <c r="E888" s="3">
        <v>57.95</v>
      </c>
      <c r="F888" s="3">
        <v>20</v>
      </c>
      <c r="G888" s="3">
        <v>111.76470599999999</v>
      </c>
      <c r="H888" s="4">
        <f t="shared" si="53"/>
        <v>6.033100000000502E-2</v>
      </c>
      <c r="I888" s="4">
        <f t="shared" si="55"/>
        <v>-24.628847000000007</v>
      </c>
      <c r="J888" s="3">
        <v>57.95</v>
      </c>
      <c r="K888" s="3">
        <v>20</v>
      </c>
      <c r="L888" s="13">
        <f>YEAR(Weekly_Prices[[#This Row],[Date]])</f>
        <v>2020</v>
      </c>
      <c r="M888" s="13">
        <f>MONTH(Weekly_Prices[[#This Row],[Date]])</f>
        <v>6</v>
      </c>
      <c r="N888" s="3" t="str">
        <f>TEXT(Weekly_Prices[[#This Row],[Date]],"MMMM")</f>
        <v>June</v>
      </c>
      <c r="O888" s="3" t="str">
        <f>YEAR(Weekly_Prices[[#This Row],[Date]])&amp;"-"&amp;TEXT(WEEKNUM(Weekly_Prices[[#This Row],[Date]],2),"00")</f>
        <v>2020-23</v>
      </c>
    </row>
    <row r="889" spans="1:15" x14ac:dyDescent="0.35">
      <c r="A889" s="2">
        <v>43990</v>
      </c>
      <c r="B889" s="3">
        <v>105.73600500000001</v>
      </c>
      <c r="C889" s="4">
        <f t="shared" si="52"/>
        <v>0.56311099999999215</v>
      </c>
      <c r="D889" s="4">
        <f t="shared" si="54"/>
        <v>-23.149663000000004</v>
      </c>
      <c r="E889" s="3">
        <v>57.95</v>
      </c>
      <c r="F889" s="3">
        <v>20</v>
      </c>
      <c r="G889" s="3">
        <v>111.98127599999998</v>
      </c>
      <c r="H889" s="4">
        <f t="shared" si="53"/>
        <v>0.21656999999999016</v>
      </c>
      <c r="I889" s="4">
        <f t="shared" si="55"/>
        <v>-23.420424000000025</v>
      </c>
      <c r="J889" s="3">
        <v>57.95</v>
      </c>
      <c r="K889" s="3">
        <v>20</v>
      </c>
      <c r="L889" s="13">
        <f>YEAR(Weekly_Prices[[#This Row],[Date]])</f>
        <v>2020</v>
      </c>
      <c r="M889" s="13">
        <f>MONTH(Weekly_Prices[[#This Row],[Date]])</f>
        <v>6</v>
      </c>
      <c r="N889" s="3" t="str">
        <f>TEXT(Weekly_Prices[[#This Row],[Date]],"MMMM")</f>
        <v>June</v>
      </c>
      <c r="O889" s="3" t="str">
        <f>YEAR(Weekly_Prices[[#This Row],[Date]])&amp;"-"&amp;TEXT(WEEKNUM(Weekly_Prices[[#This Row],[Date]],2),"00")</f>
        <v>2020-24</v>
      </c>
    </row>
    <row r="890" spans="1:15" x14ac:dyDescent="0.35">
      <c r="A890" s="2">
        <v>43997</v>
      </c>
      <c r="B890" s="3">
        <v>106.37489600000001</v>
      </c>
      <c r="C890" s="4">
        <f t="shared" si="52"/>
        <v>0.63889100000000099</v>
      </c>
      <c r="D890" s="4">
        <f t="shared" si="54"/>
        <v>-21.285876999999985</v>
      </c>
      <c r="E890" s="3">
        <v>57.95</v>
      </c>
      <c r="F890" s="3">
        <v>20</v>
      </c>
      <c r="G890" s="3">
        <v>112.531819</v>
      </c>
      <c r="H890" s="4">
        <f t="shared" si="53"/>
        <v>0.55054300000001888</v>
      </c>
      <c r="I890" s="4">
        <f t="shared" si="55"/>
        <v>-21.226636999999997</v>
      </c>
      <c r="J890" s="3">
        <v>57.95</v>
      </c>
      <c r="K890" s="3">
        <v>20</v>
      </c>
      <c r="L890" s="13">
        <f>YEAR(Weekly_Prices[[#This Row],[Date]])</f>
        <v>2020</v>
      </c>
      <c r="M890" s="13">
        <f>MONTH(Weekly_Prices[[#This Row],[Date]])</f>
        <v>6</v>
      </c>
      <c r="N890" s="3" t="str">
        <f>TEXT(Weekly_Prices[[#This Row],[Date]],"MMMM")</f>
        <v>June</v>
      </c>
      <c r="O890" s="3" t="str">
        <f>YEAR(Weekly_Prices[[#This Row],[Date]])&amp;"-"&amp;TEXT(WEEKNUM(Weekly_Prices[[#This Row],[Date]],2),"00")</f>
        <v>2020-25</v>
      </c>
    </row>
    <row r="891" spans="1:15" x14ac:dyDescent="0.35">
      <c r="A891" s="2">
        <v>44004</v>
      </c>
      <c r="B891" s="3">
        <v>107.126</v>
      </c>
      <c r="C891" s="4">
        <f t="shared" si="52"/>
        <v>0.751103999999998</v>
      </c>
      <c r="D891" s="4">
        <f t="shared" si="54"/>
        <v>-19.537116000000012</v>
      </c>
      <c r="E891" s="3">
        <v>57.95</v>
      </c>
      <c r="F891" s="3">
        <v>20</v>
      </c>
      <c r="G891" s="3">
        <v>112.98129300000001</v>
      </c>
      <c r="H891" s="4">
        <f t="shared" si="53"/>
        <v>0.44947400000000926</v>
      </c>
      <c r="I891" s="4">
        <f t="shared" si="55"/>
        <v>-18.832647999999992</v>
      </c>
      <c r="J891" s="3">
        <v>57.95</v>
      </c>
      <c r="K891" s="3">
        <v>20</v>
      </c>
      <c r="L891" s="13">
        <f>YEAR(Weekly_Prices[[#This Row],[Date]])</f>
        <v>2020</v>
      </c>
      <c r="M891" s="13">
        <f>MONTH(Weekly_Prices[[#This Row],[Date]])</f>
        <v>6</v>
      </c>
      <c r="N891" s="3" t="str">
        <f>TEXT(Weekly_Prices[[#This Row],[Date]],"MMMM")</f>
        <v>June</v>
      </c>
      <c r="O891" s="3" t="str">
        <f>YEAR(Weekly_Prices[[#This Row],[Date]])&amp;"-"&amp;TEXT(WEEKNUM(Weekly_Prices[[#This Row],[Date]],2),"00")</f>
        <v>2020-26</v>
      </c>
    </row>
    <row r="892" spans="1:15" x14ac:dyDescent="0.35">
      <c r="A892" s="2">
        <v>44011</v>
      </c>
      <c r="B892" s="3">
        <v>108.30699300000001</v>
      </c>
      <c r="C892" s="4">
        <f t="shared" si="52"/>
        <v>1.1809930000000008</v>
      </c>
      <c r="D892" s="4">
        <f t="shared" si="54"/>
        <v>-18.180218000000011</v>
      </c>
      <c r="E892" s="3">
        <v>57.95</v>
      </c>
      <c r="F892" s="3">
        <v>20</v>
      </c>
      <c r="G892" s="3">
        <v>114.10146400000001</v>
      </c>
      <c r="H892" s="4">
        <f t="shared" si="53"/>
        <v>1.1201709999999991</v>
      </c>
      <c r="I892" s="4">
        <f t="shared" si="55"/>
        <v>-17.453292999999988</v>
      </c>
      <c r="J892" s="3">
        <v>57.95</v>
      </c>
      <c r="K892" s="3">
        <v>20</v>
      </c>
      <c r="L892" s="13">
        <f>YEAR(Weekly_Prices[[#This Row],[Date]])</f>
        <v>2020</v>
      </c>
      <c r="M892" s="13">
        <f>MONTH(Weekly_Prices[[#This Row],[Date]])</f>
        <v>6</v>
      </c>
      <c r="N892" s="3" t="str">
        <f>TEXT(Weekly_Prices[[#This Row],[Date]],"MMMM")</f>
        <v>June</v>
      </c>
      <c r="O892" s="3" t="str">
        <f>YEAR(Weekly_Prices[[#This Row],[Date]])&amp;"-"&amp;TEXT(WEEKNUM(Weekly_Prices[[#This Row],[Date]],2),"00")</f>
        <v>2020-27</v>
      </c>
    </row>
    <row r="893" spans="1:15" x14ac:dyDescent="0.35">
      <c r="A893" s="2">
        <v>44018</v>
      </c>
      <c r="B893" s="3">
        <v>109.42805100000001</v>
      </c>
      <c r="C893" s="4">
        <f t="shared" si="52"/>
        <v>1.121058000000005</v>
      </c>
      <c r="D893" s="4">
        <f t="shared" si="54"/>
        <v>-17.434562999999997</v>
      </c>
      <c r="E893" s="3">
        <v>57.95</v>
      </c>
      <c r="F893" s="3">
        <v>20</v>
      </c>
      <c r="G893" s="3">
        <v>115.04871399999999</v>
      </c>
      <c r="H893" s="4">
        <f t="shared" si="53"/>
        <v>0.94724999999998261</v>
      </c>
      <c r="I893" s="4">
        <f t="shared" si="55"/>
        <v>-16.631992999999994</v>
      </c>
      <c r="J893" s="3">
        <v>57.95</v>
      </c>
      <c r="K893" s="3">
        <v>20</v>
      </c>
      <c r="L893" s="13">
        <f>YEAR(Weekly_Prices[[#This Row],[Date]])</f>
        <v>2020</v>
      </c>
      <c r="M893" s="13">
        <f>MONTH(Weekly_Prices[[#This Row],[Date]])</f>
        <v>7</v>
      </c>
      <c r="N893" s="3" t="str">
        <f>TEXT(Weekly_Prices[[#This Row],[Date]],"MMMM")</f>
        <v>July</v>
      </c>
      <c r="O893" s="3" t="str">
        <f>YEAR(Weekly_Prices[[#This Row],[Date]])&amp;"-"&amp;TEXT(WEEKNUM(Weekly_Prices[[#This Row],[Date]],2),"00")</f>
        <v>2020-28</v>
      </c>
    </row>
    <row r="894" spans="1:15" x14ac:dyDescent="0.35">
      <c r="A894" s="2">
        <v>44025</v>
      </c>
      <c r="B894" s="3">
        <v>111.23659500000001</v>
      </c>
      <c r="C894" s="4">
        <f t="shared" si="52"/>
        <v>1.8085439999999977</v>
      </c>
      <c r="D894" s="4">
        <f t="shared" si="54"/>
        <v>-15.891318999999996</v>
      </c>
      <c r="E894" s="3">
        <v>57.95</v>
      </c>
      <c r="F894" s="3">
        <v>20</v>
      </c>
      <c r="G894" s="3">
        <v>116.747501</v>
      </c>
      <c r="H894" s="4">
        <f t="shared" si="53"/>
        <v>1.69878700000001</v>
      </c>
      <c r="I894" s="4">
        <f t="shared" si="55"/>
        <v>-15.112347999999997</v>
      </c>
      <c r="J894" s="3">
        <v>57.95</v>
      </c>
      <c r="K894" s="3">
        <v>20</v>
      </c>
      <c r="L894" s="13">
        <f>YEAR(Weekly_Prices[[#This Row],[Date]])</f>
        <v>2020</v>
      </c>
      <c r="M894" s="13">
        <f>MONTH(Weekly_Prices[[#This Row],[Date]])</f>
        <v>7</v>
      </c>
      <c r="N894" s="3" t="str">
        <f>TEXT(Weekly_Prices[[#This Row],[Date]],"MMMM")</f>
        <v>July</v>
      </c>
      <c r="O894" s="3" t="str">
        <f>YEAR(Weekly_Prices[[#This Row],[Date]])&amp;"-"&amp;TEXT(WEEKNUM(Weekly_Prices[[#This Row],[Date]],2),"00")</f>
        <v>2020-29</v>
      </c>
    </row>
    <row r="895" spans="1:15" x14ac:dyDescent="0.35">
      <c r="A895" s="2">
        <v>44032</v>
      </c>
      <c r="B895" s="3">
        <v>112.22999200000001</v>
      </c>
      <c r="C895" s="4">
        <f t="shared" si="52"/>
        <v>0.99339700000000164</v>
      </c>
      <c r="D895" s="4">
        <f t="shared" si="54"/>
        <v>-15.579278999999985</v>
      </c>
      <c r="E895" s="3">
        <v>57.95</v>
      </c>
      <c r="F895" s="3">
        <v>20</v>
      </c>
      <c r="G895" s="3">
        <v>117.35308499999999</v>
      </c>
      <c r="H895" s="4">
        <f t="shared" si="53"/>
        <v>0.60558399999999324</v>
      </c>
      <c r="I895" s="4">
        <f t="shared" si="55"/>
        <v>-14.861163000000005</v>
      </c>
      <c r="J895" s="3">
        <v>57.95</v>
      </c>
      <c r="K895" s="3">
        <v>20</v>
      </c>
      <c r="L895" s="13">
        <f>YEAR(Weekly_Prices[[#This Row],[Date]])</f>
        <v>2020</v>
      </c>
      <c r="M895" s="13">
        <f>MONTH(Weekly_Prices[[#This Row],[Date]])</f>
        <v>7</v>
      </c>
      <c r="N895" s="3" t="str">
        <f>TEXT(Weekly_Prices[[#This Row],[Date]],"MMMM")</f>
        <v>July</v>
      </c>
      <c r="O895" s="3" t="str">
        <f>YEAR(Weekly_Prices[[#This Row],[Date]])&amp;"-"&amp;TEXT(WEEKNUM(Weekly_Prices[[#This Row],[Date]],2),"00")</f>
        <v>2020-30</v>
      </c>
    </row>
    <row r="896" spans="1:15" x14ac:dyDescent="0.35">
      <c r="A896" s="2">
        <v>44039</v>
      </c>
      <c r="B896" s="3">
        <v>112.663618</v>
      </c>
      <c r="C896" s="4">
        <f t="shared" si="52"/>
        <v>0.43362599999998963</v>
      </c>
      <c r="D896" s="4">
        <f t="shared" si="54"/>
        <v>-15.370158999999987</v>
      </c>
      <c r="E896" s="3">
        <v>57.95</v>
      </c>
      <c r="F896" s="3">
        <v>20</v>
      </c>
      <c r="G896" s="3">
        <v>117.75563200000001</v>
      </c>
      <c r="H896" s="4">
        <f t="shared" si="53"/>
        <v>0.40254700000001264</v>
      </c>
      <c r="I896" s="4">
        <f t="shared" si="55"/>
        <v>-14.840512000000004</v>
      </c>
      <c r="J896" s="3">
        <v>57.95</v>
      </c>
      <c r="K896" s="3">
        <v>20</v>
      </c>
      <c r="L896" s="13">
        <f>YEAR(Weekly_Prices[[#This Row],[Date]])</f>
        <v>2020</v>
      </c>
      <c r="M896" s="13">
        <f>MONTH(Weekly_Prices[[#This Row],[Date]])</f>
        <v>7</v>
      </c>
      <c r="N896" s="3" t="str">
        <f>TEXT(Weekly_Prices[[#This Row],[Date]],"MMMM")</f>
        <v>July</v>
      </c>
      <c r="O896" s="3" t="str">
        <f>YEAR(Weekly_Prices[[#This Row],[Date]])&amp;"-"&amp;TEXT(WEEKNUM(Weekly_Prices[[#This Row],[Date]],2),"00")</f>
        <v>2020-31</v>
      </c>
    </row>
    <row r="897" spans="1:15" x14ac:dyDescent="0.35">
      <c r="A897" s="2">
        <v>44046</v>
      </c>
      <c r="B897" s="3">
        <v>112.91443100000001</v>
      </c>
      <c r="C897" s="4">
        <f t="shared" si="52"/>
        <v>0.25081300000000795</v>
      </c>
      <c r="D897" s="4">
        <f t="shared" si="54"/>
        <v>-15.455928</v>
      </c>
      <c r="E897" s="3">
        <v>57.95</v>
      </c>
      <c r="F897" s="3">
        <v>20</v>
      </c>
      <c r="G897" s="3">
        <v>117.97414900000001</v>
      </c>
      <c r="H897" s="4">
        <f t="shared" si="53"/>
        <v>0.21851700000000562</v>
      </c>
      <c r="I897" s="4">
        <f t="shared" si="55"/>
        <v>-14.631583999999975</v>
      </c>
      <c r="J897" s="3">
        <v>57.95</v>
      </c>
      <c r="K897" s="3">
        <v>20</v>
      </c>
      <c r="L897" s="13">
        <f>YEAR(Weekly_Prices[[#This Row],[Date]])</f>
        <v>2020</v>
      </c>
      <c r="M897" s="13">
        <f>MONTH(Weekly_Prices[[#This Row],[Date]])</f>
        <v>8</v>
      </c>
      <c r="N897" s="3" t="str">
        <f>TEXT(Weekly_Prices[[#This Row],[Date]],"MMMM")</f>
        <v>August</v>
      </c>
      <c r="O897" s="3" t="str">
        <f>YEAR(Weekly_Prices[[#This Row],[Date]])&amp;"-"&amp;TEXT(WEEKNUM(Weekly_Prices[[#This Row],[Date]],2),"00")</f>
        <v>2020-32</v>
      </c>
    </row>
    <row r="898" spans="1:15" x14ac:dyDescent="0.35">
      <c r="A898" s="2">
        <v>44053</v>
      </c>
      <c r="B898" s="3">
        <v>113.01709999999999</v>
      </c>
      <c r="C898" s="4">
        <f t="shared" si="52"/>
        <v>0.10266899999997747</v>
      </c>
      <c r="D898" s="4">
        <f t="shared" si="54"/>
        <v>-15.344142000000019</v>
      </c>
      <c r="E898" s="3">
        <v>57.95</v>
      </c>
      <c r="F898" s="3">
        <v>20</v>
      </c>
      <c r="G898" s="3">
        <v>118.00904200000001</v>
      </c>
      <c r="H898" s="4">
        <f t="shared" si="53"/>
        <v>3.4892999999996732E-2</v>
      </c>
      <c r="I898" s="4">
        <f t="shared" si="55"/>
        <v>-14.579643999999988</v>
      </c>
      <c r="J898" s="3">
        <v>57.95</v>
      </c>
      <c r="K898" s="3">
        <v>20</v>
      </c>
      <c r="L898" s="13">
        <f>YEAR(Weekly_Prices[[#This Row],[Date]])</f>
        <v>2020</v>
      </c>
      <c r="M898" s="13">
        <f>MONTH(Weekly_Prices[[#This Row],[Date]])</f>
        <v>8</v>
      </c>
      <c r="N898" s="3" t="str">
        <f>TEXT(Weekly_Prices[[#This Row],[Date]],"MMMM")</f>
        <v>August</v>
      </c>
      <c r="O898" s="3" t="str">
        <f>YEAR(Weekly_Prices[[#This Row],[Date]])&amp;"-"&amp;TEXT(WEEKNUM(Weekly_Prices[[#This Row],[Date]],2),"00")</f>
        <v>2020-33</v>
      </c>
    </row>
    <row r="899" spans="1:15" x14ac:dyDescent="0.35">
      <c r="A899" s="2">
        <v>44060</v>
      </c>
      <c r="B899" s="3">
        <v>113.037843</v>
      </c>
      <c r="C899" s="4">
        <f t="shared" ref="C899:C962" si="56">B899-B898</f>
        <v>2.074300000001017E-2</v>
      </c>
      <c r="D899" s="4">
        <f t="shared" si="54"/>
        <v>-15.128139999999988</v>
      </c>
      <c r="E899" s="3">
        <v>57.95</v>
      </c>
      <c r="F899" s="3">
        <v>20</v>
      </c>
      <c r="G899" s="3">
        <v>117.99622100000001</v>
      </c>
      <c r="H899" s="4">
        <f t="shared" ref="H899:H962" si="57">G899-G898</f>
        <v>-1.2821000000002414E-2</v>
      </c>
      <c r="I899" s="4">
        <f t="shared" si="55"/>
        <v>-14.599766000000002</v>
      </c>
      <c r="J899" s="3">
        <v>57.95</v>
      </c>
      <c r="K899" s="3">
        <v>20</v>
      </c>
      <c r="L899" s="13">
        <f>YEAR(Weekly_Prices[[#This Row],[Date]])</f>
        <v>2020</v>
      </c>
      <c r="M899" s="13">
        <f>MONTH(Weekly_Prices[[#This Row],[Date]])</f>
        <v>8</v>
      </c>
      <c r="N899" s="3" t="str">
        <f>TEXT(Weekly_Prices[[#This Row],[Date]],"MMMM")</f>
        <v>August</v>
      </c>
      <c r="O899" s="3" t="str">
        <f>YEAR(Weekly_Prices[[#This Row],[Date]])&amp;"-"&amp;TEXT(WEEKNUM(Weekly_Prices[[#This Row],[Date]],2),"00")</f>
        <v>2020-34</v>
      </c>
    </row>
    <row r="900" spans="1:15" x14ac:dyDescent="0.35">
      <c r="A900" s="2">
        <v>44067</v>
      </c>
      <c r="B900" s="3">
        <v>113.22045399999999</v>
      </c>
      <c r="C900" s="4">
        <f t="shared" si="56"/>
        <v>0.18261099999999431</v>
      </c>
      <c r="D900" s="4">
        <f t="shared" si="54"/>
        <v>-15.000582000000009</v>
      </c>
      <c r="E900" s="3">
        <v>57.95</v>
      </c>
      <c r="F900" s="3">
        <v>20</v>
      </c>
      <c r="G900" s="3">
        <v>118.140108</v>
      </c>
      <c r="H900" s="4">
        <f t="shared" si="57"/>
        <v>0.14388699999999233</v>
      </c>
      <c r="I900" s="4">
        <f t="shared" si="55"/>
        <v>-14.370746999999994</v>
      </c>
      <c r="J900" s="3">
        <v>57.95</v>
      </c>
      <c r="K900" s="3">
        <v>20</v>
      </c>
      <c r="L900" s="13">
        <f>YEAR(Weekly_Prices[[#This Row],[Date]])</f>
        <v>2020</v>
      </c>
      <c r="M900" s="13">
        <f>MONTH(Weekly_Prices[[#This Row],[Date]])</f>
        <v>8</v>
      </c>
      <c r="N900" s="3" t="str">
        <f>TEXT(Weekly_Prices[[#This Row],[Date]],"MMMM")</f>
        <v>August</v>
      </c>
      <c r="O900" s="3" t="str">
        <f>YEAR(Weekly_Prices[[#This Row],[Date]])&amp;"-"&amp;TEXT(WEEKNUM(Weekly_Prices[[#This Row],[Date]],2),"00")</f>
        <v>2020-35</v>
      </c>
    </row>
    <row r="901" spans="1:15" x14ac:dyDescent="0.35">
      <c r="A901" s="2">
        <v>44074</v>
      </c>
      <c r="B901" s="3">
        <v>113.292388</v>
      </c>
      <c r="C901" s="4">
        <f t="shared" si="56"/>
        <v>7.1934000000013043E-2</v>
      </c>
      <c r="D901" s="4">
        <f t="shared" si="54"/>
        <v>-14.571927000000002</v>
      </c>
      <c r="E901" s="3">
        <v>57.95</v>
      </c>
      <c r="F901" s="3">
        <v>20</v>
      </c>
      <c r="G901" s="3">
        <v>118.181321</v>
      </c>
      <c r="H901" s="4">
        <f t="shared" si="57"/>
        <v>4.1212999999999056E-2</v>
      </c>
      <c r="I901" s="4">
        <f t="shared" si="55"/>
        <v>-14.109398999999996</v>
      </c>
      <c r="J901" s="3">
        <v>57.95</v>
      </c>
      <c r="K901" s="3">
        <v>20</v>
      </c>
      <c r="L901" s="13">
        <f>YEAR(Weekly_Prices[[#This Row],[Date]])</f>
        <v>2020</v>
      </c>
      <c r="M901" s="13">
        <f>MONTH(Weekly_Prices[[#This Row],[Date]])</f>
        <v>8</v>
      </c>
      <c r="N901" s="3" t="str">
        <f>TEXT(Weekly_Prices[[#This Row],[Date]],"MMMM")</f>
        <v>August</v>
      </c>
      <c r="O901" s="3" t="str">
        <f>YEAR(Weekly_Prices[[#This Row],[Date]])&amp;"-"&amp;TEXT(WEEKNUM(Weekly_Prices[[#This Row],[Date]],2),"00")</f>
        <v>2020-36</v>
      </c>
    </row>
    <row r="902" spans="1:15" x14ac:dyDescent="0.35">
      <c r="A902" s="2">
        <v>44081</v>
      </c>
      <c r="B902" s="3">
        <v>113.36947799999999</v>
      </c>
      <c r="C902" s="4">
        <f t="shared" si="56"/>
        <v>7.7089999999984116E-2</v>
      </c>
      <c r="D902" s="4">
        <f t="shared" si="54"/>
        <v>-14.419938303000023</v>
      </c>
      <c r="E902" s="3">
        <v>57.95</v>
      </c>
      <c r="F902" s="3">
        <v>20</v>
      </c>
      <c r="G902" s="3">
        <v>118.21793599999999</v>
      </c>
      <c r="H902" s="4">
        <f t="shared" si="57"/>
        <v>3.6614999999997622E-2</v>
      </c>
      <c r="I902" s="4">
        <f t="shared" si="55"/>
        <v>-13.668799888000009</v>
      </c>
      <c r="J902" s="3">
        <v>57.95</v>
      </c>
      <c r="K902" s="3">
        <v>20</v>
      </c>
      <c r="L902" s="13">
        <f>YEAR(Weekly_Prices[[#This Row],[Date]])</f>
        <v>2020</v>
      </c>
      <c r="M902" s="13">
        <f>MONTH(Weekly_Prices[[#This Row],[Date]])</f>
        <v>9</v>
      </c>
      <c r="N902" s="3" t="str">
        <f>TEXT(Weekly_Prices[[#This Row],[Date]],"MMMM")</f>
        <v>September</v>
      </c>
      <c r="O902" s="3" t="str">
        <f>YEAR(Weekly_Prices[[#This Row],[Date]])&amp;"-"&amp;TEXT(WEEKNUM(Weekly_Prices[[#This Row],[Date]],2),"00")</f>
        <v>2020-37</v>
      </c>
    </row>
    <row r="903" spans="1:15" x14ac:dyDescent="0.35">
      <c r="A903" s="2">
        <v>44088</v>
      </c>
      <c r="B903" s="3">
        <v>113.324635</v>
      </c>
      <c r="C903" s="4">
        <f t="shared" si="56"/>
        <v>-4.4842999999985977E-2</v>
      </c>
      <c r="D903" s="4">
        <f t="shared" si="54"/>
        <v>-13.593600506000016</v>
      </c>
      <c r="E903" s="3">
        <v>57.95</v>
      </c>
      <c r="F903" s="3">
        <v>20</v>
      </c>
      <c r="G903" s="3">
        <v>118.17559500000002</v>
      </c>
      <c r="H903" s="4">
        <f t="shared" si="57"/>
        <v>-4.234099999997909E-2</v>
      </c>
      <c r="I903" s="4">
        <f t="shared" si="55"/>
        <v>-13.170873079999978</v>
      </c>
      <c r="J903" s="3">
        <v>57.95</v>
      </c>
      <c r="K903" s="3">
        <v>20</v>
      </c>
      <c r="L903" s="13">
        <f>YEAR(Weekly_Prices[[#This Row],[Date]])</f>
        <v>2020</v>
      </c>
      <c r="M903" s="13">
        <f>MONTH(Weekly_Prices[[#This Row],[Date]])</f>
        <v>9</v>
      </c>
      <c r="N903" s="3" t="str">
        <f>TEXT(Weekly_Prices[[#This Row],[Date]],"MMMM")</f>
        <v>September</v>
      </c>
      <c r="O903" s="3" t="str">
        <f>YEAR(Weekly_Prices[[#This Row],[Date]])&amp;"-"&amp;TEXT(WEEKNUM(Weekly_Prices[[#This Row],[Date]],2),"00")</f>
        <v>2020-38</v>
      </c>
    </row>
    <row r="904" spans="1:15" x14ac:dyDescent="0.35">
      <c r="A904" s="2">
        <v>44095</v>
      </c>
      <c r="B904" s="3">
        <v>113.30688185</v>
      </c>
      <c r="C904" s="4">
        <f t="shared" si="56"/>
        <v>-1.7753150000004325E-2</v>
      </c>
      <c r="D904" s="4">
        <f t="shared" si="54"/>
        <v>-13.472030464000014</v>
      </c>
      <c r="E904" s="3">
        <v>57.95</v>
      </c>
      <c r="F904" s="3">
        <v>20</v>
      </c>
      <c r="G904" s="3">
        <v>118.16251131999999</v>
      </c>
      <c r="H904" s="4">
        <f t="shared" si="57"/>
        <v>-1.3083680000022468E-2</v>
      </c>
      <c r="I904" s="4">
        <f t="shared" si="55"/>
        <v>-13.360663344000017</v>
      </c>
      <c r="J904" s="3">
        <v>57.95</v>
      </c>
      <c r="K904" s="3">
        <v>20</v>
      </c>
      <c r="L904" s="13">
        <f>YEAR(Weekly_Prices[[#This Row],[Date]])</f>
        <v>2020</v>
      </c>
      <c r="M904" s="13">
        <f>MONTH(Weekly_Prices[[#This Row],[Date]])</f>
        <v>9</v>
      </c>
      <c r="N904" s="3" t="str">
        <f>TEXT(Weekly_Prices[[#This Row],[Date]],"MMMM")</f>
        <v>September</v>
      </c>
      <c r="O904" s="3" t="str">
        <f>YEAR(Weekly_Prices[[#This Row],[Date]])&amp;"-"&amp;TEXT(WEEKNUM(Weekly_Prices[[#This Row],[Date]],2),"00")</f>
        <v>2020-39</v>
      </c>
    </row>
    <row r="905" spans="1:15" x14ac:dyDescent="0.35">
      <c r="A905" s="2">
        <v>44102</v>
      </c>
      <c r="B905" s="3">
        <v>113.297878</v>
      </c>
      <c r="C905" s="4">
        <f t="shared" si="56"/>
        <v>-9.0038499999991473E-3</v>
      </c>
      <c r="D905" s="4">
        <f t="shared" si="54"/>
        <v>-13.626086000000015</v>
      </c>
      <c r="E905" s="3">
        <v>57.95</v>
      </c>
      <c r="F905" s="3">
        <v>20</v>
      </c>
      <c r="G905" s="3">
        <v>118.13608599999999</v>
      </c>
      <c r="H905" s="4">
        <f t="shared" si="57"/>
        <v>-2.6425320000001307E-2</v>
      </c>
      <c r="I905" s="4">
        <f t="shared" si="55"/>
        <v>-13.697763999999992</v>
      </c>
      <c r="J905" s="3">
        <v>57.95</v>
      </c>
      <c r="K905" s="3">
        <v>20</v>
      </c>
      <c r="L905" s="13">
        <f>YEAR(Weekly_Prices[[#This Row],[Date]])</f>
        <v>2020</v>
      </c>
      <c r="M905" s="13">
        <f>MONTH(Weekly_Prices[[#This Row],[Date]])</f>
        <v>9</v>
      </c>
      <c r="N905" s="3" t="str">
        <f>TEXT(Weekly_Prices[[#This Row],[Date]],"MMMM")</f>
        <v>September</v>
      </c>
      <c r="O905" s="3" t="str">
        <f>YEAR(Weekly_Prices[[#This Row],[Date]])&amp;"-"&amp;TEXT(WEEKNUM(Weekly_Prices[[#This Row],[Date]],2),"00")</f>
        <v>2020-40</v>
      </c>
    </row>
    <row r="906" spans="1:15" x14ac:dyDescent="0.35">
      <c r="A906" s="2">
        <v>44109</v>
      </c>
      <c r="B906" s="3">
        <v>113.26167600000001</v>
      </c>
      <c r="C906" s="4">
        <f t="shared" si="56"/>
        <v>-3.6201999999988743E-2</v>
      </c>
      <c r="D906" s="4">
        <f t="shared" si="54"/>
        <v>-13.607818999999978</v>
      </c>
      <c r="E906" s="3">
        <v>57.95</v>
      </c>
      <c r="F906" s="3">
        <v>20</v>
      </c>
      <c r="G906" s="3">
        <v>118.11395</v>
      </c>
      <c r="H906" s="4">
        <f t="shared" si="57"/>
        <v>-2.2135999999989053E-2</v>
      </c>
      <c r="I906" s="4">
        <f t="shared" si="55"/>
        <v>-13.706852999999981</v>
      </c>
      <c r="J906" s="3">
        <v>57.95</v>
      </c>
      <c r="K906" s="3">
        <v>20</v>
      </c>
      <c r="L906" s="13">
        <f>YEAR(Weekly_Prices[[#This Row],[Date]])</f>
        <v>2020</v>
      </c>
      <c r="M906" s="13">
        <f>MONTH(Weekly_Prices[[#This Row],[Date]])</f>
        <v>10</v>
      </c>
      <c r="N906" s="3" t="str">
        <f>TEXT(Weekly_Prices[[#This Row],[Date]],"MMMM")</f>
        <v>October</v>
      </c>
      <c r="O906" s="3" t="str">
        <f>YEAR(Weekly_Prices[[#This Row],[Date]])&amp;"-"&amp;TEXT(WEEKNUM(Weekly_Prices[[#This Row],[Date]],2),"00")</f>
        <v>2020-41</v>
      </c>
    </row>
    <row r="907" spans="1:15" x14ac:dyDescent="0.35">
      <c r="A907" s="2">
        <v>44116</v>
      </c>
      <c r="B907" s="3">
        <v>113.18679400000001</v>
      </c>
      <c r="C907" s="4">
        <f t="shared" si="56"/>
        <v>-7.4882000000002336E-2</v>
      </c>
      <c r="D907" s="4">
        <f t="shared" si="54"/>
        <v>-13.719696999999982</v>
      </c>
      <c r="E907" s="3">
        <v>57.95</v>
      </c>
      <c r="F907" s="3">
        <v>20</v>
      </c>
      <c r="G907" s="3">
        <v>118.05383999999999</v>
      </c>
      <c r="H907" s="4">
        <f t="shared" si="57"/>
        <v>-6.0110000000008768E-2</v>
      </c>
      <c r="I907" s="4">
        <f t="shared" si="55"/>
        <v>-13.839067999999983</v>
      </c>
      <c r="J907" s="3">
        <v>57.95</v>
      </c>
      <c r="K907" s="3">
        <v>20</v>
      </c>
      <c r="L907" s="13">
        <f>YEAR(Weekly_Prices[[#This Row],[Date]])</f>
        <v>2020</v>
      </c>
      <c r="M907" s="13">
        <f>MONTH(Weekly_Prices[[#This Row],[Date]])</f>
        <v>10</v>
      </c>
      <c r="N907" s="3" t="str">
        <f>TEXT(Weekly_Prices[[#This Row],[Date]],"MMMM")</f>
        <v>October</v>
      </c>
      <c r="O907" s="3" t="str">
        <f>YEAR(Weekly_Prices[[#This Row],[Date]])&amp;"-"&amp;TEXT(WEEKNUM(Weekly_Prices[[#This Row],[Date]],2),"00")</f>
        <v>2020-42</v>
      </c>
    </row>
    <row r="908" spans="1:15" x14ac:dyDescent="0.35">
      <c r="A908" s="2">
        <v>44123</v>
      </c>
      <c r="B908" s="3">
        <v>113.18026999999999</v>
      </c>
      <c r="C908" s="4">
        <f t="shared" si="56"/>
        <v>-6.5240000000130749E-3</v>
      </c>
      <c r="D908" s="4">
        <f t="shared" si="54"/>
        <v>-13.222150000000013</v>
      </c>
      <c r="E908" s="3">
        <v>57.95</v>
      </c>
      <c r="F908" s="3">
        <v>20</v>
      </c>
      <c r="G908" s="3">
        <v>118.075514</v>
      </c>
      <c r="H908" s="4">
        <f t="shared" si="57"/>
        <v>2.1674000000004412E-2</v>
      </c>
      <c r="I908" s="4">
        <f t="shared" si="55"/>
        <v>-13.203738999999985</v>
      </c>
      <c r="J908" s="3">
        <v>57.95</v>
      </c>
      <c r="K908" s="3">
        <v>20</v>
      </c>
      <c r="L908" s="13">
        <f>YEAR(Weekly_Prices[[#This Row],[Date]])</f>
        <v>2020</v>
      </c>
      <c r="M908" s="13">
        <f>MONTH(Weekly_Prices[[#This Row],[Date]])</f>
        <v>10</v>
      </c>
      <c r="N908" s="3" t="str">
        <f>TEXT(Weekly_Prices[[#This Row],[Date]],"MMMM")</f>
        <v>October</v>
      </c>
      <c r="O908" s="3" t="str">
        <f>YEAR(Weekly_Prices[[#This Row],[Date]])&amp;"-"&amp;TEXT(WEEKNUM(Weekly_Prices[[#This Row],[Date]],2),"00")</f>
        <v>2020-43</v>
      </c>
    </row>
    <row r="909" spans="1:15" x14ac:dyDescent="0.35">
      <c r="A909" s="2">
        <v>44130</v>
      </c>
      <c r="B909" s="3">
        <v>113.14429299999999</v>
      </c>
      <c r="C909" s="4">
        <f t="shared" si="56"/>
        <v>-3.597700000000259E-2</v>
      </c>
      <c r="D909" s="4">
        <f t="shared" si="54"/>
        <v>-12.621220999999991</v>
      </c>
      <c r="E909" s="3">
        <v>57.95</v>
      </c>
      <c r="F909" s="3">
        <v>20</v>
      </c>
      <c r="G909" s="3">
        <v>118.08094499999999</v>
      </c>
      <c r="H909" s="4">
        <f t="shared" si="57"/>
        <v>5.4309999999873071E-3</v>
      </c>
      <c r="I909" s="4">
        <f t="shared" si="55"/>
        <v>-12.522587000000016</v>
      </c>
      <c r="J909" s="3">
        <v>57.95</v>
      </c>
      <c r="K909" s="3">
        <v>20</v>
      </c>
      <c r="L909" s="13">
        <f>YEAR(Weekly_Prices[[#This Row],[Date]])</f>
        <v>2020</v>
      </c>
      <c r="M909" s="13">
        <f>MONTH(Weekly_Prices[[#This Row],[Date]])</f>
        <v>10</v>
      </c>
      <c r="N909" s="3" t="str">
        <f>TEXT(Weekly_Prices[[#This Row],[Date]],"MMMM")</f>
        <v>October</v>
      </c>
      <c r="O909" s="3" t="str">
        <f>YEAR(Weekly_Prices[[#This Row],[Date]])&amp;"-"&amp;TEXT(WEEKNUM(Weekly_Prices[[#This Row],[Date]],2),"00")</f>
        <v>2020-44</v>
      </c>
    </row>
    <row r="910" spans="1:15" x14ac:dyDescent="0.35">
      <c r="A910" s="2">
        <v>44137</v>
      </c>
      <c r="B910" s="3">
        <v>113.10595099999998</v>
      </c>
      <c r="C910" s="4">
        <f t="shared" si="56"/>
        <v>-3.8342000000014309E-2</v>
      </c>
      <c r="D910" s="4">
        <f t="shared" si="54"/>
        <v>-12.452750000000023</v>
      </c>
      <c r="E910" s="3">
        <v>57.95</v>
      </c>
      <c r="F910" s="3">
        <v>20</v>
      </c>
      <c r="G910" s="3">
        <v>118.056847</v>
      </c>
      <c r="H910" s="4">
        <f t="shared" si="57"/>
        <v>-2.4097999999980857E-2</v>
      </c>
      <c r="I910" s="4">
        <f t="shared" si="55"/>
        <v>-12.319247999999988</v>
      </c>
      <c r="J910" s="3">
        <v>57.95</v>
      </c>
      <c r="K910" s="3">
        <v>20</v>
      </c>
      <c r="L910" s="13">
        <f>YEAR(Weekly_Prices[[#This Row],[Date]])</f>
        <v>2020</v>
      </c>
      <c r="M910" s="13">
        <f>MONTH(Weekly_Prices[[#This Row],[Date]])</f>
        <v>11</v>
      </c>
      <c r="N910" s="3" t="str">
        <f>TEXT(Weekly_Prices[[#This Row],[Date]],"MMMM")</f>
        <v>November</v>
      </c>
      <c r="O910" s="3" t="str">
        <f>YEAR(Weekly_Prices[[#This Row],[Date]])&amp;"-"&amp;TEXT(WEEKNUM(Weekly_Prices[[#This Row],[Date]],2),"00")</f>
        <v>2020-45</v>
      </c>
    </row>
    <row r="911" spans="1:15" x14ac:dyDescent="0.35">
      <c r="A911" s="2">
        <v>44144</v>
      </c>
      <c r="B911" s="3">
        <v>112.49738899999998</v>
      </c>
      <c r="C911" s="4">
        <f t="shared" si="56"/>
        <v>-0.60856199999999205</v>
      </c>
      <c r="D911" s="4">
        <f t="shared" si="54"/>
        <v>-13.096610000000027</v>
      </c>
      <c r="E911" s="3">
        <v>57.95</v>
      </c>
      <c r="F911" s="3">
        <v>20</v>
      </c>
      <c r="G911" s="3">
        <v>117.276657</v>
      </c>
      <c r="H911" s="4">
        <f t="shared" si="57"/>
        <v>-0.7801900000000046</v>
      </c>
      <c r="I911" s="4">
        <f t="shared" si="55"/>
        <v>-13.148252999999983</v>
      </c>
      <c r="J911" s="3">
        <v>57.95</v>
      </c>
      <c r="K911" s="3">
        <v>20</v>
      </c>
      <c r="L911" s="13">
        <f>YEAR(Weekly_Prices[[#This Row],[Date]])</f>
        <v>2020</v>
      </c>
      <c r="M911" s="13">
        <f>MONTH(Weekly_Prices[[#This Row],[Date]])</f>
        <v>11</v>
      </c>
      <c r="N911" s="3" t="str">
        <f>TEXT(Weekly_Prices[[#This Row],[Date]],"MMMM")</f>
        <v>November</v>
      </c>
      <c r="O911" s="3" t="str">
        <f>YEAR(Weekly_Prices[[#This Row],[Date]])&amp;"-"&amp;TEXT(WEEKNUM(Weekly_Prices[[#This Row],[Date]],2),"00")</f>
        <v>2020-46</v>
      </c>
    </row>
    <row r="912" spans="1:15" x14ac:dyDescent="0.35">
      <c r="A912" s="2">
        <v>44151</v>
      </c>
      <c r="B912" s="3">
        <v>112.346174</v>
      </c>
      <c r="C912" s="4">
        <f t="shared" si="56"/>
        <v>-0.15121499999997923</v>
      </c>
      <c r="D912" s="4">
        <f t="shared" si="54"/>
        <v>-13.236171999999996</v>
      </c>
      <c r="E912" s="3">
        <v>57.95</v>
      </c>
      <c r="F912" s="3">
        <v>20</v>
      </c>
      <c r="G912" s="3">
        <v>117.06657200000001</v>
      </c>
      <c r="H912" s="4">
        <f t="shared" si="57"/>
        <v>-0.21008499999999231</v>
      </c>
      <c r="I912" s="4">
        <f t="shared" si="55"/>
        <v>-13.279022999999995</v>
      </c>
      <c r="J912" s="3">
        <v>57.95</v>
      </c>
      <c r="K912" s="3">
        <v>20</v>
      </c>
      <c r="L912" s="13">
        <f>YEAR(Weekly_Prices[[#This Row],[Date]])</f>
        <v>2020</v>
      </c>
      <c r="M912" s="13">
        <f>MONTH(Weekly_Prices[[#This Row],[Date]])</f>
        <v>11</v>
      </c>
      <c r="N912" s="3" t="str">
        <f>TEXT(Weekly_Prices[[#This Row],[Date]],"MMMM")</f>
        <v>November</v>
      </c>
      <c r="O912" s="3" t="str">
        <f>YEAR(Weekly_Prices[[#This Row],[Date]])&amp;"-"&amp;TEXT(WEEKNUM(Weekly_Prices[[#This Row],[Date]],2),"00")</f>
        <v>2020-47</v>
      </c>
    </row>
    <row r="913" spans="1:15" x14ac:dyDescent="0.35">
      <c r="A913" s="2">
        <v>44158</v>
      </c>
      <c r="B913" s="3">
        <v>112.42064999999998</v>
      </c>
      <c r="C913" s="4">
        <f t="shared" si="56"/>
        <v>7.4475999999975784E-2</v>
      </c>
      <c r="D913" s="4">
        <f t="shared" si="54"/>
        <v>-12.899148000000025</v>
      </c>
      <c r="E913" s="3">
        <v>57.95</v>
      </c>
      <c r="F913" s="3">
        <v>20</v>
      </c>
      <c r="G913" s="3">
        <v>117.13443100000001</v>
      </c>
      <c r="H913" s="4">
        <f t="shared" si="57"/>
        <v>6.7858999999998559E-2</v>
      </c>
      <c r="I913" s="4">
        <f t="shared" si="55"/>
        <v>-12.943882000000002</v>
      </c>
      <c r="J913" s="3">
        <v>57.95</v>
      </c>
      <c r="K913" s="3">
        <v>20</v>
      </c>
      <c r="L913" s="13">
        <f>YEAR(Weekly_Prices[[#This Row],[Date]])</f>
        <v>2020</v>
      </c>
      <c r="M913" s="13">
        <f>MONTH(Weekly_Prices[[#This Row],[Date]])</f>
        <v>11</v>
      </c>
      <c r="N913" s="3" t="str">
        <f>TEXT(Weekly_Prices[[#This Row],[Date]],"MMMM")</f>
        <v>November</v>
      </c>
      <c r="O913" s="3" t="str">
        <f>YEAR(Weekly_Prices[[#This Row],[Date]])&amp;"-"&amp;TEXT(WEEKNUM(Weekly_Prices[[#This Row],[Date]],2),"00")</f>
        <v>2020-48</v>
      </c>
    </row>
    <row r="914" spans="1:15" x14ac:dyDescent="0.35">
      <c r="A914" s="2">
        <v>44165</v>
      </c>
      <c r="B914" s="3">
        <v>112.605412</v>
      </c>
      <c r="C914" s="4">
        <f t="shared" si="56"/>
        <v>0.18476200000002052</v>
      </c>
      <c r="D914" s="4">
        <f t="shared" si="54"/>
        <v>-12.203371000000004</v>
      </c>
      <c r="E914" s="3">
        <v>57.95</v>
      </c>
      <c r="F914" s="3">
        <v>20</v>
      </c>
      <c r="G914" s="3">
        <v>117.40804</v>
      </c>
      <c r="H914" s="4">
        <f t="shared" si="57"/>
        <v>0.27360899999999333</v>
      </c>
      <c r="I914" s="4">
        <f t="shared" si="55"/>
        <v>-12.385793000000007</v>
      </c>
      <c r="J914" s="3">
        <v>57.95</v>
      </c>
      <c r="K914" s="3">
        <v>20</v>
      </c>
      <c r="L914" s="13">
        <f>YEAR(Weekly_Prices[[#This Row],[Date]])</f>
        <v>2020</v>
      </c>
      <c r="M914" s="13">
        <f>MONTH(Weekly_Prices[[#This Row],[Date]])</f>
        <v>11</v>
      </c>
      <c r="N914" s="3" t="str">
        <f>TEXT(Weekly_Prices[[#This Row],[Date]],"MMMM")</f>
        <v>November</v>
      </c>
      <c r="O914" s="3" t="str">
        <f>YEAR(Weekly_Prices[[#This Row],[Date]])&amp;"-"&amp;TEXT(WEEKNUM(Weekly_Prices[[#This Row],[Date]],2),"00")</f>
        <v>2020-49</v>
      </c>
    </row>
    <row r="915" spans="1:15" x14ac:dyDescent="0.35">
      <c r="A915" s="2">
        <v>44172</v>
      </c>
      <c r="B915" s="3">
        <v>113.165696</v>
      </c>
      <c r="C915" s="4">
        <f t="shared" si="56"/>
        <v>0.56028399999999579</v>
      </c>
      <c r="D915" s="4">
        <f t="shared" si="54"/>
        <v>-11.582480000000004</v>
      </c>
      <c r="E915" s="3">
        <v>57.95</v>
      </c>
      <c r="F915" s="3">
        <v>20</v>
      </c>
      <c r="G915" s="3">
        <v>117.98563099999998</v>
      </c>
      <c r="H915" s="4">
        <f t="shared" si="57"/>
        <v>0.57759099999998398</v>
      </c>
      <c r="I915" s="4">
        <f t="shared" si="55"/>
        <v>-11.804554000000024</v>
      </c>
      <c r="J915" s="3">
        <v>57.95</v>
      </c>
      <c r="K915" s="3">
        <v>20</v>
      </c>
      <c r="L915" s="13">
        <f>YEAR(Weekly_Prices[[#This Row],[Date]])</f>
        <v>2020</v>
      </c>
      <c r="M915" s="13">
        <f>MONTH(Weekly_Prices[[#This Row],[Date]])</f>
        <v>12</v>
      </c>
      <c r="N915" s="3" t="str">
        <f>TEXT(Weekly_Prices[[#This Row],[Date]],"MMMM")</f>
        <v>December</v>
      </c>
      <c r="O915" s="3" t="str">
        <f>YEAR(Weekly_Prices[[#This Row],[Date]])&amp;"-"&amp;TEXT(WEEKNUM(Weekly_Prices[[#This Row],[Date]],2),"00")</f>
        <v>2020-50</v>
      </c>
    </row>
    <row r="916" spans="1:15" x14ac:dyDescent="0.35">
      <c r="A916" s="2">
        <v>44179</v>
      </c>
      <c r="B916" s="3">
        <v>113.817286</v>
      </c>
      <c r="C916" s="4">
        <f t="shared" si="56"/>
        <v>0.65158999999999878</v>
      </c>
      <c r="D916" s="4">
        <f t="shared" si="54"/>
        <v>-10.512684000000007</v>
      </c>
      <c r="E916" s="3">
        <v>57.95</v>
      </c>
      <c r="F916" s="3">
        <v>20</v>
      </c>
      <c r="G916" s="3">
        <v>118.57419999999999</v>
      </c>
      <c r="H916" s="4">
        <f t="shared" si="57"/>
        <v>0.58856900000000678</v>
      </c>
      <c r="I916" s="4">
        <f t="shared" si="55"/>
        <v>-10.987561999999997</v>
      </c>
      <c r="J916" s="3">
        <v>57.95</v>
      </c>
      <c r="K916" s="3">
        <v>20</v>
      </c>
      <c r="L916" s="13">
        <f>YEAR(Weekly_Prices[[#This Row],[Date]])</f>
        <v>2020</v>
      </c>
      <c r="M916" s="13">
        <f>MONTH(Weekly_Prices[[#This Row],[Date]])</f>
        <v>12</v>
      </c>
      <c r="N916" s="3" t="str">
        <f>TEXT(Weekly_Prices[[#This Row],[Date]],"MMMM")</f>
        <v>December</v>
      </c>
      <c r="O916" s="3" t="str">
        <f>YEAR(Weekly_Prices[[#This Row],[Date]])&amp;"-"&amp;TEXT(WEEKNUM(Weekly_Prices[[#This Row],[Date]],2),"00")</f>
        <v>2020-51</v>
      </c>
    </row>
    <row r="917" spans="1:15" x14ac:dyDescent="0.35">
      <c r="A917" s="2">
        <v>44186</v>
      </c>
      <c r="B917" s="3">
        <v>114.43232</v>
      </c>
      <c r="C917" s="4">
        <f t="shared" si="56"/>
        <v>0.61503400000000852</v>
      </c>
      <c r="D917" s="4">
        <f t="shared" si="54"/>
        <v>-9.7252199999999789</v>
      </c>
      <c r="E917" s="3">
        <v>57.95</v>
      </c>
      <c r="F917" s="3">
        <v>20</v>
      </c>
      <c r="G917" s="3">
        <v>119.17143900000001</v>
      </c>
      <c r="H917" s="4">
        <f t="shared" si="57"/>
        <v>0.59723900000001606</v>
      </c>
      <c r="I917" s="4">
        <f t="shared" si="55"/>
        <v>-10.639693000000008</v>
      </c>
      <c r="J917" s="3">
        <v>57.95</v>
      </c>
      <c r="K917" s="3">
        <v>20</v>
      </c>
      <c r="L917" s="13">
        <f>YEAR(Weekly_Prices[[#This Row],[Date]])</f>
        <v>2020</v>
      </c>
      <c r="M917" s="13">
        <f>MONTH(Weekly_Prices[[#This Row],[Date]])</f>
        <v>12</v>
      </c>
      <c r="N917" s="3" t="str">
        <f>TEXT(Weekly_Prices[[#This Row],[Date]],"MMMM")</f>
        <v>December</v>
      </c>
      <c r="O917" s="3" t="str">
        <f>YEAR(Weekly_Prices[[#This Row],[Date]])&amp;"-"&amp;TEXT(WEEKNUM(Weekly_Prices[[#This Row],[Date]],2),"00")</f>
        <v>2020-52</v>
      </c>
    </row>
    <row r="918" spans="1:15" x14ac:dyDescent="0.35">
      <c r="A918" s="2">
        <v>44193</v>
      </c>
      <c r="B918" s="3">
        <v>114.91116</v>
      </c>
      <c r="C918" s="4">
        <f t="shared" si="56"/>
        <v>0.47883999999999105</v>
      </c>
      <c r="D918" s="4">
        <f t="shared" si="54"/>
        <v>-10.05099100000001</v>
      </c>
      <c r="E918" s="3">
        <v>57.95</v>
      </c>
      <c r="F918" s="3">
        <v>20</v>
      </c>
      <c r="G918" s="3">
        <v>119.65465</v>
      </c>
      <c r="H918" s="4">
        <f t="shared" si="57"/>
        <v>0.48321099999999717</v>
      </c>
      <c r="I918" s="4">
        <f t="shared" si="55"/>
        <v>-10.887395999999995</v>
      </c>
      <c r="J918" s="3">
        <v>57.95</v>
      </c>
      <c r="K918" s="3">
        <v>20</v>
      </c>
      <c r="L918" s="13">
        <f>YEAR(Weekly_Prices[[#This Row],[Date]])</f>
        <v>2020</v>
      </c>
      <c r="M918" s="13">
        <f>MONTH(Weekly_Prices[[#This Row],[Date]])</f>
        <v>12</v>
      </c>
      <c r="N918" s="3" t="str">
        <f>TEXT(Weekly_Prices[[#This Row],[Date]],"MMMM")</f>
        <v>December</v>
      </c>
      <c r="O918" s="3" t="str">
        <f>YEAR(Weekly_Prices[[#This Row],[Date]])&amp;"-"&amp;TEXT(WEEKNUM(Weekly_Prices[[#This Row],[Date]],2),"00")</f>
        <v>2020-53</v>
      </c>
    </row>
    <row r="919" spans="1:15" x14ac:dyDescent="0.35">
      <c r="A919" s="2">
        <v>44200</v>
      </c>
      <c r="B919" s="3">
        <v>115.38540500000001</v>
      </c>
      <c r="C919" s="4">
        <f t="shared" si="56"/>
        <v>0.47424500000001046</v>
      </c>
      <c r="D919" s="4">
        <f t="shared" si="54"/>
        <v>-10.700463999999997</v>
      </c>
      <c r="E919" s="3">
        <v>57.95</v>
      </c>
      <c r="F919" s="3">
        <v>20</v>
      </c>
      <c r="G919" s="3">
        <v>119.967465</v>
      </c>
      <c r="H919" s="4">
        <f t="shared" si="57"/>
        <v>0.31281500000000051</v>
      </c>
      <c r="I919" s="4">
        <f t="shared" si="55"/>
        <v>-11.587692000000004</v>
      </c>
      <c r="J919" s="3">
        <v>57.95</v>
      </c>
      <c r="K919" s="3">
        <v>20</v>
      </c>
      <c r="L919" s="13">
        <f>YEAR(Weekly_Prices[[#This Row],[Date]])</f>
        <v>2021</v>
      </c>
      <c r="M919" s="13">
        <f>MONTH(Weekly_Prices[[#This Row],[Date]])</f>
        <v>1</v>
      </c>
      <c r="N919" s="3" t="str">
        <f>TEXT(Weekly_Prices[[#This Row],[Date]],"MMMM")</f>
        <v>January</v>
      </c>
      <c r="O919" s="3" t="str">
        <f>YEAR(Weekly_Prices[[#This Row],[Date]])&amp;"-"&amp;TEXT(WEEKNUM(Weekly_Prices[[#This Row],[Date]],2),"00")</f>
        <v>2021-02</v>
      </c>
    </row>
    <row r="920" spans="1:15" x14ac:dyDescent="0.35">
      <c r="A920" s="2">
        <v>44207</v>
      </c>
      <c r="B920" s="3">
        <v>116.14066200000001</v>
      </c>
      <c r="C920" s="4">
        <f t="shared" si="56"/>
        <v>0.75525700000000029</v>
      </c>
      <c r="D920" s="4">
        <f t="shared" si="54"/>
        <v>-11.026730000000001</v>
      </c>
      <c r="E920" s="3">
        <v>57.95</v>
      </c>
      <c r="F920" s="3">
        <v>20</v>
      </c>
      <c r="G920" s="3">
        <v>120.61450400000001</v>
      </c>
      <c r="H920" s="4">
        <f t="shared" si="57"/>
        <v>0.64703900000000658</v>
      </c>
      <c r="I920" s="4">
        <f t="shared" si="55"/>
        <v>-12.073730999999981</v>
      </c>
      <c r="J920" s="3">
        <v>57.95</v>
      </c>
      <c r="K920" s="3">
        <v>20</v>
      </c>
      <c r="L920" s="13">
        <f>YEAR(Weekly_Prices[[#This Row],[Date]])</f>
        <v>2021</v>
      </c>
      <c r="M920" s="13">
        <f>MONTH(Weekly_Prices[[#This Row],[Date]])</f>
        <v>1</v>
      </c>
      <c r="N920" s="3" t="str">
        <f>TEXT(Weekly_Prices[[#This Row],[Date]],"MMMM")</f>
        <v>January</v>
      </c>
      <c r="O920" s="3" t="str">
        <f>YEAR(Weekly_Prices[[#This Row],[Date]])&amp;"-"&amp;TEXT(WEEKNUM(Weekly_Prices[[#This Row],[Date]],2),"00")</f>
        <v>2021-03</v>
      </c>
    </row>
    <row r="921" spans="1:15" x14ac:dyDescent="0.35">
      <c r="A921" s="2">
        <v>44214</v>
      </c>
      <c r="B921" s="3">
        <v>116.930143</v>
      </c>
      <c r="C921" s="4">
        <f t="shared" si="56"/>
        <v>0.78948099999999499</v>
      </c>
      <c r="D921" s="4">
        <f t="shared" si="54"/>
        <v>-10.247084000000001</v>
      </c>
      <c r="E921" s="3">
        <v>57.95</v>
      </c>
      <c r="F921" s="3">
        <v>20</v>
      </c>
      <c r="G921" s="3">
        <v>121.51814499999999</v>
      </c>
      <c r="H921" s="4">
        <f t="shared" si="57"/>
        <v>0.90364099999997904</v>
      </c>
      <c r="I921" s="4">
        <f t="shared" si="55"/>
        <v>-11.221609000000015</v>
      </c>
      <c r="J921" s="3">
        <v>57.95</v>
      </c>
      <c r="K921" s="3">
        <v>20</v>
      </c>
      <c r="L921" s="13">
        <f>YEAR(Weekly_Prices[[#This Row],[Date]])</f>
        <v>2021</v>
      </c>
      <c r="M921" s="13">
        <f>MONTH(Weekly_Prices[[#This Row],[Date]])</f>
        <v>1</v>
      </c>
      <c r="N921" s="3" t="str">
        <f>TEXT(Weekly_Prices[[#This Row],[Date]],"MMMM")</f>
        <v>January</v>
      </c>
      <c r="O921" s="3" t="str">
        <f>YEAR(Weekly_Prices[[#This Row],[Date]])&amp;"-"&amp;TEXT(WEEKNUM(Weekly_Prices[[#This Row],[Date]],2),"00")</f>
        <v>2021-04</v>
      </c>
    </row>
    <row r="922" spans="1:15" x14ac:dyDescent="0.35">
      <c r="A922" s="2">
        <v>44221</v>
      </c>
      <c r="B922" s="3">
        <v>118.10299300000001</v>
      </c>
      <c r="C922" s="4">
        <f t="shared" si="56"/>
        <v>1.1728500000000111</v>
      </c>
      <c r="D922" s="4">
        <f t="shared" si="54"/>
        <v>-9.2315959999999961</v>
      </c>
      <c r="E922" s="3">
        <v>57.95</v>
      </c>
      <c r="F922" s="3">
        <v>20</v>
      </c>
      <c r="G922" s="3">
        <v>122.704246</v>
      </c>
      <c r="H922" s="4">
        <f t="shared" si="57"/>
        <v>1.1861010000000078</v>
      </c>
      <c r="I922" s="4">
        <f t="shared" si="55"/>
        <v>-10.17663499999999</v>
      </c>
      <c r="J922" s="3">
        <v>57.95</v>
      </c>
      <c r="K922" s="3">
        <v>20</v>
      </c>
      <c r="L922" s="13">
        <f>YEAR(Weekly_Prices[[#This Row],[Date]])</f>
        <v>2021</v>
      </c>
      <c r="M922" s="13">
        <f>MONTH(Weekly_Prices[[#This Row],[Date]])</f>
        <v>1</v>
      </c>
      <c r="N922" s="3" t="str">
        <f>TEXT(Weekly_Prices[[#This Row],[Date]],"MMMM")</f>
        <v>January</v>
      </c>
      <c r="O922" s="3" t="str">
        <f>YEAR(Weekly_Prices[[#This Row],[Date]])&amp;"-"&amp;TEXT(WEEKNUM(Weekly_Prices[[#This Row],[Date]],2),"00")</f>
        <v>2021-05</v>
      </c>
    </row>
    <row r="923" spans="1:15" x14ac:dyDescent="0.35">
      <c r="A923" s="2">
        <v>44228</v>
      </c>
      <c r="B923" s="3">
        <v>119.13775399999999</v>
      </c>
      <c r="C923" s="4">
        <f t="shared" si="56"/>
        <v>1.0347609999999747</v>
      </c>
      <c r="D923" s="4">
        <f t="shared" si="54"/>
        <v>-6.7103330000000057</v>
      </c>
      <c r="E923" s="3">
        <v>57.95</v>
      </c>
      <c r="F923" s="3">
        <v>20</v>
      </c>
      <c r="G923" s="3">
        <v>123.700436</v>
      </c>
      <c r="H923" s="4">
        <f t="shared" si="57"/>
        <v>0.99618999999999858</v>
      </c>
      <c r="I923" s="4">
        <f t="shared" si="55"/>
        <v>-7.7752360000000067</v>
      </c>
      <c r="J923" s="3">
        <v>57.95</v>
      </c>
      <c r="K923" s="3">
        <v>20</v>
      </c>
      <c r="L923" s="13">
        <f>YEAR(Weekly_Prices[[#This Row],[Date]])</f>
        <v>2021</v>
      </c>
      <c r="M923" s="13">
        <f>MONTH(Weekly_Prices[[#This Row],[Date]])</f>
        <v>2</v>
      </c>
      <c r="N923" s="3" t="str">
        <f>TEXT(Weekly_Prices[[#This Row],[Date]],"MMMM")</f>
        <v>February</v>
      </c>
      <c r="O923" s="3" t="str">
        <f>YEAR(Weekly_Prices[[#This Row],[Date]])&amp;"-"&amp;TEXT(WEEKNUM(Weekly_Prices[[#This Row],[Date]],2),"00")</f>
        <v>2021-06</v>
      </c>
    </row>
    <row r="924" spans="1:15" x14ac:dyDescent="0.35">
      <c r="A924" s="2">
        <v>44235</v>
      </c>
      <c r="B924" s="3">
        <v>119.667637</v>
      </c>
      <c r="C924" s="4">
        <f t="shared" si="56"/>
        <v>0.52988300000001232</v>
      </c>
      <c r="D924" s="4">
        <f t="shared" si="54"/>
        <v>-5.0617229999999864</v>
      </c>
      <c r="E924" s="3">
        <v>57.95</v>
      </c>
      <c r="F924" s="3">
        <v>20</v>
      </c>
      <c r="G924" s="3">
        <v>124.087524</v>
      </c>
      <c r="H924" s="4">
        <f t="shared" si="57"/>
        <v>0.38708800000000565</v>
      </c>
      <c r="I924" s="4">
        <f t="shared" si="55"/>
        <v>-5.6169229999999857</v>
      </c>
      <c r="J924" s="3">
        <v>57.95</v>
      </c>
      <c r="K924" s="3">
        <v>20</v>
      </c>
      <c r="L924" s="13">
        <f>YEAR(Weekly_Prices[[#This Row],[Date]])</f>
        <v>2021</v>
      </c>
      <c r="M924" s="13">
        <f>MONTH(Weekly_Prices[[#This Row],[Date]])</f>
        <v>2</v>
      </c>
      <c r="N924" s="3" t="str">
        <f>TEXT(Weekly_Prices[[#This Row],[Date]],"MMMM")</f>
        <v>February</v>
      </c>
      <c r="O924" s="3" t="str">
        <f>YEAR(Weekly_Prices[[#This Row],[Date]])&amp;"-"&amp;TEXT(WEEKNUM(Weekly_Prices[[#This Row],[Date]],2),"00")</f>
        <v>2021-07</v>
      </c>
    </row>
    <row r="925" spans="1:15" x14ac:dyDescent="0.35">
      <c r="A925" s="2">
        <v>44242</v>
      </c>
      <c r="B925" s="3">
        <v>120.52860500000001</v>
      </c>
      <c r="C925" s="4">
        <f t="shared" si="56"/>
        <v>0.86096800000001394</v>
      </c>
      <c r="D925" s="4">
        <f t="shared" si="54"/>
        <v>-3.2674699999999888</v>
      </c>
      <c r="E925" s="3">
        <v>57.95</v>
      </c>
      <c r="F925" s="3">
        <v>20</v>
      </c>
      <c r="G925" s="3">
        <v>125.005819</v>
      </c>
      <c r="H925" s="4">
        <f t="shared" si="57"/>
        <v>0.91829500000000053</v>
      </c>
      <c r="I925" s="4">
        <f t="shared" si="55"/>
        <v>-3.1970299999999838</v>
      </c>
      <c r="J925" s="3">
        <v>57.95</v>
      </c>
      <c r="K925" s="3">
        <v>20</v>
      </c>
      <c r="L925" s="13">
        <f>YEAR(Weekly_Prices[[#This Row],[Date]])</f>
        <v>2021</v>
      </c>
      <c r="M925" s="13">
        <f>MONTH(Weekly_Prices[[#This Row],[Date]])</f>
        <v>2</v>
      </c>
      <c r="N925" s="3" t="str">
        <f>TEXT(Weekly_Prices[[#This Row],[Date]],"MMMM")</f>
        <v>February</v>
      </c>
      <c r="O925" s="3" t="str">
        <f>YEAR(Weekly_Prices[[#This Row],[Date]])&amp;"-"&amp;TEXT(WEEKNUM(Weekly_Prices[[#This Row],[Date]],2),"00")</f>
        <v>2021-08</v>
      </c>
    </row>
    <row r="926" spans="1:15" x14ac:dyDescent="0.35">
      <c r="A926" s="2">
        <v>44249</v>
      </c>
      <c r="B926" s="3">
        <v>121.27478599999999</v>
      </c>
      <c r="C926" s="4">
        <f t="shared" si="56"/>
        <v>0.74618099999997867</v>
      </c>
      <c r="D926" s="4">
        <f t="shared" si="54"/>
        <v>-2.1716631529999972</v>
      </c>
      <c r="E926" s="3">
        <v>57.95</v>
      </c>
      <c r="F926" s="3">
        <v>20</v>
      </c>
      <c r="G926" s="3">
        <v>125.71305400000001</v>
      </c>
      <c r="H926" s="4">
        <f t="shared" si="57"/>
        <v>0.70723500000001138</v>
      </c>
      <c r="I926" s="4">
        <f t="shared" si="55"/>
        <v>-1.9613724719999936</v>
      </c>
      <c r="J926" s="3">
        <v>57.95</v>
      </c>
      <c r="K926" s="3">
        <v>20</v>
      </c>
      <c r="L926" s="13">
        <f>YEAR(Weekly_Prices[[#This Row],[Date]])</f>
        <v>2021</v>
      </c>
      <c r="M926" s="13">
        <f>MONTH(Weekly_Prices[[#This Row],[Date]])</f>
        <v>2</v>
      </c>
      <c r="N926" s="3" t="str">
        <f>TEXT(Weekly_Prices[[#This Row],[Date]],"MMMM")</f>
        <v>February</v>
      </c>
      <c r="O926" s="3" t="str">
        <f>YEAR(Weekly_Prices[[#This Row],[Date]])&amp;"-"&amp;TEXT(WEEKNUM(Weekly_Prices[[#This Row],[Date]],2),"00")</f>
        <v>2021-09</v>
      </c>
    </row>
    <row r="927" spans="1:15" x14ac:dyDescent="0.35">
      <c r="A927" s="2">
        <v>44256</v>
      </c>
      <c r="B927" s="3">
        <v>122.17319900000003</v>
      </c>
      <c r="C927" s="4">
        <f t="shared" si="56"/>
        <v>0.89841300000003343</v>
      </c>
      <c r="D927" s="4">
        <f t="shared" si="54"/>
        <v>-0.25807299999998179</v>
      </c>
      <c r="E927" s="3">
        <v>57.95</v>
      </c>
      <c r="F927" s="3">
        <v>20</v>
      </c>
      <c r="G927" s="3">
        <v>126.62080400000001</v>
      </c>
      <c r="H927" s="4">
        <f t="shared" si="57"/>
        <v>0.90774999999999295</v>
      </c>
      <c r="I927" s="4">
        <f t="shared" si="55"/>
        <v>-1.6599999999868942E-3</v>
      </c>
      <c r="J927" s="3">
        <v>57.95</v>
      </c>
      <c r="K927" s="3">
        <v>20</v>
      </c>
      <c r="L927" s="13">
        <f>YEAR(Weekly_Prices[[#This Row],[Date]])</f>
        <v>2021</v>
      </c>
      <c r="M927" s="13">
        <f>MONTH(Weekly_Prices[[#This Row],[Date]])</f>
        <v>3</v>
      </c>
      <c r="N927" s="3" t="str">
        <f>TEXT(Weekly_Prices[[#This Row],[Date]],"MMMM")</f>
        <v>March</v>
      </c>
      <c r="O927" s="3" t="str">
        <f>YEAR(Weekly_Prices[[#This Row],[Date]])&amp;"-"&amp;TEXT(WEEKNUM(Weekly_Prices[[#This Row],[Date]],2),"00")</f>
        <v>2021-10</v>
      </c>
    </row>
    <row r="928" spans="1:15" x14ac:dyDescent="0.35">
      <c r="A928" s="2">
        <v>44263</v>
      </c>
      <c r="B928" s="3">
        <v>122.9425</v>
      </c>
      <c r="C928" s="4">
        <f t="shared" si="56"/>
        <v>0.76930099999997026</v>
      </c>
      <c r="D928" s="4">
        <f t="shared" si="54"/>
        <v>0.69851900000000455</v>
      </c>
      <c r="E928" s="3">
        <v>57.95</v>
      </c>
      <c r="F928" s="3">
        <v>20</v>
      </c>
      <c r="G928" s="3">
        <v>127.39864900000001</v>
      </c>
      <c r="H928" s="4">
        <f t="shared" si="57"/>
        <v>0.77784499999999923</v>
      </c>
      <c r="I928" s="4">
        <f t="shared" si="55"/>
        <v>1.1460010000000125</v>
      </c>
      <c r="J928" s="3">
        <v>57.95</v>
      </c>
      <c r="K928" s="3">
        <v>20</v>
      </c>
      <c r="L928" s="13">
        <f>YEAR(Weekly_Prices[[#This Row],[Date]])</f>
        <v>2021</v>
      </c>
      <c r="M928" s="13">
        <f>MONTH(Weekly_Prices[[#This Row],[Date]])</f>
        <v>3</v>
      </c>
      <c r="N928" s="3" t="str">
        <f>TEXT(Weekly_Prices[[#This Row],[Date]],"MMMM")</f>
        <v>March</v>
      </c>
      <c r="O928" s="3" t="str">
        <f>YEAR(Weekly_Prices[[#This Row],[Date]])&amp;"-"&amp;TEXT(WEEKNUM(Weekly_Prices[[#This Row],[Date]],2),"00")</f>
        <v>2021-11</v>
      </c>
    </row>
    <row r="929" spans="1:15" x14ac:dyDescent="0.35">
      <c r="A929" s="2">
        <v>44270</v>
      </c>
      <c r="B929" s="3">
        <v>123.90088300000001</v>
      </c>
      <c r="C929" s="4">
        <f t="shared" si="56"/>
        <v>0.95838300000001198</v>
      </c>
      <c r="D929" s="4">
        <f t="shared" si="54"/>
        <v>3.5727140000000048</v>
      </c>
      <c r="E929" s="3">
        <v>57.95</v>
      </c>
      <c r="F929" s="3">
        <v>20</v>
      </c>
      <c r="G929" s="3">
        <v>128.24372499999998</v>
      </c>
      <c r="H929" s="4">
        <f t="shared" si="57"/>
        <v>0.84507599999997751</v>
      </c>
      <c r="I929" s="4">
        <f t="shared" si="55"/>
        <v>3.880250999999987</v>
      </c>
      <c r="J929" s="3">
        <v>57.95</v>
      </c>
      <c r="K929" s="3">
        <v>20</v>
      </c>
      <c r="L929" s="13">
        <f>YEAR(Weekly_Prices[[#This Row],[Date]])</f>
        <v>2021</v>
      </c>
      <c r="M929" s="13">
        <f>MONTH(Weekly_Prices[[#This Row],[Date]])</f>
        <v>3</v>
      </c>
      <c r="N929" s="3" t="str">
        <f>TEXT(Weekly_Prices[[#This Row],[Date]],"MMMM")</f>
        <v>March</v>
      </c>
      <c r="O929" s="3" t="str">
        <f>YEAR(Weekly_Prices[[#This Row],[Date]])&amp;"-"&amp;TEXT(WEEKNUM(Weekly_Prices[[#This Row],[Date]],2),"00")</f>
        <v>2021-12</v>
      </c>
    </row>
    <row r="930" spans="1:15" x14ac:dyDescent="0.35">
      <c r="A930" s="2">
        <v>44277</v>
      </c>
      <c r="B930" s="3">
        <v>124.56824700000001</v>
      </c>
      <c r="C930" s="4">
        <f t="shared" si="56"/>
        <v>0.66736400000000629</v>
      </c>
      <c r="D930" s="4">
        <f t="shared" si="54"/>
        <v>4.9237430000000302</v>
      </c>
      <c r="E930" s="3">
        <v>57.95</v>
      </c>
      <c r="F930" s="3">
        <v>20</v>
      </c>
      <c r="G930" s="3">
        <v>129.01912099999998</v>
      </c>
      <c r="H930" s="4">
        <f t="shared" si="57"/>
        <v>0.77539600000000064</v>
      </c>
      <c r="I930" s="4">
        <f t="shared" si="55"/>
        <v>5.6096359999999947</v>
      </c>
      <c r="J930" s="3">
        <v>57.95</v>
      </c>
      <c r="K930" s="3">
        <v>20</v>
      </c>
      <c r="L930" s="13">
        <f>YEAR(Weekly_Prices[[#This Row],[Date]])</f>
        <v>2021</v>
      </c>
      <c r="M930" s="13">
        <f>MONTH(Weekly_Prices[[#This Row],[Date]])</f>
        <v>3</v>
      </c>
      <c r="N930" s="3" t="str">
        <f>TEXT(Weekly_Prices[[#This Row],[Date]],"MMMM")</f>
        <v>March</v>
      </c>
      <c r="O930" s="3" t="str">
        <f>YEAR(Weekly_Prices[[#This Row],[Date]])&amp;"-"&amp;TEXT(WEEKNUM(Weekly_Prices[[#This Row],[Date]],2),"00")</f>
        <v>2021-13</v>
      </c>
    </row>
    <row r="931" spans="1:15" x14ac:dyDescent="0.35">
      <c r="A931" s="2">
        <v>44284</v>
      </c>
      <c r="B931" s="3">
        <v>125.126976</v>
      </c>
      <c r="C931" s="4">
        <f t="shared" si="56"/>
        <v>0.55872899999998538</v>
      </c>
      <c r="D931" s="4">
        <f t="shared" si="54"/>
        <v>12.674267</v>
      </c>
      <c r="E931" s="3">
        <v>57.95</v>
      </c>
      <c r="F931" s="3">
        <v>20</v>
      </c>
      <c r="G931" s="3">
        <v>129.31510800000001</v>
      </c>
      <c r="H931" s="4">
        <f t="shared" si="57"/>
        <v>0.29598700000002509</v>
      </c>
      <c r="I931" s="4">
        <f t="shared" si="55"/>
        <v>10.717109999999991</v>
      </c>
      <c r="J931" s="3">
        <v>57.95</v>
      </c>
      <c r="K931" s="3">
        <v>20</v>
      </c>
      <c r="L931" s="13">
        <f>YEAR(Weekly_Prices[[#This Row],[Date]])</f>
        <v>2021</v>
      </c>
      <c r="M931" s="13">
        <f>MONTH(Weekly_Prices[[#This Row],[Date]])</f>
        <v>3</v>
      </c>
      <c r="N931" s="3" t="str">
        <f>TEXT(Weekly_Prices[[#This Row],[Date]],"MMMM")</f>
        <v>March</v>
      </c>
      <c r="O931" s="3" t="str">
        <f>YEAR(Weekly_Prices[[#This Row],[Date]])&amp;"-"&amp;TEXT(WEEKNUM(Weekly_Prices[[#This Row],[Date]],2),"00")</f>
        <v>2021-14</v>
      </c>
    </row>
    <row r="932" spans="1:15" x14ac:dyDescent="0.35">
      <c r="A932" s="2">
        <v>44291</v>
      </c>
      <c r="B932" s="3">
        <v>125.24042299999999</v>
      </c>
      <c r="C932" s="4">
        <f t="shared" si="56"/>
        <v>0.11344699999999364</v>
      </c>
      <c r="D932" s="4">
        <f t="shared" si="54"/>
        <v>15.005625999999992</v>
      </c>
      <c r="E932" s="3">
        <v>57.95</v>
      </c>
      <c r="F932" s="3">
        <v>20</v>
      </c>
      <c r="G932" s="3">
        <v>129.35074500000002</v>
      </c>
      <c r="H932" s="4">
        <f t="shared" si="57"/>
        <v>3.5637000000008356E-2</v>
      </c>
      <c r="I932" s="4">
        <f t="shared" si="55"/>
        <v>12.517391000000018</v>
      </c>
      <c r="J932" s="3">
        <v>57.95</v>
      </c>
      <c r="K932" s="3">
        <v>20</v>
      </c>
      <c r="L932" s="13">
        <f>YEAR(Weekly_Prices[[#This Row],[Date]])</f>
        <v>2021</v>
      </c>
      <c r="M932" s="13">
        <f>MONTH(Weekly_Prices[[#This Row],[Date]])</f>
        <v>4</v>
      </c>
      <c r="N932" s="3" t="str">
        <f>TEXT(Weekly_Prices[[#This Row],[Date]],"MMMM")</f>
        <v>April</v>
      </c>
      <c r="O932" s="3" t="str">
        <f>YEAR(Weekly_Prices[[#This Row],[Date]])&amp;"-"&amp;TEXT(WEEKNUM(Weekly_Prices[[#This Row],[Date]],2),"00")</f>
        <v>2021-15</v>
      </c>
    </row>
    <row r="933" spans="1:15" x14ac:dyDescent="0.35">
      <c r="A933" s="2">
        <v>44298</v>
      </c>
      <c r="B933" s="3">
        <v>125.39819899999999</v>
      </c>
      <c r="C933" s="4">
        <f t="shared" si="56"/>
        <v>0.15777599999999836</v>
      </c>
      <c r="D933" s="4">
        <f t="shared" si="54"/>
        <v>16.132379999999998</v>
      </c>
      <c r="E933" s="3">
        <v>57.95</v>
      </c>
      <c r="F933" s="3">
        <v>20</v>
      </c>
      <c r="G933" s="3">
        <v>129.387406</v>
      </c>
      <c r="H933" s="4">
        <f t="shared" si="57"/>
        <v>3.6660999999980959E-2</v>
      </c>
      <c r="I933" s="4">
        <f t="shared" si="55"/>
        <v>13.236593999999997</v>
      </c>
      <c r="J933" s="3">
        <v>57.95</v>
      </c>
      <c r="K933" s="3">
        <v>20</v>
      </c>
      <c r="L933" s="13">
        <f>YEAR(Weekly_Prices[[#This Row],[Date]])</f>
        <v>2021</v>
      </c>
      <c r="M933" s="13">
        <f>MONTH(Weekly_Prices[[#This Row],[Date]])</f>
        <v>4</v>
      </c>
      <c r="N933" s="3" t="str">
        <f>TEXT(Weekly_Prices[[#This Row],[Date]],"MMMM")</f>
        <v>April</v>
      </c>
      <c r="O933" s="3" t="str">
        <f>YEAR(Weekly_Prices[[#This Row],[Date]])&amp;"-"&amp;TEXT(WEEKNUM(Weekly_Prices[[#This Row],[Date]],2),"00")</f>
        <v>2021-16</v>
      </c>
    </row>
    <row r="934" spans="1:15" x14ac:dyDescent="0.35">
      <c r="A934" s="2">
        <v>44305</v>
      </c>
      <c r="B934" s="3">
        <v>125.47801700000001</v>
      </c>
      <c r="C934" s="4">
        <f t="shared" si="56"/>
        <v>7.9818000000017264E-2</v>
      </c>
      <c r="D934" s="4">
        <f t="shared" si="54"/>
        <v>16.845270000000014</v>
      </c>
      <c r="E934" s="3">
        <v>57.95</v>
      </c>
      <c r="F934" s="3">
        <v>20</v>
      </c>
      <c r="G934" s="3">
        <v>129.49358799999999</v>
      </c>
      <c r="H934" s="4">
        <f t="shared" si="57"/>
        <v>0.10618199999998978</v>
      </c>
      <c r="I934" s="4">
        <f t="shared" si="55"/>
        <v>13.761014999999986</v>
      </c>
      <c r="J934" s="3">
        <v>57.95</v>
      </c>
      <c r="K934" s="3">
        <v>20</v>
      </c>
      <c r="L934" s="13">
        <f>YEAR(Weekly_Prices[[#This Row],[Date]])</f>
        <v>2021</v>
      </c>
      <c r="M934" s="13">
        <f>MONTH(Weekly_Prices[[#This Row],[Date]])</f>
        <v>4</v>
      </c>
      <c r="N934" s="3" t="str">
        <f>TEXT(Weekly_Prices[[#This Row],[Date]],"MMMM")</f>
        <v>April</v>
      </c>
      <c r="O934" s="3" t="str">
        <f>YEAR(Weekly_Prices[[#This Row],[Date]])&amp;"-"&amp;TEXT(WEEKNUM(Weekly_Prices[[#This Row],[Date]],2),"00")</f>
        <v>2021-17</v>
      </c>
    </row>
    <row r="935" spans="1:15" x14ac:dyDescent="0.35">
      <c r="A935" s="2">
        <v>44312</v>
      </c>
      <c r="B935" s="3">
        <v>125.79891173200001</v>
      </c>
      <c r="C935" s="4">
        <f t="shared" si="56"/>
        <v>0.32089473199999929</v>
      </c>
      <c r="D935" s="4">
        <f t="shared" si="54"/>
        <v>17.923851732000017</v>
      </c>
      <c r="E935" s="3">
        <v>57.95</v>
      </c>
      <c r="F935" s="3">
        <v>20</v>
      </c>
      <c r="G935" s="3">
        <v>129.76547434399998</v>
      </c>
      <c r="H935" s="4">
        <f t="shared" si="57"/>
        <v>0.27188634399999501</v>
      </c>
      <c r="I935" s="4">
        <f t="shared" si="55"/>
        <v>14.549322343999989</v>
      </c>
      <c r="J935" s="3">
        <v>57.95</v>
      </c>
      <c r="K935" s="3">
        <v>20</v>
      </c>
      <c r="L935" s="13">
        <f>YEAR(Weekly_Prices[[#This Row],[Date]])</f>
        <v>2021</v>
      </c>
      <c r="M935" s="13">
        <f>MONTH(Weekly_Prices[[#This Row],[Date]])</f>
        <v>4</v>
      </c>
      <c r="N935" s="3" t="str">
        <f>TEXT(Weekly_Prices[[#This Row],[Date]],"MMMM")</f>
        <v>April</v>
      </c>
      <c r="O935" s="3" t="str">
        <f>YEAR(Weekly_Prices[[#This Row],[Date]])&amp;"-"&amp;TEXT(WEEKNUM(Weekly_Prices[[#This Row],[Date]],2),"00")</f>
        <v>2021-18</v>
      </c>
    </row>
    <row r="936" spans="1:15" x14ac:dyDescent="0.35">
      <c r="A936" s="2">
        <v>44319</v>
      </c>
      <c r="B936" s="3">
        <v>126.09330899999999</v>
      </c>
      <c r="C936" s="4">
        <f t="shared" si="56"/>
        <v>0.29439726799998311</v>
      </c>
      <c r="D936" s="4">
        <f t="shared" si="54"/>
        <v>18.537919999999971</v>
      </c>
      <c r="E936" s="3">
        <v>57.95</v>
      </c>
      <c r="F936" s="3">
        <v>20</v>
      </c>
      <c r="G936" s="3">
        <v>130.00239800000003</v>
      </c>
      <c r="H936" s="4">
        <f t="shared" si="57"/>
        <v>0.2369236560000445</v>
      </c>
      <c r="I936" s="4">
        <f t="shared" si="55"/>
        <v>15.063414000000037</v>
      </c>
      <c r="J936" s="3">
        <v>57.95</v>
      </c>
      <c r="K936" s="3">
        <v>20</v>
      </c>
      <c r="L936" s="13">
        <f>YEAR(Weekly_Prices[[#This Row],[Date]])</f>
        <v>2021</v>
      </c>
      <c r="M936" s="13">
        <f>MONTH(Weekly_Prices[[#This Row],[Date]])</f>
        <v>5</v>
      </c>
      <c r="N936" s="3" t="str">
        <f>TEXT(Weekly_Prices[[#This Row],[Date]],"MMMM")</f>
        <v>May</v>
      </c>
      <c r="O936" s="3" t="str">
        <f>YEAR(Weekly_Prices[[#This Row],[Date]])&amp;"-"&amp;TEXT(WEEKNUM(Weekly_Prices[[#This Row],[Date]],2),"00")</f>
        <v>2021-19</v>
      </c>
    </row>
    <row r="937" spans="1:15" x14ac:dyDescent="0.35">
      <c r="A937" s="2">
        <v>44326</v>
      </c>
      <c r="B937" s="3">
        <v>126.52649100000002</v>
      </c>
      <c r="C937" s="4">
        <f t="shared" si="56"/>
        <v>0.4331820000000306</v>
      </c>
      <c r="D937" s="4">
        <f t="shared" si="54"/>
        <v>19.072131000000013</v>
      </c>
      <c r="E937" s="3">
        <v>57.95</v>
      </c>
      <c r="F937" s="3">
        <v>20</v>
      </c>
      <c r="G937" s="3">
        <v>130.42744199999999</v>
      </c>
      <c r="H937" s="4">
        <f t="shared" si="57"/>
        <v>0.42504399999995712</v>
      </c>
      <c r="I937" s="4">
        <f t="shared" si="55"/>
        <v>15.599614999999986</v>
      </c>
      <c r="J937" s="3">
        <v>57.95</v>
      </c>
      <c r="K937" s="3">
        <v>20</v>
      </c>
      <c r="L937" s="13">
        <f>YEAR(Weekly_Prices[[#This Row],[Date]])</f>
        <v>2021</v>
      </c>
      <c r="M937" s="13">
        <f>MONTH(Weekly_Prices[[#This Row],[Date]])</f>
        <v>5</v>
      </c>
      <c r="N937" s="3" t="str">
        <f>TEXT(Weekly_Prices[[#This Row],[Date]],"MMMM")</f>
        <v>May</v>
      </c>
      <c r="O937" s="3" t="str">
        <f>YEAR(Weekly_Prices[[#This Row],[Date]])&amp;"-"&amp;TEXT(WEEKNUM(Weekly_Prices[[#This Row],[Date]],2),"00")</f>
        <v>2021-20</v>
      </c>
    </row>
    <row r="938" spans="1:15" x14ac:dyDescent="0.35">
      <c r="A938" s="2">
        <v>44333</v>
      </c>
      <c r="B938" s="3">
        <v>127.19096</v>
      </c>
      <c r="C938" s="4">
        <f t="shared" si="56"/>
        <v>0.66446899999998266</v>
      </c>
      <c r="D938" s="4">
        <f t="shared" si="54"/>
        <v>22.097436000000002</v>
      </c>
      <c r="E938" s="3">
        <v>57.95</v>
      </c>
      <c r="F938" s="3">
        <v>20</v>
      </c>
      <c r="G938" s="3">
        <v>131.02749500000002</v>
      </c>
      <c r="H938" s="4">
        <f t="shared" si="57"/>
        <v>0.60005300000003103</v>
      </c>
      <c r="I938" s="4">
        <f t="shared" si="55"/>
        <v>18.805640000000011</v>
      </c>
      <c r="J938" s="3">
        <v>57.95</v>
      </c>
      <c r="K938" s="3">
        <v>20</v>
      </c>
      <c r="L938" s="13">
        <f>YEAR(Weekly_Prices[[#This Row],[Date]])</f>
        <v>2021</v>
      </c>
      <c r="M938" s="13">
        <f>MONTH(Weekly_Prices[[#This Row],[Date]])</f>
        <v>5</v>
      </c>
      <c r="N938" s="3" t="str">
        <f>TEXT(Weekly_Prices[[#This Row],[Date]],"MMMM")</f>
        <v>May</v>
      </c>
      <c r="O938" s="3" t="str">
        <f>YEAR(Weekly_Prices[[#This Row],[Date]])&amp;"-"&amp;TEXT(WEEKNUM(Weekly_Prices[[#This Row],[Date]],2),"00")</f>
        <v>2021-21</v>
      </c>
    </row>
    <row r="939" spans="1:15" x14ac:dyDescent="0.35">
      <c r="A939" s="2">
        <v>44340</v>
      </c>
      <c r="B939" s="3">
        <v>127.891299</v>
      </c>
      <c r="C939" s="4">
        <f t="shared" si="56"/>
        <v>0.7003389999999996</v>
      </c>
      <c r="D939" s="4">
        <f t="shared" si="54"/>
        <v>23.021951000000001</v>
      </c>
      <c r="E939" s="3">
        <v>57.95</v>
      </c>
      <c r="F939" s="3">
        <v>20</v>
      </c>
      <c r="G939" s="3">
        <v>131.524766</v>
      </c>
      <c r="H939" s="4">
        <f t="shared" si="57"/>
        <v>0.49727099999998359</v>
      </c>
      <c r="I939" s="4">
        <f t="shared" si="55"/>
        <v>19.820391000000015</v>
      </c>
      <c r="J939" s="3">
        <v>57.95</v>
      </c>
      <c r="K939" s="3">
        <v>20</v>
      </c>
      <c r="L939" s="13">
        <f>YEAR(Weekly_Prices[[#This Row],[Date]])</f>
        <v>2021</v>
      </c>
      <c r="M939" s="13">
        <f>MONTH(Weekly_Prices[[#This Row],[Date]])</f>
        <v>5</v>
      </c>
      <c r="N939" s="3" t="str">
        <f>TEXT(Weekly_Prices[[#This Row],[Date]],"MMMM")</f>
        <v>May</v>
      </c>
      <c r="O939" s="3" t="str">
        <f>YEAR(Weekly_Prices[[#This Row],[Date]])&amp;"-"&amp;TEXT(WEEKNUM(Weekly_Prices[[#This Row],[Date]],2),"00")</f>
        <v>2021-22</v>
      </c>
    </row>
    <row r="940" spans="1:15" x14ac:dyDescent="0.35">
      <c r="A940" s="2">
        <v>44347</v>
      </c>
      <c r="B940" s="3">
        <v>128.15261442799999</v>
      </c>
      <c r="C940" s="4">
        <f t="shared" si="56"/>
        <v>0.26131542799998897</v>
      </c>
      <c r="D940" s="4">
        <f t="shared" si="54"/>
        <v>22.979720427999979</v>
      </c>
      <c r="E940" s="3">
        <v>57.95</v>
      </c>
      <c r="F940" s="3">
        <v>20</v>
      </c>
      <c r="G940" s="3">
        <v>131.81742053599999</v>
      </c>
      <c r="H940" s="4">
        <f t="shared" si="57"/>
        <v>0.29265453599998636</v>
      </c>
      <c r="I940" s="4">
        <f t="shared" si="55"/>
        <v>20.052714535999996</v>
      </c>
      <c r="J940" s="3">
        <v>57.95</v>
      </c>
      <c r="K940" s="3">
        <v>20</v>
      </c>
      <c r="L940" s="13">
        <f>YEAR(Weekly_Prices[[#This Row],[Date]])</f>
        <v>2021</v>
      </c>
      <c r="M940" s="13">
        <f>MONTH(Weekly_Prices[[#This Row],[Date]])</f>
        <v>5</v>
      </c>
      <c r="N940" s="3" t="str">
        <f>TEXT(Weekly_Prices[[#This Row],[Date]],"MMMM")</f>
        <v>May</v>
      </c>
      <c r="O940" s="3" t="str">
        <f>YEAR(Weekly_Prices[[#This Row],[Date]])&amp;"-"&amp;TEXT(WEEKNUM(Weekly_Prices[[#This Row],[Date]],2),"00")</f>
        <v>2021-23</v>
      </c>
    </row>
    <row r="941" spans="1:15" x14ac:dyDescent="0.35">
      <c r="A941" s="2">
        <v>44354</v>
      </c>
      <c r="B941" s="3">
        <v>128.68976444100002</v>
      </c>
      <c r="C941" s="4">
        <f t="shared" si="56"/>
        <v>0.53715001300002996</v>
      </c>
      <c r="D941" s="4">
        <f t="shared" si="54"/>
        <v>22.953759441000017</v>
      </c>
      <c r="E941" s="3">
        <v>57.95</v>
      </c>
      <c r="F941" s="3">
        <v>20</v>
      </c>
      <c r="G941" s="3">
        <v>132.38016402400001</v>
      </c>
      <c r="H941" s="4">
        <f t="shared" si="57"/>
        <v>0.56274348800002372</v>
      </c>
      <c r="I941" s="4">
        <f t="shared" si="55"/>
        <v>20.39888802400003</v>
      </c>
      <c r="J941" s="3">
        <v>57.95</v>
      </c>
      <c r="K941" s="3">
        <v>20</v>
      </c>
      <c r="L941" s="13">
        <f>YEAR(Weekly_Prices[[#This Row],[Date]])</f>
        <v>2021</v>
      </c>
      <c r="M941" s="13">
        <f>MONTH(Weekly_Prices[[#This Row],[Date]])</f>
        <v>6</v>
      </c>
      <c r="N941" s="3" t="str">
        <f>TEXT(Weekly_Prices[[#This Row],[Date]],"MMMM")</f>
        <v>June</v>
      </c>
      <c r="O941" s="3" t="str">
        <f>YEAR(Weekly_Prices[[#This Row],[Date]])&amp;"-"&amp;TEXT(WEEKNUM(Weekly_Prices[[#This Row],[Date]],2),"00")</f>
        <v>2021-24</v>
      </c>
    </row>
    <row r="942" spans="1:15" x14ac:dyDescent="0.35">
      <c r="A942" s="2">
        <v>44361</v>
      </c>
      <c r="B942" s="3">
        <v>129.46886327999999</v>
      </c>
      <c r="C942" s="4">
        <f t="shared" si="56"/>
        <v>0.77909883899997112</v>
      </c>
      <c r="D942" s="4">
        <f t="shared" si="54"/>
        <v>23.093967279999987</v>
      </c>
      <c r="E942" s="3">
        <v>57.95</v>
      </c>
      <c r="F942" s="3">
        <v>20</v>
      </c>
      <c r="G942" s="3">
        <v>133.17169439999998</v>
      </c>
      <c r="H942" s="4">
        <f t="shared" si="57"/>
        <v>0.79153037599996878</v>
      </c>
      <c r="I942" s="4">
        <f t="shared" si="55"/>
        <v>20.63987539999998</v>
      </c>
      <c r="J942" s="3">
        <v>57.95</v>
      </c>
      <c r="K942" s="3">
        <v>20</v>
      </c>
      <c r="L942" s="13">
        <f>YEAR(Weekly_Prices[[#This Row],[Date]])</f>
        <v>2021</v>
      </c>
      <c r="M942" s="13">
        <f>MONTH(Weekly_Prices[[#This Row],[Date]])</f>
        <v>6</v>
      </c>
      <c r="N942" s="3" t="str">
        <f>TEXT(Weekly_Prices[[#This Row],[Date]],"MMMM")</f>
        <v>June</v>
      </c>
      <c r="O942" s="3" t="str">
        <f>YEAR(Weekly_Prices[[#This Row],[Date]])&amp;"-"&amp;TEXT(WEEKNUM(Weekly_Prices[[#This Row],[Date]],2),"00")</f>
        <v>2021-25</v>
      </c>
    </row>
    <row r="943" spans="1:15" x14ac:dyDescent="0.35">
      <c r="A943" s="2">
        <v>44368</v>
      </c>
      <c r="B943" s="3">
        <v>130.100022889</v>
      </c>
      <c r="C943" s="4">
        <f t="shared" si="56"/>
        <v>0.631159609000008</v>
      </c>
      <c r="D943" s="4">
        <f t="shared" si="54"/>
        <v>22.974022888999997</v>
      </c>
      <c r="E943" s="3">
        <v>57.95</v>
      </c>
      <c r="F943" s="3">
        <v>20</v>
      </c>
      <c r="G943" s="3">
        <v>133.69090350399998</v>
      </c>
      <c r="H943" s="4">
        <f t="shared" si="57"/>
        <v>0.51920910399999798</v>
      </c>
      <c r="I943" s="4">
        <f t="shared" si="55"/>
        <v>20.709610503999969</v>
      </c>
      <c r="J943" s="3">
        <v>57.95</v>
      </c>
      <c r="K943" s="3">
        <v>20</v>
      </c>
      <c r="L943" s="13">
        <f>YEAR(Weekly_Prices[[#This Row],[Date]])</f>
        <v>2021</v>
      </c>
      <c r="M943" s="13">
        <f>MONTH(Weekly_Prices[[#This Row],[Date]])</f>
        <v>6</v>
      </c>
      <c r="N943" s="3" t="str">
        <f>TEXT(Weekly_Prices[[#This Row],[Date]],"MMMM")</f>
        <v>June</v>
      </c>
      <c r="O943" s="3" t="str">
        <f>YEAR(Weekly_Prices[[#This Row],[Date]])&amp;"-"&amp;TEXT(WEEKNUM(Weekly_Prices[[#This Row],[Date]],2),"00")</f>
        <v>2021-26</v>
      </c>
    </row>
    <row r="944" spans="1:15" x14ac:dyDescent="0.35">
      <c r="A944" s="2">
        <v>44375</v>
      </c>
      <c r="B944" s="3">
        <v>130.72559449300002</v>
      </c>
      <c r="C944" s="4">
        <f t="shared" si="56"/>
        <v>0.62557160400001521</v>
      </c>
      <c r="D944" s="4">
        <f t="shared" si="54"/>
        <v>22.418601493000011</v>
      </c>
      <c r="E944" s="3">
        <v>57.95</v>
      </c>
      <c r="F944" s="3">
        <v>20</v>
      </c>
      <c r="G944" s="3">
        <v>134.274534184</v>
      </c>
      <c r="H944" s="4">
        <f t="shared" si="57"/>
        <v>0.58363068000002727</v>
      </c>
      <c r="I944" s="4">
        <f t="shared" si="55"/>
        <v>20.173070183999997</v>
      </c>
      <c r="J944" s="3">
        <v>57.95</v>
      </c>
      <c r="K944" s="3">
        <v>20</v>
      </c>
      <c r="L944" s="13">
        <f>YEAR(Weekly_Prices[[#This Row],[Date]])</f>
        <v>2021</v>
      </c>
      <c r="M944" s="13">
        <f>MONTH(Weekly_Prices[[#This Row],[Date]])</f>
        <v>6</v>
      </c>
      <c r="N944" s="3" t="str">
        <f>TEXT(Weekly_Prices[[#This Row],[Date]],"MMMM")</f>
        <v>June</v>
      </c>
      <c r="O944" s="3" t="str">
        <f>YEAR(Weekly_Prices[[#This Row],[Date]])&amp;"-"&amp;TEXT(WEEKNUM(Weekly_Prices[[#This Row],[Date]],2),"00")</f>
        <v>2021-27</v>
      </c>
    </row>
    <row r="945" spans="1:15" x14ac:dyDescent="0.35">
      <c r="A945" s="2">
        <v>44382</v>
      </c>
      <c r="B945" s="3">
        <v>131.69866500000001</v>
      </c>
      <c r="C945" s="4">
        <f t="shared" si="56"/>
        <v>0.97307050699998854</v>
      </c>
      <c r="D945" s="4">
        <f t="shared" si="54"/>
        <v>22.270613999999995</v>
      </c>
      <c r="E945" s="3">
        <v>57.95</v>
      </c>
      <c r="F945" s="3">
        <v>20</v>
      </c>
      <c r="G945" s="3">
        <v>134.12504833333335</v>
      </c>
      <c r="H945" s="4">
        <f t="shared" si="57"/>
        <v>-0.14948585066665032</v>
      </c>
      <c r="I945" s="4">
        <f t="shared" si="55"/>
        <v>19.076334333333364</v>
      </c>
      <c r="J945" s="3">
        <v>57.95</v>
      </c>
      <c r="K945" s="3">
        <v>20</v>
      </c>
      <c r="L945" s="13">
        <f>YEAR(Weekly_Prices[[#This Row],[Date]])</f>
        <v>2021</v>
      </c>
      <c r="M945" s="13">
        <f>MONTH(Weekly_Prices[[#This Row],[Date]])</f>
        <v>7</v>
      </c>
      <c r="N945" s="3" t="str">
        <f>TEXT(Weekly_Prices[[#This Row],[Date]],"MMMM")</f>
        <v>July</v>
      </c>
      <c r="O945" s="3" t="str">
        <f>YEAR(Weekly_Prices[[#This Row],[Date]])&amp;"-"&amp;TEXT(WEEKNUM(Weekly_Prices[[#This Row],[Date]],2),"00")</f>
        <v>2021-28</v>
      </c>
    </row>
    <row r="946" spans="1:15" x14ac:dyDescent="0.35">
      <c r="A946" s="2">
        <v>44389</v>
      </c>
      <c r="B946" s="3">
        <v>132.469697021</v>
      </c>
      <c r="C946" s="4">
        <f t="shared" si="56"/>
        <v>0.77103202099999635</v>
      </c>
      <c r="D946" s="4">
        <f t="shared" si="54"/>
        <v>21.233102020999993</v>
      </c>
      <c r="E946" s="3">
        <v>57.95</v>
      </c>
      <c r="F946" s="3">
        <v>20</v>
      </c>
      <c r="G946" s="3">
        <v>135.28727276800001</v>
      </c>
      <c r="H946" s="4">
        <f t="shared" si="57"/>
        <v>1.1622244346666548</v>
      </c>
      <c r="I946" s="4">
        <f t="shared" si="55"/>
        <v>18.539771768000008</v>
      </c>
      <c r="J946" s="3">
        <v>57.95</v>
      </c>
      <c r="K946" s="3">
        <v>20</v>
      </c>
      <c r="L946" s="13">
        <f>YEAR(Weekly_Prices[[#This Row],[Date]])</f>
        <v>2021</v>
      </c>
      <c r="M946" s="13">
        <f>MONTH(Weekly_Prices[[#This Row],[Date]])</f>
        <v>7</v>
      </c>
      <c r="N946" s="3" t="str">
        <f>TEXT(Weekly_Prices[[#This Row],[Date]],"MMMM")</f>
        <v>July</v>
      </c>
      <c r="O946" s="3" t="str">
        <f>YEAR(Weekly_Prices[[#This Row],[Date]])&amp;"-"&amp;TEXT(WEEKNUM(Weekly_Prices[[#This Row],[Date]],2),"00")</f>
        <v>2021-29</v>
      </c>
    </row>
    <row r="947" spans="1:15" x14ac:dyDescent="0.35">
      <c r="A947" s="2">
        <v>44396</v>
      </c>
      <c r="B947" s="3">
        <v>133.20211435699997</v>
      </c>
      <c r="C947" s="4">
        <f t="shared" si="56"/>
        <v>0.73241733599996905</v>
      </c>
      <c r="D947" s="4">
        <f t="shared" si="54"/>
        <v>20.972122356999961</v>
      </c>
      <c r="E947" s="3">
        <v>57.95</v>
      </c>
      <c r="F947" s="3">
        <v>20</v>
      </c>
      <c r="G947" s="3">
        <v>135.94870184799998</v>
      </c>
      <c r="H947" s="4">
        <f t="shared" si="57"/>
        <v>0.66142907999997647</v>
      </c>
      <c r="I947" s="4">
        <f t="shared" si="55"/>
        <v>18.595616847999992</v>
      </c>
      <c r="J947" s="3">
        <v>57.95</v>
      </c>
      <c r="K947" s="3">
        <v>20</v>
      </c>
      <c r="L947" s="13">
        <f>YEAR(Weekly_Prices[[#This Row],[Date]])</f>
        <v>2021</v>
      </c>
      <c r="M947" s="13">
        <f>MONTH(Weekly_Prices[[#This Row],[Date]])</f>
        <v>7</v>
      </c>
      <c r="N947" s="3" t="str">
        <f>TEXT(Weekly_Prices[[#This Row],[Date]],"MMMM")</f>
        <v>July</v>
      </c>
      <c r="O947" s="3" t="str">
        <f>YEAR(Weekly_Prices[[#This Row],[Date]])&amp;"-"&amp;TEXT(WEEKNUM(Weekly_Prices[[#This Row],[Date]],2),"00")</f>
        <v>2021-30</v>
      </c>
    </row>
    <row r="948" spans="1:15" x14ac:dyDescent="0.35">
      <c r="A948" s="2">
        <v>44403</v>
      </c>
      <c r="B948" s="3">
        <v>133.48252425000001</v>
      </c>
      <c r="C948" s="4">
        <f t="shared" si="56"/>
        <v>0.28040989300004071</v>
      </c>
      <c r="D948" s="4">
        <f t="shared" si="54"/>
        <v>20.818906250000012</v>
      </c>
      <c r="E948" s="3">
        <v>57.95</v>
      </c>
      <c r="F948" s="3">
        <v>20</v>
      </c>
      <c r="G948" s="3">
        <v>136.20393364</v>
      </c>
      <c r="H948" s="4">
        <f t="shared" si="57"/>
        <v>0.25523179200001778</v>
      </c>
      <c r="I948" s="4">
        <f t="shared" si="55"/>
        <v>18.448301639999997</v>
      </c>
      <c r="J948" s="3">
        <v>57.95</v>
      </c>
      <c r="K948" s="3">
        <v>20</v>
      </c>
      <c r="L948" s="13">
        <f>YEAR(Weekly_Prices[[#This Row],[Date]])</f>
        <v>2021</v>
      </c>
      <c r="M948" s="13">
        <f>MONTH(Weekly_Prices[[#This Row],[Date]])</f>
        <v>7</v>
      </c>
      <c r="N948" s="3" t="str">
        <f>TEXT(Weekly_Prices[[#This Row],[Date]],"MMMM")</f>
        <v>July</v>
      </c>
      <c r="O948" s="3" t="str">
        <f>YEAR(Weekly_Prices[[#This Row],[Date]])&amp;"-"&amp;TEXT(WEEKNUM(Weekly_Prices[[#This Row],[Date]],2),"00")</f>
        <v>2021-31</v>
      </c>
    </row>
    <row r="949" spans="1:15" x14ac:dyDescent="0.35">
      <c r="A949" s="2">
        <v>44410</v>
      </c>
      <c r="B949" s="3">
        <v>134.20827500000001</v>
      </c>
      <c r="C949" s="4">
        <f t="shared" si="56"/>
        <v>0.72575075000000311</v>
      </c>
      <c r="D949" s="4">
        <f t="shared" si="54"/>
        <v>21.293844000000007</v>
      </c>
      <c r="E949" s="3">
        <v>57.95</v>
      </c>
      <c r="F949" s="3">
        <v>20</v>
      </c>
      <c r="G949" s="3">
        <v>136.88999999999999</v>
      </c>
      <c r="H949" s="4">
        <f t="shared" si="57"/>
        <v>0.68606635999998389</v>
      </c>
      <c r="I949" s="4">
        <f t="shared" si="55"/>
        <v>18.915850999999975</v>
      </c>
      <c r="J949" s="3">
        <v>57.95</v>
      </c>
      <c r="K949" s="3">
        <v>20</v>
      </c>
      <c r="L949" s="13">
        <f>YEAR(Weekly_Prices[[#This Row],[Date]])</f>
        <v>2021</v>
      </c>
      <c r="M949" s="13">
        <f>MONTH(Weekly_Prices[[#This Row],[Date]])</f>
        <v>8</v>
      </c>
      <c r="N949" s="3" t="str">
        <f>TEXT(Weekly_Prices[[#This Row],[Date]],"MMMM")</f>
        <v>August</v>
      </c>
      <c r="O949" s="3" t="str">
        <f>YEAR(Weekly_Prices[[#This Row],[Date]])&amp;"-"&amp;TEXT(WEEKNUM(Weekly_Prices[[#This Row],[Date]],2),"00")</f>
        <v>2021-32</v>
      </c>
    </row>
    <row r="950" spans="1:15" x14ac:dyDescent="0.35">
      <c r="A950" s="2">
        <v>44417</v>
      </c>
      <c r="B950" s="3">
        <v>134.69871161</v>
      </c>
      <c r="C950" s="4">
        <f t="shared" si="56"/>
        <v>0.49043660999998906</v>
      </c>
      <c r="D950" s="4">
        <f t="shared" si="54"/>
        <v>21.681611610000019</v>
      </c>
      <c r="E950" s="3">
        <v>57.95</v>
      </c>
      <c r="F950" s="3">
        <v>20</v>
      </c>
      <c r="G950" s="3">
        <v>137.31</v>
      </c>
      <c r="H950" s="4">
        <f t="shared" si="57"/>
        <v>0.42000000000001592</v>
      </c>
      <c r="I950" s="4">
        <f t="shared" si="55"/>
        <v>19.300957999999994</v>
      </c>
      <c r="J950" s="3">
        <v>57.95</v>
      </c>
      <c r="K950" s="3">
        <v>20</v>
      </c>
      <c r="L950" s="13">
        <f>YEAR(Weekly_Prices[[#This Row],[Date]])</f>
        <v>2021</v>
      </c>
      <c r="M950" s="13">
        <f>MONTH(Weekly_Prices[[#This Row],[Date]])</f>
        <v>8</v>
      </c>
      <c r="N950" s="3" t="str">
        <f>TEXT(Weekly_Prices[[#This Row],[Date]],"MMMM")</f>
        <v>August</v>
      </c>
      <c r="O950" s="3" t="str">
        <f>YEAR(Weekly_Prices[[#This Row],[Date]])&amp;"-"&amp;TEXT(WEEKNUM(Weekly_Prices[[#This Row],[Date]],2),"00")</f>
        <v>2021-33</v>
      </c>
    </row>
    <row r="951" spans="1:15" x14ac:dyDescent="0.35">
      <c r="A951" s="2">
        <v>44424</v>
      </c>
      <c r="B951" s="3">
        <v>134.70406100000002</v>
      </c>
      <c r="C951" s="4">
        <f t="shared" si="56"/>
        <v>5.3493900000205485E-3</v>
      </c>
      <c r="D951" s="4">
        <f t="shared" ref="D951:D1014" si="58">B951-B899</f>
        <v>21.666218000000029</v>
      </c>
      <c r="E951" s="3">
        <v>57.95</v>
      </c>
      <c r="F951" s="3">
        <v>20</v>
      </c>
      <c r="G951" s="3">
        <v>136.77000000000001</v>
      </c>
      <c r="H951" s="4">
        <f t="shared" si="57"/>
        <v>-0.53999999999999204</v>
      </c>
      <c r="I951" s="4">
        <f t="shared" ref="I951:I1014" si="59">G951-G899</f>
        <v>18.773779000000005</v>
      </c>
      <c r="J951" s="3">
        <v>57.95</v>
      </c>
      <c r="K951" s="3">
        <v>20</v>
      </c>
      <c r="L951" s="13">
        <f>YEAR(Weekly_Prices[[#This Row],[Date]])</f>
        <v>2021</v>
      </c>
      <c r="M951" s="13">
        <f>MONTH(Weekly_Prices[[#This Row],[Date]])</f>
        <v>8</v>
      </c>
      <c r="N951" s="3" t="str">
        <f>TEXT(Weekly_Prices[[#This Row],[Date]],"MMMM")</f>
        <v>August</v>
      </c>
      <c r="O951" s="3" t="str">
        <f>YEAR(Weekly_Prices[[#This Row],[Date]])&amp;"-"&amp;TEXT(WEEKNUM(Weekly_Prices[[#This Row],[Date]],2),"00")</f>
        <v>2021-34</v>
      </c>
    </row>
    <row r="952" spans="1:15" x14ac:dyDescent="0.35">
      <c r="A952" s="2">
        <v>44431</v>
      </c>
      <c r="B952" s="3">
        <v>134.678586</v>
      </c>
      <c r="C952" s="4">
        <f t="shared" si="56"/>
        <v>-2.5475000000028558E-2</v>
      </c>
      <c r="D952" s="4">
        <f t="shared" si="58"/>
        <v>21.458132000000006</v>
      </c>
      <c r="E952" s="3">
        <v>57.95</v>
      </c>
      <c r="F952" s="3">
        <v>20</v>
      </c>
      <c r="G952" s="3">
        <v>137.15</v>
      </c>
      <c r="H952" s="4">
        <f t="shared" si="57"/>
        <v>0.37999999999999545</v>
      </c>
      <c r="I952" s="4">
        <f t="shared" si="59"/>
        <v>19.009892000000008</v>
      </c>
      <c r="J952" s="3">
        <v>57.95</v>
      </c>
      <c r="K952" s="3">
        <v>20</v>
      </c>
      <c r="L952" s="13">
        <f>YEAR(Weekly_Prices[[#This Row],[Date]])</f>
        <v>2021</v>
      </c>
      <c r="M952" s="13">
        <f>MONTH(Weekly_Prices[[#This Row],[Date]])</f>
        <v>8</v>
      </c>
      <c r="N952" s="3" t="str">
        <f>TEXT(Weekly_Prices[[#This Row],[Date]],"MMMM")</f>
        <v>August</v>
      </c>
      <c r="O952" s="3" t="str">
        <f>YEAR(Weekly_Prices[[#This Row],[Date]])&amp;"-"&amp;TEXT(WEEKNUM(Weekly_Prices[[#This Row],[Date]],2),"00")</f>
        <v>2021-35</v>
      </c>
    </row>
    <row r="953" spans="1:15" x14ac:dyDescent="0.35">
      <c r="A953" s="2">
        <v>44438</v>
      </c>
      <c r="B953" s="3">
        <v>134.66</v>
      </c>
      <c r="C953" s="4">
        <f t="shared" si="56"/>
        <v>-1.8585999999999103E-2</v>
      </c>
      <c r="D953" s="4">
        <f t="shared" si="58"/>
        <v>21.367611999999994</v>
      </c>
      <c r="E953" s="3">
        <v>57.95</v>
      </c>
      <c r="F953" s="3">
        <v>20</v>
      </c>
      <c r="G953" s="3">
        <v>137.11000000000001</v>
      </c>
      <c r="H953" s="4">
        <f t="shared" si="57"/>
        <v>-3.9999999999992042E-2</v>
      </c>
      <c r="I953" s="4">
        <f t="shared" si="59"/>
        <v>18.928679000000017</v>
      </c>
      <c r="J953" s="3">
        <v>57.95</v>
      </c>
      <c r="K953" s="3">
        <v>20</v>
      </c>
      <c r="L953" s="13">
        <f>YEAR(Weekly_Prices[[#This Row],[Date]])</f>
        <v>2021</v>
      </c>
      <c r="M953" s="13">
        <f>MONTH(Weekly_Prices[[#This Row],[Date]])</f>
        <v>8</v>
      </c>
      <c r="N953" s="3" t="str">
        <f>TEXT(Weekly_Prices[[#This Row],[Date]],"MMMM")</f>
        <v>August</v>
      </c>
      <c r="O953" s="3" t="str">
        <f>YEAR(Weekly_Prices[[#This Row],[Date]])&amp;"-"&amp;TEXT(WEEKNUM(Weekly_Prices[[#This Row],[Date]],2),"00")</f>
        <v>2021-36</v>
      </c>
    </row>
    <row r="954" spans="1:15" x14ac:dyDescent="0.35">
      <c r="A954" s="2">
        <v>44445</v>
      </c>
      <c r="B954" s="3">
        <v>134.76</v>
      </c>
      <c r="C954" s="4">
        <f t="shared" si="56"/>
        <v>9.9999999999994316E-2</v>
      </c>
      <c r="D954" s="4">
        <f t="shared" si="58"/>
        <v>21.390522000000004</v>
      </c>
      <c r="E954" s="3">
        <v>57.95</v>
      </c>
      <c r="F954" s="3">
        <v>20</v>
      </c>
      <c r="G954" s="3">
        <v>137.19</v>
      </c>
      <c r="H954" s="4">
        <f t="shared" si="57"/>
        <v>7.9999999999984084E-2</v>
      </c>
      <c r="I954" s="4">
        <f t="shared" si="59"/>
        <v>18.972064000000003</v>
      </c>
      <c r="J954" s="3">
        <v>57.95</v>
      </c>
      <c r="K954" s="3">
        <v>20</v>
      </c>
      <c r="L954" s="13">
        <f>YEAR(Weekly_Prices[[#This Row],[Date]])</f>
        <v>2021</v>
      </c>
      <c r="M954" s="13">
        <f>MONTH(Weekly_Prices[[#This Row],[Date]])</f>
        <v>9</v>
      </c>
      <c r="N954" s="3" t="str">
        <f>TEXT(Weekly_Prices[[#This Row],[Date]],"MMMM")</f>
        <v>September</v>
      </c>
      <c r="O954" s="3" t="str">
        <f>YEAR(Weekly_Prices[[#This Row],[Date]])&amp;"-"&amp;TEXT(WEEKNUM(Weekly_Prices[[#This Row],[Date]],2),"00")</f>
        <v>2021-37</v>
      </c>
    </row>
    <row r="955" spans="1:15" x14ac:dyDescent="0.35">
      <c r="A955" s="2">
        <v>44452</v>
      </c>
      <c r="B955" s="3">
        <v>134.75</v>
      </c>
      <c r="C955" s="4">
        <f t="shared" si="56"/>
        <v>-9.9999999999909051E-3</v>
      </c>
      <c r="D955" s="4">
        <f t="shared" si="58"/>
        <v>21.425364999999999</v>
      </c>
      <c r="E955" s="3">
        <v>57.95</v>
      </c>
      <c r="F955" s="3">
        <v>20</v>
      </c>
      <c r="G955" s="3">
        <v>137.19</v>
      </c>
      <c r="H955" s="4">
        <f t="shared" si="57"/>
        <v>0</v>
      </c>
      <c r="I955" s="4">
        <f t="shared" si="59"/>
        <v>19.014404999999982</v>
      </c>
      <c r="J955" s="3">
        <v>57.95</v>
      </c>
      <c r="K955" s="3">
        <v>20</v>
      </c>
      <c r="L955" s="13">
        <f>YEAR(Weekly_Prices[[#This Row],[Date]])</f>
        <v>2021</v>
      </c>
      <c r="M955" s="13">
        <f>MONTH(Weekly_Prices[[#This Row],[Date]])</f>
        <v>9</v>
      </c>
      <c r="N955" s="3" t="str">
        <f>TEXT(Weekly_Prices[[#This Row],[Date]],"MMMM")</f>
        <v>September</v>
      </c>
      <c r="O955" s="3" t="str">
        <f>YEAR(Weekly_Prices[[#This Row],[Date]])&amp;"-"&amp;TEXT(WEEKNUM(Weekly_Prices[[#This Row],[Date]],2),"00")</f>
        <v>2021-38</v>
      </c>
    </row>
    <row r="956" spans="1:15" x14ac:dyDescent="0.35">
      <c r="A956" s="2">
        <v>44459</v>
      </c>
      <c r="B956" s="3">
        <v>134.86000000000001</v>
      </c>
      <c r="C956" s="4">
        <f t="shared" si="56"/>
        <v>0.11000000000001364</v>
      </c>
      <c r="D956" s="4">
        <f t="shared" si="58"/>
        <v>21.553118150000017</v>
      </c>
      <c r="E956" s="3">
        <v>57.95</v>
      </c>
      <c r="F956" s="3">
        <v>20</v>
      </c>
      <c r="G956" s="3">
        <v>137.35</v>
      </c>
      <c r="H956" s="4">
        <f t="shared" si="57"/>
        <v>0.15999999999999659</v>
      </c>
      <c r="I956" s="4">
        <f t="shared" si="59"/>
        <v>19.187488680000001</v>
      </c>
      <c r="J956" s="3">
        <v>57.95</v>
      </c>
      <c r="K956" s="3">
        <v>20</v>
      </c>
      <c r="L956" s="13">
        <f>YEAR(Weekly_Prices[[#This Row],[Date]])</f>
        <v>2021</v>
      </c>
      <c r="M956" s="13">
        <f>MONTH(Weekly_Prices[[#This Row],[Date]])</f>
        <v>9</v>
      </c>
      <c r="N956" s="3" t="str">
        <f>TEXT(Weekly_Prices[[#This Row],[Date]],"MMMM")</f>
        <v>September</v>
      </c>
      <c r="O956" s="3" t="str">
        <f>YEAR(Weekly_Prices[[#This Row],[Date]])&amp;"-"&amp;TEXT(WEEKNUM(Weekly_Prices[[#This Row],[Date]],2),"00")</f>
        <v>2021-39</v>
      </c>
    </row>
    <row r="957" spans="1:15" x14ac:dyDescent="0.35">
      <c r="A957" s="2">
        <v>44466</v>
      </c>
      <c r="B957" s="3">
        <v>135.19301399999998</v>
      </c>
      <c r="C957" s="4">
        <f t="shared" si="56"/>
        <v>0.33301399999996306</v>
      </c>
      <c r="D957" s="4">
        <f t="shared" si="58"/>
        <v>21.89513599999998</v>
      </c>
      <c r="E957" s="3">
        <v>57.95</v>
      </c>
      <c r="F957" s="3">
        <v>20</v>
      </c>
      <c r="G957" s="3">
        <v>137.951247</v>
      </c>
      <c r="H957" s="4">
        <f t="shared" si="57"/>
        <v>0.60124700000000075</v>
      </c>
      <c r="I957" s="4">
        <f t="shared" si="59"/>
        <v>19.815161000000003</v>
      </c>
      <c r="J957" s="3">
        <v>57.95</v>
      </c>
      <c r="K957" s="3">
        <v>20</v>
      </c>
      <c r="L957" s="13">
        <f>YEAR(Weekly_Prices[[#This Row],[Date]])</f>
        <v>2021</v>
      </c>
      <c r="M957" s="13">
        <f>MONTH(Weekly_Prices[[#This Row],[Date]])</f>
        <v>9</v>
      </c>
      <c r="N957" s="3" t="str">
        <f>TEXT(Weekly_Prices[[#This Row],[Date]],"MMMM")</f>
        <v>September</v>
      </c>
      <c r="O957" s="3" t="str">
        <f>YEAR(Weekly_Prices[[#This Row],[Date]])&amp;"-"&amp;TEXT(WEEKNUM(Weekly_Prices[[#This Row],[Date]],2),"00")</f>
        <v>2021-40</v>
      </c>
    </row>
    <row r="958" spans="1:15" x14ac:dyDescent="0.35">
      <c r="A958" s="2">
        <v>44473</v>
      </c>
      <c r="B958" s="3">
        <v>136.1</v>
      </c>
      <c r="C958" s="4">
        <f t="shared" si="56"/>
        <v>0.90698600000001761</v>
      </c>
      <c r="D958" s="4">
        <f t="shared" si="58"/>
        <v>22.838323999999986</v>
      </c>
      <c r="E958" s="3">
        <v>57.95</v>
      </c>
      <c r="F958" s="3">
        <v>20</v>
      </c>
      <c r="G958" s="3">
        <v>139.19999999999999</v>
      </c>
      <c r="H958" s="4">
        <f t="shared" si="57"/>
        <v>1.2487529999999936</v>
      </c>
      <c r="I958" s="4">
        <f t="shared" si="59"/>
        <v>21.086049999999986</v>
      </c>
      <c r="J958" s="3">
        <v>57.95</v>
      </c>
      <c r="K958" s="3">
        <v>20</v>
      </c>
      <c r="L958" s="13">
        <f>YEAR(Weekly_Prices[[#This Row],[Date]])</f>
        <v>2021</v>
      </c>
      <c r="M958" s="13">
        <f>MONTH(Weekly_Prices[[#This Row],[Date]])</f>
        <v>10</v>
      </c>
      <c r="N958" s="3" t="str">
        <f>TEXT(Weekly_Prices[[#This Row],[Date]],"MMMM")</f>
        <v>October</v>
      </c>
      <c r="O958" s="3" t="str">
        <f>YEAR(Weekly_Prices[[#This Row],[Date]])&amp;"-"&amp;TEXT(WEEKNUM(Weekly_Prices[[#This Row],[Date]],2),"00")</f>
        <v>2021-41</v>
      </c>
    </row>
    <row r="959" spans="1:15" x14ac:dyDescent="0.35">
      <c r="A959" s="2">
        <v>44480</v>
      </c>
      <c r="B959" s="3">
        <v>137.16999999999999</v>
      </c>
      <c r="C959" s="4">
        <f t="shared" si="56"/>
        <v>1.0699999999999932</v>
      </c>
      <c r="D959" s="4">
        <f t="shared" si="58"/>
        <v>23.983205999999981</v>
      </c>
      <c r="E959" s="3">
        <v>57.95</v>
      </c>
      <c r="F959" s="3">
        <v>20</v>
      </c>
      <c r="G959" s="3">
        <v>140.66</v>
      </c>
      <c r="H959" s="4">
        <f t="shared" si="57"/>
        <v>1.460000000000008</v>
      </c>
      <c r="I959" s="4">
        <f t="shared" si="59"/>
        <v>22.606160000000003</v>
      </c>
      <c r="J959" s="3">
        <v>57.95</v>
      </c>
      <c r="K959" s="3">
        <v>20</v>
      </c>
      <c r="L959" s="13">
        <f>YEAR(Weekly_Prices[[#This Row],[Date]])</f>
        <v>2021</v>
      </c>
      <c r="M959" s="13">
        <f>MONTH(Weekly_Prices[[#This Row],[Date]])</f>
        <v>10</v>
      </c>
      <c r="N959" s="3" t="str">
        <f>TEXT(Weekly_Prices[[#This Row],[Date]],"MMMM")</f>
        <v>October</v>
      </c>
      <c r="O959" s="3" t="str">
        <f>YEAR(Weekly_Prices[[#This Row],[Date]])&amp;"-"&amp;TEXT(WEEKNUM(Weekly_Prices[[#This Row],[Date]],2),"00")</f>
        <v>2021-42</v>
      </c>
    </row>
    <row r="960" spans="1:15" x14ac:dyDescent="0.35">
      <c r="A960" s="2">
        <v>44487</v>
      </c>
      <c r="B960" s="3">
        <v>139.46</v>
      </c>
      <c r="C960" s="4">
        <f t="shared" si="56"/>
        <v>2.2900000000000205</v>
      </c>
      <c r="D960" s="4">
        <f t="shared" si="58"/>
        <v>26.279730000000015</v>
      </c>
      <c r="E960" s="3">
        <v>57.95</v>
      </c>
      <c r="F960" s="3">
        <v>20</v>
      </c>
      <c r="G960" s="3">
        <v>143.19</v>
      </c>
      <c r="H960" s="4">
        <f t="shared" si="57"/>
        <v>2.5300000000000011</v>
      </c>
      <c r="I960" s="4">
        <f t="shared" si="59"/>
        <v>25.114485999999999</v>
      </c>
      <c r="J960" s="3">
        <v>57.95</v>
      </c>
      <c r="K960" s="3">
        <v>20</v>
      </c>
      <c r="L960" s="13">
        <f>YEAR(Weekly_Prices[[#This Row],[Date]])</f>
        <v>2021</v>
      </c>
      <c r="M960" s="13">
        <f>MONTH(Weekly_Prices[[#This Row],[Date]])</f>
        <v>10</v>
      </c>
      <c r="N960" s="3" t="str">
        <f>TEXT(Weekly_Prices[[#This Row],[Date]],"MMMM")</f>
        <v>October</v>
      </c>
      <c r="O960" s="3" t="str">
        <f>YEAR(Weekly_Prices[[#This Row],[Date]])&amp;"-"&amp;TEXT(WEEKNUM(Weekly_Prices[[#This Row],[Date]],2),"00")</f>
        <v>2021-43</v>
      </c>
    </row>
    <row r="961" spans="1:15" x14ac:dyDescent="0.35">
      <c r="A961" s="2">
        <v>44494</v>
      </c>
      <c r="B961" s="3">
        <v>141.81</v>
      </c>
      <c r="C961" s="4">
        <f t="shared" si="56"/>
        <v>2.3499999999999943</v>
      </c>
      <c r="D961" s="4">
        <f t="shared" si="58"/>
        <v>28.665707000000012</v>
      </c>
      <c r="E961" s="3">
        <v>57.95</v>
      </c>
      <c r="F961" s="3">
        <v>20</v>
      </c>
      <c r="G961" s="3">
        <v>145.9</v>
      </c>
      <c r="H961" s="4">
        <f t="shared" si="57"/>
        <v>2.710000000000008</v>
      </c>
      <c r="I961" s="4">
        <f t="shared" si="59"/>
        <v>27.81905500000002</v>
      </c>
      <c r="J961" s="3">
        <v>57.95</v>
      </c>
      <c r="K961" s="3">
        <v>20</v>
      </c>
      <c r="L961" s="13">
        <f>YEAR(Weekly_Prices[[#This Row],[Date]])</f>
        <v>2021</v>
      </c>
      <c r="M961" s="13">
        <f>MONTH(Weekly_Prices[[#This Row],[Date]])</f>
        <v>10</v>
      </c>
      <c r="N961" s="3" t="str">
        <f>TEXT(Weekly_Prices[[#This Row],[Date]],"MMMM")</f>
        <v>October</v>
      </c>
      <c r="O961" s="3" t="str">
        <f>YEAR(Weekly_Prices[[#This Row],[Date]])&amp;"-"&amp;TEXT(WEEKNUM(Weekly_Prices[[#This Row],[Date]],2),"00")</f>
        <v>2021-44</v>
      </c>
    </row>
    <row r="962" spans="1:15" x14ac:dyDescent="0.35">
      <c r="A962" s="2">
        <v>44501</v>
      </c>
      <c r="B962" s="3">
        <v>143.69999999999999</v>
      </c>
      <c r="C962" s="4">
        <f t="shared" si="56"/>
        <v>1.8899999999999864</v>
      </c>
      <c r="D962" s="4">
        <f t="shared" si="58"/>
        <v>30.594049000000012</v>
      </c>
      <c r="E962" s="3">
        <v>57.95</v>
      </c>
      <c r="F962" s="3">
        <v>20</v>
      </c>
      <c r="G962" s="3">
        <v>147.47999999999999</v>
      </c>
      <c r="H962" s="4">
        <f t="shared" si="57"/>
        <v>1.5799999999999841</v>
      </c>
      <c r="I962" s="4">
        <f t="shared" si="59"/>
        <v>29.423152999999985</v>
      </c>
      <c r="J962" s="3">
        <v>57.95</v>
      </c>
      <c r="K962" s="3">
        <v>20</v>
      </c>
      <c r="L962" s="13">
        <f>YEAR(Weekly_Prices[[#This Row],[Date]])</f>
        <v>2021</v>
      </c>
      <c r="M962" s="13">
        <f>MONTH(Weekly_Prices[[#This Row],[Date]])</f>
        <v>11</v>
      </c>
      <c r="N962" s="3" t="str">
        <f>TEXT(Weekly_Prices[[#This Row],[Date]],"MMMM")</f>
        <v>November</v>
      </c>
      <c r="O962" s="3" t="str">
        <f>YEAR(Weekly_Prices[[#This Row],[Date]])&amp;"-"&amp;TEXT(WEEKNUM(Weekly_Prices[[#This Row],[Date]],2),"00")</f>
        <v>2021-45</v>
      </c>
    </row>
    <row r="963" spans="1:15" x14ac:dyDescent="0.35">
      <c r="A963" s="2">
        <v>44508</v>
      </c>
      <c r="B963" s="3">
        <v>144.9</v>
      </c>
      <c r="C963" s="4">
        <f t="shared" ref="C963:C1026" si="60">B963-B962</f>
        <v>1.2000000000000171</v>
      </c>
      <c r="D963" s="4">
        <f t="shared" si="58"/>
        <v>32.402611000000022</v>
      </c>
      <c r="E963" s="3">
        <v>57.95</v>
      </c>
      <c r="F963" s="3">
        <v>20</v>
      </c>
      <c r="G963" s="3">
        <v>148.84</v>
      </c>
      <c r="H963" s="4">
        <f t="shared" ref="H963:H1026" si="61">G963-G962</f>
        <v>1.3600000000000136</v>
      </c>
      <c r="I963" s="4">
        <f t="shared" si="59"/>
        <v>31.563343000000003</v>
      </c>
      <c r="J963" s="3">
        <v>57.95</v>
      </c>
      <c r="K963" s="3">
        <v>20</v>
      </c>
      <c r="L963" s="13">
        <f>YEAR(Weekly_Prices[[#This Row],[Date]])</f>
        <v>2021</v>
      </c>
      <c r="M963" s="13">
        <f>MONTH(Weekly_Prices[[#This Row],[Date]])</f>
        <v>11</v>
      </c>
      <c r="N963" s="3" t="str">
        <f>TEXT(Weekly_Prices[[#This Row],[Date]],"MMMM")</f>
        <v>November</v>
      </c>
      <c r="O963" s="3" t="str">
        <f>YEAR(Weekly_Prices[[#This Row],[Date]])&amp;"-"&amp;TEXT(WEEKNUM(Weekly_Prices[[#This Row],[Date]],2),"00")</f>
        <v>2021-46</v>
      </c>
    </row>
    <row r="964" spans="1:15" x14ac:dyDescent="0.35">
      <c r="A964" s="2">
        <v>44515</v>
      </c>
      <c r="B964" s="3">
        <v>145.87</v>
      </c>
      <c r="C964" s="4">
        <f t="shared" si="60"/>
        <v>0.96999999999999886</v>
      </c>
      <c r="D964" s="4">
        <f t="shared" si="58"/>
        <v>33.523826</v>
      </c>
      <c r="E964" s="3">
        <v>57.95</v>
      </c>
      <c r="F964" s="3">
        <v>20</v>
      </c>
      <c r="G964" s="3">
        <v>149.76</v>
      </c>
      <c r="H964" s="4">
        <f t="shared" si="61"/>
        <v>0.91999999999998749</v>
      </c>
      <c r="I964" s="4">
        <f t="shared" si="59"/>
        <v>32.693427999999983</v>
      </c>
      <c r="J964" s="3">
        <v>57.95</v>
      </c>
      <c r="K964" s="3">
        <v>20</v>
      </c>
      <c r="L964" s="13">
        <f>YEAR(Weekly_Prices[[#This Row],[Date]])</f>
        <v>2021</v>
      </c>
      <c r="M964" s="13">
        <f>MONTH(Weekly_Prices[[#This Row],[Date]])</f>
        <v>11</v>
      </c>
      <c r="N964" s="3" t="str">
        <f>TEXT(Weekly_Prices[[#This Row],[Date]],"MMMM")</f>
        <v>November</v>
      </c>
      <c r="O964" s="3" t="str">
        <f>YEAR(Weekly_Prices[[#This Row],[Date]])&amp;"-"&amp;TEXT(WEEKNUM(Weekly_Prices[[#This Row],[Date]],2),"00")</f>
        <v>2021-47</v>
      </c>
    </row>
    <row r="965" spans="1:15" x14ac:dyDescent="0.35">
      <c r="A965" s="2">
        <v>44522</v>
      </c>
      <c r="B965" s="3">
        <v>146.88896</v>
      </c>
      <c r="C965" s="4">
        <f t="shared" si="60"/>
        <v>1.0189599999999928</v>
      </c>
      <c r="D965" s="4">
        <f t="shared" si="58"/>
        <v>34.468310000000017</v>
      </c>
      <c r="E965" s="3">
        <v>57.95</v>
      </c>
      <c r="F965" s="3">
        <v>20</v>
      </c>
      <c r="G965" s="3">
        <v>150.73128299999999</v>
      </c>
      <c r="H965" s="4">
        <f t="shared" si="61"/>
        <v>0.97128299999999967</v>
      </c>
      <c r="I965" s="4">
        <f t="shared" si="59"/>
        <v>33.596851999999984</v>
      </c>
      <c r="J965" s="3">
        <v>57.95</v>
      </c>
      <c r="K965" s="3">
        <v>20</v>
      </c>
      <c r="L965" s="13">
        <f>YEAR(Weekly_Prices[[#This Row],[Date]])</f>
        <v>2021</v>
      </c>
      <c r="M965" s="13">
        <f>MONTH(Weekly_Prices[[#This Row],[Date]])</f>
        <v>11</v>
      </c>
      <c r="N965" s="3" t="str">
        <f>TEXT(Weekly_Prices[[#This Row],[Date]],"MMMM")</f>
        <v>November</v>
      </c>
      <c r="O965" s="3" t="str">
        <f>YEAR(Weekly_Prices[[#This Row],[Date]])&amp;"-"&amp;TEXT(WEEKNUM(Weekly_Prices[[#This Row],[Date]],2),"00")</f>
        <v>2021-48</v>
      </c>
    </row>
    <row r="966" spans="1:15" x14ac:dyDescent="0.35">
      <c r="A966" s="2">
        <v>44529</v>
      </c>
      <c r="B966" s="3">
        <v>147.53</v>
      </c>
      <c r="C966" s="4">
        <f t="shared" si="60"/>
        <v>0.64104000000000383</v>
      </c>
      <c r="D966" s="4">
        <f t="shared" si="58"/>
        <v>34.924588</v>
      </c>
      <c r="E966" s="3">
        <v>57.95</v>
      </c>
      <c r="F966" s="3">
        <v>20</v>
      </c>
      <c r="G966" s="3">
        <v>151.31</v>
      </c>
      <c r="H966" s="4">
        <f t="shared" si="61"/>
        <v>0.57871700000001169</v>
      </c>
      <c r="I966" s="4">
        <f t="shared" si="59"/>
        <v>33.901960000000003</v>
      </c>
      <c r="J966" s="3">
        <v>57.95</v>
      </c>
      <c r="K966" s="3">
        <v>20</v>
      </c>
      <c r="L966" s="13">
        <f>YEAR(Weekly_Prices[[#This Row],[Date]])</f>
        <v>2021</v>
      </c>
      <c r="M966" s="13">
        <f>MONTH(Weekly_Prices[[#This Row],[Date]])</f>
        <v>11</v>
      </c>
      <c r="N966" s="3" t="str">
        <f>TEXT(Weekly_Prices[[#This Row],[Date]],"MMMM")</f>
        <v>November</v>
      </c>
      <c r="O966" s="3" t="str">
        <f>YEAR(Weekly_Prices[[#This Row],[Date]])&amp;"-"&amp;TEXT(WEEKNUM(Weekly_Prices[[#This Row],[Date]],2),"00")</f>
        <v>2021-49</v>
      </c>
    </row>
    <row r="967" spans="1:15" x14ac:dyDescent="0.35">
      <c r="A967" s="2">
        <v>44536</v>
      </c>
      <c r="B967" s="3">
        <v>146.88999999999999</v>
      </c>
      <c r="C967" s="4">
        <f t="shared" si="60"/>
        <v>-0.64000000000001478</v>
      </c>
      <c r="D967" s="4">
        <f t="shared" si="58"/>
        <v>33.724303999999989</v>
      </c>
      <c r="E967" s="3">
        <v>57.95</v>
      </c>
      <c r="F967" s="3">
        <v>20</v>
      </c>
      <c r="G967" s="3">
        <v>150.61000000000001</v>
      </c>
      <c r="H967" s="4">
        <f t="shared" si="61"/>
        <v>-0.69999999999998863</v>
      </c>
      <c r="I967" s="4">
        <f t="shared" si="59"/>
        <v>32.62436900000003</v>
      </c>
      <c r="J967" s="3">
        <v>57.95</v>
      </c>
      <c r="K967" s="3">
        <v>20</v>
      </c>
      <c r="L967" s="13">
        <f>YEAR(Weekly_Prices[[#This Row],[Date]])</f>
        <v>2021</v>
      </c>
      <c r="M967" s="13">
        <f>MONTH(Weekly_Prices[[#This Row],[Date]])</f>
        <v>12</v>
      </c>
      <c r="N967" s="3" t="str">
        <f>TEXT(Weekly_Prices[[#This Row],[Date]],"MMMM")</f>
        <v>December</v>
      </c>
      <c r="O967" s="3" t="str">
        <f>YEAR(Weekly_Prices[[#This Row],[Date]])&amp;"-"&amp;TEXT(WEEKNUM(Weekly_Prices[[#This Row],[Date]],2),"00")</f>
        <v>2021-50</v>
      </c>
    </row>
    <row r="968" spans="1:15" x14ac:dyDescent="0.35">
      <c r="A968" s="2">
        <v>44543</v>
      </c>
      <c r="B968" s="3">
        <v>146.22</v>
      </c>
      <c r="C968" s="4">
        <f t="shared" si="60"/>
        <v>-0.66999999999998749</v>
      </c>
      <c r="D968" s="4">
        <f t="shared" si="58"/>
        <v>32.402714000000003</v>
      </c>
      <c r="E968" s="3">
        <v>57.95</v>
      </c>
      <c r="F968" s="3">
        <v>20</v>
      </c>
      <c r="G968" s="3">
        <v>149.88</v>
      </c>
      <c r="H968" s="4">
        <f t="shared" si="61"/>
        <v>-0.73000000000001819</v>
      </c>
      <c r="I968" s="4">
        <f t="shared" si="59"/>
        <v>31.305800000000005</v>
      </c>
      <c r="J968" s="3">
        <v>57.95</v>
      </c>
      <c r="K968" s="3">
        <v>20</v>
      </c>
      <c r="L968" s="13">
        <f>YEAR(Weekly_Prices[[#This Row],[Date]])</f>
        <v>2021</v>
      </c>
      <c r="M968" s="13">
        <f>MONTH(Weekly_Prices[[#This Row],[Date]])</f>
        <v>12</v>
      </c>
      <c r="N968" s="3" t="str">
        <f>TEXT(Weekly_Prices[[#This Row],[Date]],"MMMM")</f>
        <v>December</v>
      </c>
      <c r="O968" s="3" t="str">
        <f>YEAR(Weekly_Prices[[#This Row],[Date]])&amp;"-"&amp;TEXT(WEEKNUM(Weekly_Prices[[#This Row],[Date]],2),"00")</f>
        <v>2021-51</v>
      </c>
    </row>
    <row r="969" spans="1:15" x14ac:dyDescent="0.35">
      <c r="A969" s="2">
        <v>44550</v>
      </c>
      <c r="B969" s="3">
        <v>145.16</v>
      </c>
      <c r="C969" s="4">
        <f t="shared" si="60"/>
        <v>-1.0600000000000023</v>
      </c>
      <c r="D969" s="4">
        <f t="shared" si="58"/>
        <v>30.727679999999992</v>
      </c>
      <c r="E969" s="3">
        <v>57.95</v>
      </c>
      <c r="F969" s="3">
        <v>20</v>
      </c>
      <c r="G969" s="3">
        <v>148.88999999999999</v>
      </c>
      <c r="H969" s="4">
        <f t="shared" si="61"/>
        <v>-0.99000000000000909</v>
      </c>
      <c r="I969" s="4">
        <f t="shared" si="59"/>
        <v>29.71856099999998</v>
      </c>
      <c r="J969" s="3">
        <v>57.95</v>
      </c>
      <c r="K969" s="3">
        <v>20</v>
      </c>
      <c r="L969" s="13">
        <f>YEAR(Weekly_Prices[[#This Row],[Date]])</f>
        <v>2021</v>
      </c>
      <c r="M969" s="13">
        <f>MONTH(Weekly_Prices[[#This Row],[Date]])</f>
        <v>12</v>
      </c>
      <c r="N969" s="3" t="str">
        <f>TEXT(Weekly_Prices[[#This Row],[Date]],"MMMM")</f>
        <v>December</v>
      </c>
      <c r="O969" s="3" t="str">
        <f>YEAR(Weekly_Prices[[#This Row],[Date]])&amp;"-"&amp;TEXT(WEEKNUM(Weekly_Prices[[#This Row],[Date]],2),"00")</f>
        <v>2021-52</v>
      </c>
    </row>
    <row r="970" spans="1:15" x14ac:dyDescent="0.35">
      <c r="A970" s="2">
        <v>44557</v>
      </c>
      <c r="B970" s="3">
        <v>144.91999999999999</v>
      </c>
      <c r="C970" s="4">
        <f t="shared" si="60"/>
        <v>-0.24000000000000909</v>
      </c>
      <c r="D970" s="4">
        <f t="shared" si="58"/>
        <v>30.008839999999992</v>
      </c>
      <c r="E970" s="3">
        <v>57.95</v>
      </c>
      <c r="F970" s="3">
        <v>20</v>
      </c>
      <c r="G970" s="3">
        <v>148.82</v>
      </c>
      <c r="H970" s="4">
        <f t="shared" si="61"/>
        <v>-6.9999999999993179E-2</v>
      </c>
      <c r="I970" s="4">
        <f t="shared" si="59"/>
        <v>29.165349999999989</v>
      </c>
      <c r="J970" s="3">
        <v>57.95</v>
      </c>
      <c r="K970" s="3">
        <v>20</v>
      </c>
      <c r="L970" s="13">
        <f>YEAR(Weekly_Prices[[#This Row],[Date]])</f>
        <v>2021</v>
      </c>
      <c r="M970" s="13">
        <f>MONTH(Weekly_Prices[[#This Row],[Date]])</f>
        <v>12</v>
      </c>
      <c r="N970" s="3" t="str">
        <f>TEXT(Weekly_Prices[[#This Row],[Date]],"MMMM")</f>
        <v>December</v>
      </c>
      <c r="O970" s="3" t="str">
        <f>YEAR(Weekly_Prices[[#This Row],[Date]])&amp;"-"&amp;TEXT(WEEKNUM(Weekly_Prices[[#This Row],[Date]],2),"00")</f>
        <v>2021-53</v>
      </c>
    </row>
    <row r="971" spans="1:15" x14ac:dyDescent="0.35">
      <c r="A971" s="2">
        <v>44564</v>
      </c>
      <c r="B971" s="3">
        <v>145.04</v>
      </c>
      <c r="C971" s="4">
        <f t="shared" si="60"/>
        <v>0.12000000000000455</v>
      </c>
      <c r="D971" s="4">
        <f t="shared" si="58"/>
        <v>29.654594999999986</v>
      </c>
      <c r="E971" s="3">
        <v>57.95</v>
      </c>
      <c r="F971" s="3">
        <v>20</v>
      </c>
      <c r="G971" s="3">
        <v>148.85</v>
      </c>
      <c r="H971" s="4">
        <f t="shared" si="61"/>
        <v>3.0000000000001137E-2</v>
      </c>
      <c r="I971" s="4">
        <f t="shared" si="59"/>
        <v>28.88253499999999</v>
      </c>
      <c r="J971" s="3">
        <v>57.95</v>
      </c>
      <c r="K971" s="3">
        <v>20</v>
      </c>
      <c r="L971" s="13">
        <f>YEAR(Weekly_Prices[[#This Row],[Date]])</f>
        <v>2022</v>
      </c>
      <c r="M971" s="13">
        <f>MONTH(Weekly_Prices[[#This Row],[Date]])</f>
        <v>1</v>
      </c>
      <c r="N971" s="3" t="str">
        <f>TEXT(Weekly_Prices[[#This Row],[Date]],"MMMM")</f>
        <v>January</v>
      </c>
      <c r="O971" s="3" t="str">
        <f>YEAR(Weekly_Prices[[#This Row],[Date]])&amp;"-"&amp;TEXT(WEEKNUM(Weekly_Prices[[#This Row],[Date]],2),"00")</f>
        <v>2022-02</v>
      </c>
    </row>
    <row r="972" spans="1:15" x14ac:dyDescent="0.35">
      <c r="A972" s="2">
        <v>44571</v>
      </c>
      <c r="B972" s="3">
        <v>144.82</v>
      </c>
      <c r="C972" s="4">
        <f t="shared" si="60"/>
        <v>-0.21999999999999886</v>
      </c>
      <c r="D972" s="4">
        <f t="shared" si="58"/>
        <v>28.679337999999987</v>
      </c>
      <c r="E972" s="3">
        <v>57.95</v>
      </c>
      <c r="F972" s="3">
        <v>20</v>
      </c>
      <c r="G972" s="3">
        <v>148.65</v>
      </c>
      <c r="H972" s="4">
        <f t="shared" si="61"/>
        <v>-0.19999999999998863</v>
      </c>
      <c r="I972" s="4">
        <f t="shared" si="59"/>
        <v>28.035495999999995</v>
      </c>
      <c r="J972" s="3">
        <v>57.95</v>
      </c>
      <c r="K972" s="3">
        <v>20</v>
      </c>
      <c r="L972" s="13">
        <f>YEAR(Weekly_Prices[[#This Row],[Date]])</f>
        <v>2022</v>
      </c>
      <c r="M972" s="13">
        <f>MONTH(Weekly_Prices[[#This Row],[Date]])</f>
        <v>1</v>
      </c>
      <c r="N972" s="3" t="str">
        <f>TEXT(Weekly_Prices[[#This Row],[Date]],"MMMM")</f>
        <v>January</v>
      </c>
      <c r="O972" s="3" t="str">
        <f>YEAR(Weekly_Prices[[#This Row],[Date]])&amp;"-"&amp;TEXT(WEEKNUM(Weekly_Prices[[#This Row],[Date]],2),"00")</f>
        <v>2022-03</v>
      </c>
    </row>
    <row r="973" spans="1:15" x14ac:dyDescent="0.35">
      <c r="A973" s="2">
        <v>44578</v>
      </c>
      <c r="B973" s="3">
        <v>144.80000000000001</v>
      </c>
      <c r="C973" s="4">
        <f t="shared" si="60"/>
        <v>-1.999999999998181E-2</v>
      </c>
      <c r="D973" s="4">
        <f t="shared" si="58"/>
        <v>27.86985700000001</v>
      </c>
      <c r="E973" s="3">
        <v>57.95</v>
      </c>
      <c r="F973" s="3">
        <v>20</v>
      </c>
      <c r="G973" s="3">
        <v>148.69999999999999</v>
      </c>
      <c r="H973" s="4">
        <f t="shared" si="61"/>
        <v>4.9999999999982947E-2</v>
      </c>
      <c r="I973" s="4">
        <f t="shared" si="59"/>
        <v>27.181854999999999</v>
      </c>
      <c r="J973" s="3">
        <v>57.95</v>
      </c>
      <c r="K973" s="3">
        <v>20</v>
      </c>
      <c r="L973" s="13">
        <f>YEAR(Weekly_Prices[[#This Row],[Date]])</f>
        <v>2022</v>
      </c>
      <c r="M973" s="13">
        <f>MONTH(Weekly_Prices[[#This Row],[Date]])</f>
        <v>1</v>
      </c>
      <c r="N973" s="3" t="str">
        <f>TEXT(Weekly_Prices[[#This Row],[Date]],"MMMM")</f>
        <v>January</v>
      </c>
      <c r="O973" s="3" t="str">
        <f>YEAR(Weekly_Prices[[#This Row],[Date]])&amp;"-"&amp;TEXT(WEEKNUM(Weekly_Prices[[#This Row],[Date]],2),"00")</f>
        <v>2022-04</v>
      </c>
    </row>
    <row r="974" spans="1:15" x14ac:dyDescent="0.35">
      <c r="A974" s="2">
        <v>44585</v>
      </c>
      <c r="B974" s="3">
        <v>144.87</v>
      </c>
      <c r="C974" s="4">
        <f t="shared" si="60"/>
        <v>6.9999999999993179E-2</v>
      </c>
      <c r="D974" s="4">
        <f t="shared" si="58"/>
        <v>26.767006999999992</v>
      </c>
      <c r="E974" s="3">
        <v>57.95</v>
      </c>
      <c r="F974" s="3">
        <v>20</v>
      </c>
      <c r="G974" s="3">
        <v>148.81</v>
      </c>
      <c r="H974" s="4">
        <f t="shared" si="61"/>
        <v>0.11000000000001364</v>
      </c>
      <c r="I974" s="4">
        <f t="shared" si="59"/>
        <v>26.105754000000005</v>
      </c>
      <c r="J974" s="3">
        <v>57.95</v>
      </c>
      <c r="K974" s="3">
        <v>20</v>
      </c>
      <c r="L974" s="13">
        <f>YEAR(Weekly_Prices[[#This Row],[Date]])</f>
        <v>2022</v>
      </c>
      <c r="M974" s="13">
        <f>MONTH(Weekly_Prices[[#This Row],[Date]])</f>
        <v>1</v>
      </c>
      <c r="N974" s="3" t="str">
        <f>TEXT(Weekly_Prices[[#This Row],[Date]],"MMMM")</f>
        <v>January</v>
      </c>
      <c r="O974" s="3" t="str">
        <f>YEAR(Weekly_Prices[[#This Row],[Date]])&amp;"-"&amp;TEXT(WEEKNUM(Weekly_Prices[[#This Row],[Date]],2),"00")</f>
        <v>2022-05</v>
      </c>
    </row>
    <row r="975" spans="1:15" x14ac:dyDescent="0.35">
      <c r="A975" s="2">
        <v>44592</v>
      </c>
      <c r="B975" s="3">
        <v>145.74</v>
      </c>
      <c r="C975" s="4">
        <f t="shared" si="60"/>
        <v>0.87000000000000455</v>
      </c>
      <c r="D975" s="4">
        <f t="shared" si="58"/>
        <v>26.602246000000022</v>
      </c>
      <c r="E975" s="3">
        <v>57.95</v>
      </c>
      <c r="F975" s="3">
        <v>20</v>
      </c>
      <c r="G975" s="3">
        <v>149.68</v>
      </c>
      <c r="H975" s="4">
        <f t="shared" si="61"/>
        <v>0.87000000000000455</v>
      </c>
      <c r="I975" s="4">
        <f t="shared" si="59"/>
        <v>25.979564000000011</v>
      </c>
      <c r="J975" s="3">
        <v>57.95</v>
      </c>
      <c r="K975" s="3">
        <v>20</v>
      </c>
      <c r="L975" s="13">
        <f>YEAR(Weekly_Prices[[#This Row],[Date]])</f>
        <v>2022</v>
      </c>
      <c r="M975" s="13">
        <f>MONTH(Weekly_Prices[[#This Row],[Date]])</f>
        <v>1</v>
      </c>
      <c r="N975" s="3" t="str">
        <f>TEXT(Weekly_Prices[[#This Row],[Date]],"MMMM")</f>
        <v>January</v>
      </c>
      <c r="O975" s="3" t="str">
        <f>YEAR(Weekly_Prices[[#This Row],[Date]])&amp;"-"&amp;TEXT(WEEKNUM(Weekly_Prices[[#This Row],[Date]],2),"00")</f>
        <v>2022-06</v>
      </c>
    </row>
    <row r="976" spans="1:15" x14ac:dyDescent="0.35">
      <c r="A976" s="2">
        <v>44599</v>
      </c>
      <c r="B976" s="3">
        <v>146.33000000000001</v>
      </c>
      <c r="C976" s="4">
        <f t="shared" si="60"/>
        <v>0.59000000000000341</v>
      </c>
      <c r="D976" s="4">
        <f t="shared" si="58"/>
        <v>26.662363000000013</v>
      </c>
      <c r="E976" s="3">
        <v>57.95</v>
      </c>
      <c r="F976" s="3">
        <v>20</v>
      </c>
      <c r="G976" s="3">
        <v>150.30000000000001</v>
      </c>
      <c r="H976" s="4">
        <f t="shared" si="61"/>
        <v>0.62000000000000455</v>
      </c>
      <c r="I976" s="4">
        <f t="shared" si="59"/>
        <v>26.212476000000009</v>
      </c>
      <c r="J976" s="3">
        <v>57.95</v>
      </c>
      <c r="K976" s="3">
        <v>20</v>
      </c>
      <c r="L976" s="13">
        <f>YEAR(Weekly_Prices[[#This Row],[Date]])</f>
        <v>2022</v>
      </c>
      <c r="M976" s="13">
        <f>MONTH(Weekly_Prices[[#This Row],[Date]])</f>
        <v>2</v>
      </c>
      <c r="N976" s="3" t="str">
        <f>TEXT(Weekly_Prices[[#This Row],[Date]],"MMMM")</f>
        <v>February</v>
      </c>
      <c r="O976" s="3" t="str">
        <f>YEAR(Weekly_Prices[[#This Row],[Date]])&amp;"-"&amp;TEXT(WEEKNUM(Weekly_Prices[[#This Row],[Date]],2),"00")</f>
        <v>2022-07</v>
      </c>
    </row>
    <row r="977" spans="1:15" x14ac:dyDescent="0.35">
      <c r="A977" s="2">
        <v>44606</v>
      </c>
      <c r="B977" s="3">
        <v>146.94999999999999</v>
      </c>
      <c r="C977" s="4">
        <f t="shared" si="60"/>
        <v>0.61999999999997613</v>
      </c>
      <c r="D977" s="4">
        <f t="shared" si="58"/>
        <v>26.421394999999976</v>
      </c>
      <c r="E977" s="3">
        <v>57.95</v>
      </c>
      <c r="F977" s="3">
        <v>20</v>
      </c>
      <c r="G977" s="3">
        <v>151.1</v>
      </c>
      <c r="H977" s="4">
        <f t="shared" si="61"/>
        <v>0.79999999999998295</v>
      </c>
      <c r="I977" s="4">
        <f t="shared" si="59"/>
        <v>26.094180999999992</v>
      </c>
      <c r="J977" s="3">
        <v>57.95</v>
      </c>
      <c r="K977" s="3">
        <v>20</v>
      </c>
      <c r="L977" s="13">
        <f>YEAR(Weekly_Prices[[#This Row],[Date]])</f>
        <v>2022</v>
      </c>
      <c r="M977" s="13">
        <f>MONTH(Weekly_Prices[[#This Row],[Date]])</f>
        <v>2</v>
      </c>
      <c r="N977" s="3" t="str">
        <f>TEXT(Weekly_Prices[[#This Row],[Date]],"MMMM")</f>
        <v>February</v>
      </c>
      <c r="O977" s="3" t="str">
        <f>YEAR(Weekly_Prices[[#This Row],[Date]])&amp;"-"&amp;TEXT(WEEKNUM(Weekly_Prices[[#This Row],[Date]],2),"00")</f>
        <v>2022-08</v>
      </c>
    </row>
    <row r="978" spans="1:15" x14ac:dyDescent="0.35">
      <c r="A978" s="2">
        <v>44613</v>
      </c>
      <c r="B978" s="3">
        <v>147.77000000000001</v>
      </c>
      <c r="C978" s="4">
        <f t="shared" si="60"/>
        <v>0.8200000000000216</v>
      </c>
      <c r="D978" s="4">
        <f t="shared" si="58"/>
        <v>26.495214000000018</v>
      </c>
      <c r="E978" s="3">
        <v>57.95</v>
      </c>
      <c r="F978" s="3">
        <v>20</v>
      </c>
      <c r="G978" s="3">
        <v>151.94999999999999</v>
      </c>
      <c r="H978" s="4">
        <f t="shared" si="61"/>
        <v>0.84999999999999432</v>
      </c>
      <c r="I978" s="4">
        <f t="shared" si="59"/>
        <v>26.236945999999975</v>
      </c>
      <c r="J978" s="3">
        <v>57.95</v>
      </c>
      <c r="K978" s="3">
        <v>20</v>
      </c>
      <c r="L978" s="13">
        <f>YEAR(Weekly_Prices[[#This Row],[Date]])</f>
        <v>2022</v>
      </c>
      <c r="M978" s="13">
        <f>MONTH(Weekly_Prices[[#This Row],[Date]])</f>
        <v>2</v>
      </c>
      <c r="N978" s="3" t="str">
        <f>TEXT(Weekly_Prices[[#This Row],[Date]],"MMMM")</f>
        <v>February</v>
      </c>
      <c r="O978" s="3" t="str">
        <f>YEAR(Weekly_Prices[[#This Row],[Date]])&amp;"-"&amp;TEXT(WEEKNUM(Weekly_Prices[[#This Row],[Date]],2),"00")</f>
        <v>2022-09</v>
      </c>
    </row>
    <row r="979" spans="1:15" x14ac:dyDescent="0.35">
      <c r="A979" s="2">
        <v>44620</v>
      </c>
      <c r="B979" s="3">
        <v>149.22</v>
      </c>
      <c r="C979" s="4">
        <f t="shared" si="60"/>
        <v>1.4499999999999886</v>
      </c>
      <c r="D979" s="4">
        <f t="shared" si="58"/>
        <v>27.046800999999974</v>
      </c>
      <c r="E979" s="3">
        <v>57.95</v>
      </c>
      <c r="F979" s="3">
        <v>20</v>
      </c>
      <c r="G979" s="3">
        <v>153.36000000000001</v>
      </c>
      <c r="H979" s="4">
        <f t="shared" si="61"/>
        <v>1.410000000000025</v>
      </c>
      <c r="I979" s="4">
        <f t="shared" si="59"/>
        <v>26.739196000000007</v>
      </c>
      <c r="J979" s="3">
        <v>57.95</v>
      </c>
      <c r="K979" s="3">
        <v>20</v>
      </c>
      <c r="L979" s="13">
        <f>YEAR(Weekly_Prices[[#This Row],[Date]])</f>
        <v>2022</v>
      </c>
      <c r="M979" s="13">
        <f>MONTH(Weekly_Prices[[#This Row],[Date]])</f>
        <v>2</v>
      </c>
      <c r="N979" s="3" t="str">
        <f>TEXT(Weekly_Prices[[#This Row],[Date]],"MMMM")</f>
        <v>February</v>
      </c>
      <c r="O979" s="3" t="str">
        <f>YEAR(Weekly_Prices[[#This Row],[Date]])&amp;"-"&amp;TEXT(WEEKNUM(Weekly_Prices[[#This Row],[Date]],2),"00")</f>
        <v>2022-10</v>
      </c>
    </row>
    <row r="980" spans="1:15" x14ac:dyDescent="0.35">
      <c r="A980" s="2">
        <v>44627</v>
      </c>
      <c r="B980" s="3">
        <v>152.94999999999999</v>
      </c>
      <c r="C980" s="4">
        <f t="shared" si="60"/>
        <v>3.7299999999999898</v>
      </c>
      <c r="D980" s="4">
        <f t="shared" si="58"/>
        <v>30.007499999999993</v>
      </c>
      <c r="E980" s="3">
        <v>57.95</v>
      </c>
      <c r="F980" s="3">
        <v>20</v>
      </c>
      <c r="G980" s="3">
        <v>158.56</v>
      </c>
      <c r="H980" s="4">
        <f t="shared" si="61"/>
        <v>5.1999999999999886</v>
      </c>
      <c r="I980" s="4">
        <f t="shared" si="59"/>
        <v>31.161350999999996</v>
      </c>
      <c r="J980" s="3">
        <v>57.95</v>
      </c>
      <c r="K980" s="3">
        <v>20</v>
      </c>
      <c r="L980" s="13">
        <f>YEAR(Weekly_Prices[[#This Row],[Date]])</f>
        <v>2022</v>
      </c>
      <c r="M980" s="13">
        <f>MONTH(Weekly_Prices[[#This Row],[Date]])</f>
        <v>3</v>
      </c>
      <c r="N980" s="3" t="str">
        <f>TEXT(Weekly_Prices[[#This Row],[Date]],"MMMM")</f>
        <v>March</v>
      </c>
      <c r="O980" s="3" t="str">
        <f>YEAR(Weekly_Prices[[#This Row],[Date]])&amp;"-"&amp;TEXT(WEEKNUM(Weekly_Prices[[#This Row],[Date]],2),"00")</f>
        <v>2022-11</v>
      </c>
    </row>
    <row r="981" spans="1:15" x14ac:dyDescent="0.35">
      <c r="A981" s="2">
        <v>44634</v>
      </c>
      <c r="B981" s="3">
        <v>159.96</v>
      </c>
      <c r="C981" s="4">
        <f t="shared" si="60"/>
        <v>7.0100000000000193</v>
      </c>
      <c r="D981" s="4">
        <f t="shared" si="58"/>
        <v>36.059117000000001</v>
      </c>
      <c r="E981" s="3">
        <v>57.95</v>
      </c>
      <c r="F981" s="3">
        <v>20</v>
      </c>
      <c r="G981" s="3">
        <v>169.48</v>
      </c>
      <c r="H981" s="4">
        <f t="shared" si="61"/>
        <v>10.919999999999987</v>
      </c>
      <c r="I981" s="4">
        <f t="shared" si="59"/>
        <v>41.236275000000006</v>
      </c>
      <c r="J981" s="3">
        <v>57.95</v>
      </c>
      <c r="K981" s="3">
        <v>20</v>
      </c>
      <c r="L981" s="13">
        <f>YEAR(Weekly_Prices[[#This Row],[Date]])</f>
        <v>2022</v>
      </c>
      <c r="M981" s="13">
        <f>MONTH(Weekly_Prices[[#This Row],[Date]])</f>
        <v>3</v>
      </c>
      <c r="N981" s="3" t="str">
        <f>TEXT(Weekly_Prices[[#This Row],[Date]],"MMMM")</f>
        <v>March</v>
      </c>
      <c r="O981" s="3" t="str">
        <f>YEAR(Weekly_Prices[[#This Row],[Date]])&amp;"-"&amp;TEXT(WEEKNUM(Weekly_Prices[[#This Row],[Date]],2),"00")</f>
        <v>2022-12</v>
      </c>
    </row>
    <row r="982" spans="1:15" x14ac:dyDescent="0.35">
      <c r="A982" s="2">
        <v>44641</v>
      </c>
      <c r="B982" s="3">
        <v>165.37</v>
      </c>
      <c r="C982" s="4">
        <f t="shared" si="60"/>
        <v>5.4099999999999966</v>
      </c>
      <c r="D982" s="4">
        <f t="shared" si="58"/>
        <v>40.801752999999991</v>
      </c>
      <c r="E982" s="3">
        <v>57.95</v>
      </c>
      <c r="F982" s="3">
        <v>20</v>
      </c>
      <c r="G982" s="3">
        <v>177.47</v>
      </c>
      <c r="H982" s="4">
        <f t="shared" si="61"/>
        <v>7.9900000000000091</v>
      </c>
      <c r="I982" s="4">
        <f t="shared" si="59"/>
        <v>48.450879000000015</v>
      </c>
      <c r="J982" s="3">
        <v>57.95</v>
      </c>
      <c r="K982" s="3">
        <v>20</v>
      </c>
      <c r="L982" s="13">
        <f>YEAR(Weekly_Prices[[#This Row],[Date]])</f>
        <v>2022</v>
      </c>
      <c r="M982" s="13">
        <f>MONTH(Weekly_Prices[[#This Row],[Date]])</f>
        <v>3</v>
      </c>
      <c r="N982" s="3" t="str">
        <f>TEXT(Weekly_Prices[[#This Row],[Date]],"MMMM")</f>
        <v>March</v>
      </c>
      <c r="O982" s="3" t="str">
        <f>YEAR(Weekly_Prices[[#This Row],[Date]])&amp;"-"&amp;TEXT(WEEKNUM(Weekly_Prices[[#This Row],[Date]],2),"00")</f>
        <v>2022-13</v>
      </c>
    </row>
    <row r="983" spans="1:15" x14ac:dyDescent="0.35">
      <c r="A983" s="2">
        <v>44648</v>
      </c>
      <c r="B983" s="3">
        <v>162.65176899999997</v>
      </c>
      <c r="C983" s="4">
        <f t="shared" si="60"/>
        <v>-2.7182310000000314</v>
      </c>
      <c r="D983" s="4">
        <f t="shared" si="58"/>
        <v>37.524792999999974</v>
      </c>
      <c r="E983" s="3">
        <v>52.95</v>
      </c>
      <c r="F983" s="3">
        <v>20</v>
      </c>
      <c r="G983" s="3">
        <v>176.44240299999998</v>
      </c>
      <c r="H983" s="4">
        <f t="shared" si="61"/>
        <v>-1.0275970000000143</v>
      </c>
      <c r="I983" s="4">
        <f t="shared" si="59"/>
        <v>47.127294999999975</v>
      </c>
      <c r="J983" s="3">
        <v>52.95</v>
      </c>
      <c r="K983" s="3">
        <v>20</v>
      </c>
      <c r="L983" s="13">
        <f>YEAR(Weekly_Prices[[#This Row],[Date]])</f>
        <v>2022</v>
      </c>
      <c r="M983" s="13">
        <f>MONTH(Weekly_Prices[[#This Row],[Date]])</f>
        <v>3</v>
      </c>
      <c r="N983" s="3" t="str">
        <f>TEXT(Weekly_Prices[[#This Row],[Date]],"MMMM")</f>
        <v>March</v>
      </c>
      <c r="O983" s="3" t="str">
        <f>YEAR(Weekly_Prices[[#This Row],[Date]])&amp;"-"&amp;TEXT(WEEKNUM(Weekly_Prices[[#This Row],[Date]],2),"00")</f>
        <v>2022-14</v>
      </c>
    </row>
    <row r="984" spans="1:15" x14ac:dyDescent="0.35">
      <c r="A984" s="2">
        <v>44655</v>
      </c>
      <c r="B984" s="3">
        <v>161.91</v>
      </c>
      <c r="C984" s="4">
        <f t="shared" si="60"/>
        <v>-0.74176899999997659</v>
      </c>
      <c r="D984" s="4">
        <f t="shared" si="58"/>
        <v>36.669577000000004</v>
      </c>
      <c r="E984" s="3">
        <v>52.95</v>
      </c>
      <c r="F984" s="3">
        <v>20</v>
      </c>
      <c r="G984" s="3">
        <v>176</v>
      </c>
      <c r="H984" s="4">
        <f t="shared" si="61"/>
        <v>-0.44240299999998456</v>
      </c>
      <c r="I984" s="4">
        <f t="shared" si="59"/>
        <v>46.649254999999982</v>
      </c>
      <c r="J984" s="3">
        <v>52.95</v>
      </c>
      <c r="K984" s="3">
        <v>20</v>
      </c>
      <c r="L984" s="13">
        <f>YEAR(Weekly_Prices[[#This Row],[Date]])</f>
        <v>2022</v>
      </c>
      <c r="M984" s="13">
        <f>MONTH(Weekly_Prices[[#This Row],[Date]])</f>
        <v>4</v>
      </c>
      <c r="N984" s="3" t="str">
        <f>TEXT(Weekly_Prices[[#This Row],[Date]],"MMMM")</f>
        <v>April</v>
      </c>
      <c r="O984" s="3" t="str">
        <f>YEAR(Weekly_Prices[[#This Row],[Date]])&amp;"-"&amp;TEXT(WEEKNUM(Weekly_Prices[[#This Row],[Date]],2),"00")</f>
        <v>2022-15</v>
      </c>
    </row>
    <row r="985" spans="1:15" x14ac:dyDescent="0.35">
      <c r="A985" s="2">
        <v>44662</v>
      </c>
      <c r="B985" s="3">
        <v>161.78</v>
      </c>
      <c r="C985" s="4">
        <f t="shared" si="60"/>
        <v>-0.12999999999999545</v>
      </c>
      <c r="D985" s="4">
        <f t="shared" si="58"/>
        <v>36.38180100000001</v>
      </c>
      <c r="E985" s="3">
        <v>52.95</v>
      </c>
      <c r="F985" s="3">
        <v>20</v>
      </c>
      <c r="G985" s="3">
        <v>176.22</v>
      </c>
      <c r="H985" s="4">
        <f t="shared" si="61"/>
        <v>0.21999999999999886</v>
      </c>
      <c r="I985" s="4">
        <f t="shared" si="59"/>
        <v>46.832594</v>
      </c>
      <c r="J985" s="3">
        <v>52.95</v>
      </c>
      <c r="K985" s="3">
        <v>20</v>
      </c>
      <c r="L985" s="13">
        <f>YEAR(Weekly_Prices[[#This Row],[Date]])</f>
        <v>2022</v>
      </c>
      <c r="M985" s="13">
        <f>MONTH(Weekly_Prices[[#This Row],[Date]])</f>
        <v>4</v>
      </c>
      <c r="N985" s="3" t="str">
        <f>TEXT(Weekly_Prices[[#This Row],[Date]],"MMMM")</f>
        <v>April</v>
      </c>
      <c r="O985" s="3" t="str">
        <f>YEAR(Weekly_Prices[[#This Row],[Date]])&amp;"-"&amp;TEXT(WEEKNUM(Weekly_Prices[[#This Row],[Date]],2),"00")</f>
        <v>2022-16</v>
      </c>
    </row>
    <row r="986" spans="1:15" x14ac:dyDescent="0.35">
      <c r="A986" s="2">
        <v>44669</v>
      </c>
      <c r="B986" s="3">
        <v>161.67102399999996</v>
      </c>
      <c r="C986" s="4">
        <f t="shared" si="60"/>
        <v>-0.10897600000004104</v>
      </c>
      <c r="D986" s="4">
        <f t="shared" si="58"/>
        <v>36.193006999999952</v>
      </c>
      <c r="E986" s="3">
        <v>52.95</v>
      </c>
      <c r="F986" s="3">
        <v>20</v>
      </c>
      <c r="G986" s="3">
        <v>175.92927700000001</v>
      </c>
      <c r="H986" s="4">
        <f t="shared" si="61"/>
        <v>-0.29072299999998563</v>
      </c>
      <c r="I986" s="4">
        <f t="shared" si="59"/>
        <v>46.435689000000025</v>
      </c>
      <c r="J986" s="3">
        <v>52.95</v>
      </c>
      <c r="K986" s="3">
        <v>20</v>
      </c>
      <c r="L986" s="13">
        <f>YEAR(Weekly_Prices[[#This Row],[Date]])</f>
        <v>2022</v>
      </c>
      <c r="M986" s="13">
        <f>MONTH(Weekly_Prices[[#This Row],[Date]])</f>
        <v>4</v>
      </c>
      <c r="N986" s="3" t="str">
        <f>TEXT(Weekly_Prices[[#This Row],[Date]],"MMMM")</f>
        <v>April</v>
      </c>
      <c r="O986" s="3" t="str">
        <f>YEAR(Weekly_Prices[[#This Row],[Date]])&amp;"-"&amp;TEXT(WEEKNUM(Weekly_Prices[[#This Row],[Date]],2),"00")</f>
        <v>2022-17</v>
      </c>
    </row>
    <row r="987" spans="1:15" x14ac:dyDescent="0.35">
      <c r="A987" s="2">
        <v>44676</v>
      </c>
      <c r="B987" s="3">
        <v>161.83973200000003</v>
      </c>
      <c r="C987" s="4">
        <f t="shared" si="60"/>
        <v>0.16870800000006625</v>
      </c>
      <c r="D987" s="4">
        <f t="shared" si="58"/>
        <v>36.040820268000019</v>
      </c>
      <c r="E987" s="3">
        <v>52.95</v>
      </c>
      <c r="F987" s="3">
        <v>20</v>
      </c>
      <c r="G987" s="3">
        <v>176.33440100000001</v>
      </c>
      <c r="H987" s="4">
        <f t="shared" si="61"/>
        <v>0.40512400000000071</v>
      </c>
      <c r="I987" s="4">
        <f t="shared" si="59"/>
        <v>46.568926656000031</v>
      </c>
      <c r="J987" s="3">
        <v>52.95</v>
      </c>
      <c r="K987" s="3">
        <v>20</v>
      </c>
      <c r="L987" s="13">
        <f>YEAR(Weekly_Prices[[#This Row],[Date]])</f>
        <v>2022</v>
      </c>
      <c r="M987" s="13">
        <f>MONTH(Weekly_Prices[[#This Row],[Date]])</f>
        <v>4</v>
      </c>
      <c r="N987" s="3" t="str">
        <f>TEXT(Weekly_Prices[[#This Row],[Date]],"MMMM")</f>
        <v>April</v>
      </c>
      <c r="O987" s="3" t="str">
        <f>YEAR(Weekly_Prices[[#This Row],[Date]])&amp;"-"&amp;TEXT(WEEKNUM(Weekly_Prices[[#This Row],[Date]],2),"00")</f>
        <v>2022-18</v>
      </c>
    </row>
    <row r="988" spans="1:15" x14ac:dyDescent="0.35">
      <c r="A988" s="2">
        <v>44683</v>
      </c>
      <c r="B988" s="3">
        <v>162.47569400000003</v>
      </c>
      <c r="C988" s="4">
        <f t="shared" si="60"/>
        <v>0.63596200000000636</v>
      </c>
      <c r="D988" s="4">
        <f t="shared" si="58"/>
        <v>36.382385000000042</v>
      </c>
      <c r="E988" s="3">
        <v>52.95</v>
      </c>
      <c r="F988" s="3">
        <v>20</v>
      </c>
      <c r="G988" s="3">
        <v>177.06366299999999</v>
      </c>
      <c r="H988" s="4">
        <f t="shared" si="61"/>
        <v>0.72926199999997721</v>
      </c>
      <c r="I988" s="4">
        <f t="shared" si="59"/>
        <v>47.061264999999963</v>
      </c>
      <c r="J988" s="3">
        <v>52.95</v>
      </c>
      <c r="K988" s="3">
        <v>20</v>
      </c>
      <c r="L988" s="13">
        <f>YEAR(Weekly_Prices[[#This Row],[Date]])</f>
        <v>2022</v>
      </c>
      <c r="M988" s="13">
        <f>MONTH(Weekly_Prices[[#This Row],[Date]])</f>
        <v>5</v>
      </c>
      <c r="N988" s="3" t="str">
        <f>TEXT(Weekly_Prices[[#This Row],[Date]],"MMMM")</f>
        <v>May</v>
      </c>
      <c r="O988" s="3" t="str">
        <f>YEAR(Weekly_Prices[[#This Row],[Date]])&amp;"-"&amp;TEXT(WEEKNUM(Weekly_Prices[[#This Row],[Date]],2),"00")</f>
        <v>2022-19</v>
      </c>
    </row>
    <row r="989" spans="1:15" x14ac:dyDescent="0.35">
      <c r="A989" s="2">
        <v>44690</v>
      </c>
      <c r="B989" s="3">
        <v>163.67961200000002</v>
      </c>
      <c r="C989" s="4">
        <f t="shared" si="60"/>
        <v>1.2039179999999874</v>
      </c>
      <c r="D989" s="4">
        <f t="shared" si="58"/>
        <v>37.153120999999999</v>
      </c>
      <c r="E989" s="3">
        <v>52.95</v>
      </c>
      <c r="F989" s="3">
        <v>20</v>
      </c>
      <c r="G989" s="3">
        <v>178.39</v>
      </c>
      <c r="H989" s="4">
        <f t="shared" si="61"/>
        <v>1.3263369999999952</v>
      </c>
      <c r="I989" s="4">
        <f t="shared" si="59"/>
        <v>47.962558000000001</v>
      </c>
      <c r="J989" s="3">
        <v>52.95</v>
      </c>
      <c r="K989" s="3">
        <v>20</v>
      </c>
      <c r="L989" s="13">
        <f>YEAR(Weekly_Prices[[#This Row],[Date]])</f>
        <v>2022</v>
      </c>
      <c r="M989" s="13">
        <f>MONTH(Weekly_Prices[[#This Row],[Date]])</f>
        <v>5</v>
      </c>
      <c r="N989" s="3" t="str">
        <f>TEXT(Weekly_Prices[[#This Row],[Date]],"MMMM")</f>
        <v>May</v>
      </c>
      <c r="O989" s="3" t="str">
        <f>YEAR(Weekly_Prices[[#This Row],[Date]])&amp;"-"&amp;TEXT(WEEKNUM(Weekly_Prices[[#This Row],[Date]],2),"00")</f>
        <v>2022-20</v>
      </c>
    </row>
    <row r="990" spans="1:15" x14ac:dyDescent="0.35">
      <c r="A990" s="2">
        <v>44697</v>
      </c>
      <c r="B990" s="3">
        <v>165.090406</v>
      </c>
      <c r="C990" s="4">
        <f t="shared" si="60"/>
        <v>1.4107939999999815</v>
      </c>
      <c r="D990" s="4">
        <f t="shared" si="58"/>
        <v>37.899445999999998</v>
      </c>
      <c r="E990" s="3">
        <v>52.95</v>
      </c>
      <c r="F990" s="3">
        <v>20</v>
      </c>
      <c r="G990" s="3">
        <v>179.67</v>
      </c>
      <c r="H990" s="4">
        <f t="shared" si="61"/>
        <v>1.2800000000000011</v>
      </c>
      <c r="I990" s="4">
        <f t="shared" si="59"/>
        <v>48.642504999999971</v>
      </c>
      <c r="J990" s="3">
        <v>52.95</v>
      </c>
      <c r="K990" s="3">
        <v>20</v>
      </c>
      <c r="L990" s="13">
        <f>YEAR(Weekly_Prices[[#This Row],[Date]])</f>
        <v>2022</v>
      </c>
      <c r="M990" s="13">
        <f>MONTH(Weekly_Prices[[#This Row],[Date]])</f>
        <v>5</v>
      </c>
      <c r="N990" s="3" t="str">
        <f>TEXT(Weekly_Prices[[#This Row],[Date]],"MMMM")</f>
        <v>May</v>
      </c>
      <c r="O990" s="3" t="str">
        <f>YEAR(Weekly_Prices[[#This Row],[Date]])&amp;"-"&amp;TEXT(WEEKNUM(Weekly_Prices[[#This Row],[Date]],2),"00")</f>
        <v>2022-21</v>
      </c>
    </row>
    <row r="991" spans="1:15" x14ac:dyDescent="0.35">
      <c r="A991" s="2">
        <v>44704</v>
      </c>
      <c r="B991" s="3">
        <v>167.58508</v>
      </c>
      <c r="C991" s="4">
        <f t="shared" si="60"/>
        <v>2.4946740000000034</v>
      </c>
      <c r="D991" s="4">
        <f t="shared" si="58"/>
        <v>39.693781000000001</v>
      </c>
      <c r="E991" s="3">
        <v>52.95</v>
      </c>
      <c r="F991" s="3">
        <v>20</v>
      </c>
      <c r="G991" s="3">
        <v>181.162485</v>
      </c>
      <c r="H991" s="4">
        <f t="shared" si="61"/>
        <v>1.4924850000000163</v>
      </c>
      <c r="I991" s="4">
        <f t="shared" si="59"/>
        <v>49.637719000000004</v>
      </c>
      <c r="J991" s="3">
        <v>52.95</v>
      </c>
      <c r="K991" s="3">
        <v>20</v>
      </c>
      <c r="L991" s="13">
        <f>YEAR(Weekly_Prices[[#This Row],[Date]])</f>
        <v>2022</v>
      </c>
      <c r="M991" s="13">
        <f>MONTH(Weekly_Prices[[#This Row],[Date]])</f>
        <v>5</v>
      </c>
      <c r="N991" s="3" t="str">
        <f>TEXT(Weekly_Prices[[#This Row],[Date]],"MMMM")</f>
        <v>May</v>
      </c>
      <c r="O991" s="3" t="str">
        <f>YEAR(Weekly_Prices[[#This Row],[Date]])&amp;"-"&amp;TEXT(WEEKNUM(Weekly_Prices[[#This Row],[Date]],2),"00")</f>
        <v>2022-22</v>
      </c>
    </row>
    <row r="992" spans="1:15" x14ac:dyDescent="0.35">
      <c r="A992" s="2">
        <v>44711</v>
      </c>
      <c r="B992" s="3">
        <v>170.35609500000001</v>
      </c>
      <c r="C992" s="4">
        <f t="shared" si="60"/>
        <v>2.7710150000000056</v>
      </c>
      <c r="D992" s="4">
        <f t="shared" si="58"/>
        <v>42.203480572000018</v>
      </c>
      <c r="E992" s="3">
        <v>52.95</v>
      </c>
      <c r="F992" s="3">
        <v>20</v>
      </c>
      <c r="G992" s="3">
        <v>182.24970200000001</v>
      </c>
      <c r="H992" s="4">
        <f t="shared" si="61"/>
        <v>1.0872170000000096</v>
      </c>
      <c r="I992" s="4">
        <f t="shared" si="59"/>
        <v>50.432281464000027</v>
      </c>
      <c r="J992" s="3">
        <v>52.95</v>
      </c>
      <c r="K992" s="3">
        <v>20</v>
      </c>
      <c r="L992" s="13">
        <f>YEAR(Weekly_Prices[[#This Row],[Date]])</f>
        <v>2022</v>
      </c>
      <c r="M992" s="13">
        <f>MONTH(Weekly_Prices[[#This Row],[Date]])</f>
        <v>5</v>
      </c>
      <c r="N992" s="3" t="str">
        <f>TEXT(Weekly_Prices[[#This Row],[Date]],"MMMM")</f>
        <v>May</v>
      </c>
      <c r="O992" s="3" t="str">
        <f>YEAR(Weekly_Prices[[#This Row],[Date]])&amp;"-"&amp;TEXT(WEEKNUM(Weekly_Prices[[#This Row],[Date]],2),"00")</f>
        <v>2022-23</v>
      </c>
    </row>
    <row r="993" spans="1:15" x14ac:dyDescent="0.35">
      <c r="A993" s="2">
        <v>44718</v>
      </c>
      <c r="B993" s="3">
        <v>174.994575</v>
      </c>
      <c r="C993" s="4">
        <f t="shared" si="60"/>
        <v>4.6384799999999871</v>
      </c>
      <c r="D993" s="4">
        <f t="shared" si="58"/>
        <v>46.304810558999975</v>
      </c>
      <c r="E993" s="3">
        <v>52.95</v>
      </c>
      <c r="F993" s="3">
        <v>20</v>
      </c>
      <c r="G993" s="3">
        <v>184.94319000000002</v>
      </c>
      <c r="H993" s="4">
        <f t="shared" si="61"/>
        <v>2.6934880000000021</v>
      </c>
      <c r="I993" s="4">
        <f t="shared" si="59"/>
        <v>52.563025976000006</v>
      </c>
      <c r="J993" s="3">
        <v>52.95</v>
      </c>
      <c r="K993" s="3">
        <v>20</v>
      </c>
      <c r="L993" s="13">
        <f>YEAR(Weekly_Prices[[#This Row],[Date]])</f>
        <v>2022</v>
      </c>
      <c r="M993" s="13">
        <f>MONTH(Weekly_Prices[[#This Row],[Date]])</f>
        <v>6</v>
      </c>
      <c r="N993" s="3" t="str">
        <f>TEXT(Weekly_Prices[[#This Row],[Date]],"MMMM")</f>
        <v>June</v>
      </c>
      <c r="O993" s="3" t="str">
        <f>YEAR(Weekly_Prices[[#This Row],[Date]])&amp;"-"&amp;TEXT(WEEKNUM(Weekly_Prices[[#This Row],[Date]],2),"00")</f>
        <v>2022-24</v>
      </c>
    </row>
    <row r="994" spans="1:15" x14ac:dyDescent="0.35">
      <c r="A994" s="2">
        <v>44725</v>
      </c>
      <c r="B994" s="3">
        <v>182.53120700000002</v>
      </c>
      <c r="C994" s="4">
        <f t="shared" si="60"/>
        <v>7.5366320000000258</v>
      </c>
      <c r="D994" s="4">
        <f t="shared" si="58"/>
        <v>53.06234372000003</v>
      </c>
      <c r="E994" s="3">
        <v>52.95</v>
      </c>
      <c r="F994" s="3">
        <v>20</v>
      </c>
      <c r="G994" s="3">
        <v>190.43459200000001</v>
      </c>
      <c r="H994" s="4">
        <f t="shared" si="61"/>
        <v>5.4914019999999937</v>
      </c>
      <c r="I994" s="4">
        <f t="shared" si="59"/>
        <v>57.262897600000031</v>
      </c>
      <c r="J994" s="3">
        <v>52.95</v>
      </c>
      <c r="K994" s="3">
        <v>20</v>
      </c>
      <c r="L994" s="13">
        <f>YEAR(Weekly_Prices[[#This Row],[Date]])</f>
        <v>2022</v>
      </c>
      <c r="M994" s="13">
        <f>MONTH(Weekly_Prices[[#This Row],[Date]])</f>
        <v>6</v>
      </c>
      <c r="N994" s="3" t="str">
        <f>TEXT(Weekly_Prices[[#This Row],[Date]],"MMMM")</f>
        <v>June</v>
      </c>
      <c r="O994" s="3" t="str">
        <f>YEAR(Weekly_Prices[[#This Row],[Date]])&amp;"-"&amp;TEXT(WEEKNUM(Weekly_Prices[[#This Row],[Date]],2),"00")</f>
        <v>2022-25</v>
      </c>
    </row>
    <row r="995" spans="1:15" x14ac:dyDescent="0.35">
      <c r="A995" s="2">
        <v>44732</v>
      </c>
      <c r="B995" s="3">
        <v>186.84526099999999</v>
      </c>
      <c r="C995" s="4">
        <f t="shared" si="60"/>
        <v>4.3140539999999703</v>
      </c>
      <c r="D995" s="4">
        <f t="shared" si="58"/>
        <v>56.745238110999992</v>
      </c>
      <c r="E995" s="3">
        <v>52.95</v>
      </c>
      <c r="F995" s="3">
        <v>20</v>
      </c>
      <c r="G995" s="3">
        <v>194.87</v>
      </c>
      <c r="H995" s="4">
        <f t="shared" si="61"/>
        <v>4.4354079999999954</v>
      </c>
      <c r="I995" s="4">
        <f t="shared" si="59"/>
        <v>61.179096496000028</v>
      </c>
      <c r="J995" s="3">
        <v>52.95</v>
      </c>
      <c r="K995" s="3">
        <v>20</v>
      </c>
      <c r="L995" s="13">
        <f>YEAR(Weekly_Prices[[#This Row],[Date]])</f>
        <v>2022</v>
      </c>
      <c r="M995" s="13">
        <f>MONTH(Weekly_Prices[[#This Row],[Date]])</f>
        <v>6</v>
      </c>
      <c r="N995" s="3" t="str">
        <f>TEXT(Weekly_Prices[[#This Row],[Date]],"MMMM")</f>
        <v>June</v>
      </c>
      <c r="O995" s="3" t="str">
        <f>YEAR(Weekly_Prices[[#This Row],[Date]])&amp;"-"&amp;TEXT(WEEKNUM(Weekly_Prices[[#This Row],[Date]],2),"00")</f>
        <v>2022-26</v>
      </c>
    </row>
    <row r="996" spans="1:15" x14ac:dyDescent="0.35">
      <c r="A996" s="2">
        <v>44739</v>
      </c>
      <c r="B996" s="3">
        <v>190.92684500000004</v>
      </c>
      <c r="C996" s="4">
        <f t="shared" si="60"/>
        <v>4.0815840000000492</v>
      </c>
      <c r="D996" s="4">
        <f t="shared" si="58"/>
        <v>60.201250507000026</v>
      </c>
      <c r="E996" s="3">
        <v>52.95</v>
      </c>
      <c r="F996" s="3">
        <v>20</v>
      </c>
      <c r="G996" s="3">
        <v>198.93</v>
      </c>
      <c r="H996" s="4">
        <f t="shared" si="61"/>
        <v>4.0600000000000023</v>
      </c>
      <c r="I996" s="4">
        <f t="shared" si="59"/>
        <v>64.655465816000003</v>
      </c>
      <c r="J996" s="3">
        <v>52.95</v>
      </c>
      <c r="K996" s="3">
        <v>20</v>
      </c>
      <c r="L996" s="13">
        <f>YEAR(Weekly_Prices[[#This Row],[Date]])</f>
        <v>2022</v>
      </c>
      <c r="M996" s="13">
        <f>MONTH(Weekly_Prices[[#This Row],[Date]])</f>
        <v>6</v>
      </c>
      <c r="N996" s="3" t="str">
        <f>TEXT(Weekly_Prices[[#This Row],[Date]],"MMMM")</f>
        <v>June</v>
      </c>
      <c r="O996" s="3" t="str">
        <f>YEAR(Weekly_Prices[[#This Row],[Date]])&amp;"-"&amp;TEXT(WEEKNUM(Weekly_Prices[[#This Row],[Date]],2),"00")</f>
        <v>2022-27</v>
      </c>
    </row>
    <row r="997" spans="1:15" x14ac:dyDescent="0.35">
      <c r="A997" s="2">
        <v>44746</v>
      </c>
      <c r="B997" s="3">
        <v>191.546629</v>
      </c>
      <c r="C997" s="4">
        <f t="shared" si="60"/>
        <v>0.61978399999995304</v>
      </c>
      <c r="D997" s="4">
        <f t="shared" si="58"/>
        <v>59.84796399999999</v>
      </c>
      <c r="E997" s="3">
        <v>52.95</v>
      </c>
      <c r="F997" s="3">
        <v>20</v>
      </c>
      <c r="G997" s="3">
        <v>199.22</v>
      </c>
      <c r="H997" s="4">
        <f t="shared" si="61"/>
        <v>0.28999999999999204</v>
      </c>
      <c r="I997" s="4">
        <f t="shared" si="59"/>
        <v>65.094951666666645</v>
      </c>
      <c r="J997" s="3">
        <v>52.95</v>
      </c>
      <c r="K997" s="3">
        <v>20</v>
      </c>
      <c r="L997" s="13">
        <f>YEAR(Weekly_Prices[[#This Row],[Date]])</f>
        <v>2022</v>
      </c>
      <c r="M997" s="13">
        <f>MONTH(Weekly_Prices[[#This Row],[Date]])</f>
        <v>7</v>
      </c>
      <c r="N997" s="3" t="str">
        <f>TEXT(Weekly_Prices[[#This Row],[Date]],"MMMM")</f>
        <v>July</v>
      </c>
      <c r="O997" s="3" t="str">
        <f>YEAR(Weekly_Prices[[#This Row],[Date]])&amp;"-"&amp;TEXT(WEEKNUM(Weekly_Prices[[#This Row],[Date]],2),"00")</f>
        <v>2022-28</v>
      </c>
    </row>
    <row r="998" spans="1:15" x14ac:dyDescent="0.35">
      <c r="A998" s="2">
        <v>44753</v>
      </c>
      <c r="B998" s="3">
        <v>190.62513000000001</v>
      </c>
      <c r="C998" s="4">
        <f t="shared" si="60"/>
        <v>-0.92149899999998297</v>
      </c>
      <c r="D998" s="4">
        <f t="shared" si="58"/>
        <v>58.155432979000011</v>
      </c>
      <c r="E998" s="3">
        <v>52.95</v>
      </c>
      <c r="F998" s="3">
        <v>20</v>
      </c>
      <c r="G998" s="3">
        <v>198.74</v>
      </c>
      <c r="H998" s="4">
        <f t="shared" si="61"/>
        <v>-0.47999999999998977</v>
      </c>
      <c r="I998" s="4">
        <f t="shared" si="59"/>
        <v>63.452727232000001</v>
      </c>
      <c r="J998" s="3">
        <v>52.95</v>
      </c>
      <c r="K998" s="3">
        <v>20</v>
      </c>
      <c r="L998" s="13">
        <f>YEAR(Weekly_Prices[[#This Row],[Date]])</f>
        <v>2022</v>
      </c>
      <c r="M998" s="13">
        <f>MONTH(Weekly_Prices[[#This Row],[Date]])</f>
        <v>7</v>
      </c>
      <c r="N998" s="3" t="str">
        <f>TEXT(Weekly_Prices[[#This Row],[Date]],"MMMM")</f>
        <v>July</v>
      </c>
      <c r="O998" s="3" t="str">
        <f>YEAR(Weekly_Prices[[#This Row],[Date]])&amp;"-"&amp;TEXT(WEEKNUM(Weekly_Prices[[#This Row],[Date]],2),"00")</f>
        <v>2022-29</v>
      </c>
    </row>
    <row r="999" spans="1:15" x14ac:dyDescent="0.35">
      <c r="A999" s="2">
        <v>44760</v>
      </c>
      <c r="B999" s="3">
        <v>188.91708299999999</v>
      </c>
      <c r="C999" s="4">
        <f t="shared" si="60"/>
        <v>-1.7080470000000219</v>
      </c>
      <c r="D999" s="4">
        <f t="shared" si="58"/>
        <v>55.71496864300002</v>
      </c>
      <c r="E999" s="3">
        <v>52.95</v>
      </c>
      <c r="F999" s="3">
        <v>20</v>
      </c>
      <c r="G999" s="3">
        <v>197.53</v>
      </c>
      <c r="H999" s="4">
        <f t="shared" si="61"/>
        <v>-1.210000000000008</v>
      </c>
      <c r="I999" s="4">
        <f t="shared" si="59"/>
        <v>61.581298152000016</v>
      </c>
      <c r="J999" s="3">
        <v>52.95</v>
      </c>
      <c r="K999" s="3">
        <v>20</v>
      </c>
      <c r="L999" s="13">
        <f>YEAR(Weekly_Prices[[#This Row],[Date]])</f>
        <v>2022</v>
      </c>
      <c r="M999" s="13">
        <f>MONTH(Weekly_Prices[[#This Row],[Date]])</f>
        <v>7</v>
      </c>
      <c r="N999" s="3" t="str">
        <f>TEXT(Weekly_Prices[[#This Row],[Date]],"MMMM")</f>
        <v>July</v>
      </c>
      <c r="O999" s="3" t="str">
        <f>YEAR(Weekly_Prices[[#This Row],[Date]])&amp;"-"&amp;TEXT(WEEKNUM(Weekly_Prices[[#This Row],[Date]],2),"00")</f>
        <v>2022-30</v>
      </c>
    </row>
    <row r="1000" spans="1:15" x14ac:dyDescent="0.35">
      <c r="A1000" s="2">
        <v>44767</v>
      </c>
      <c r="B1000" s="3">
        <v>186.60049500000002</v>
      </c>
      <c r="C1000" s="4">
        <f t="shared" si="60"/>
        <v>-2.3165879999999675</v>
      </c>
      <c r="D1000" s="4">
        <f t="shared" si="58"/>
        <v>53.117970750000012</v>
      </c>
      <c r="E1000" s="3">
        <v>52.95</v>
      </c>
      <c r="F1000" s="3">
        <v>20</v>
      </c>
      <c r="G1000" s="3">
        <v>195.88</v>
      </c>
      <c r="H1000" s="4">
        <f t="shared" si="61"/>
        <v>-1.6500000000000057</v>
      </c>
      <c r="I1000" s="4">
        <f t="shared" si="59"/>
        <v>59.676066359999993</v>
      </c>
      <c r="J1000" s="3">
        <v>52.95</v>
      </c>
      <c r="K1000" s="3">
        <v>20</v>
      </c>
      <c r="L1000" s="13">
        <f>YEAR(Weekly_Prices[[#This Row],[Date]])</f>
        <v>2022</v>
      </c>
      <c r="M1000" s="13">
        <f>MONTH(Weekly_Prices[[#This Row],[Date]])</f>
        <v>7</v>
      </c>
      <c r="N1000" s="3" t="str">
        <f>TEXT(Weekly_Prices[[#This Row],[Date]],"MMMM")</f>
        <v>July</v>
      </c>
      <c r="O1000" s="3" t="str">
        <f>YEAR(Weekly_Prices[[#This Row],[Date]])&amp;"-"&amp;TEXT(WEEKNUM(Weekly_Prices[[#This Row],[Date]],2),"00")</f>
        <v>2022-31</v>
      </c>
    </row>
    <row r="1001" spans="1:15" x14ac:dyDescent="0.35">
      <c r="A1001" s="2">
        <v>44774</v>
      </c>
      <c r="B1001" s="3">
        <v>182.76847199999997</v>
      </c>
      <c r="C1001" s="4">
        <f t="shared" si="60"/>
        <v>-3.8320230000000493</v>
      </c>
      <c r="D1001" s="4">
        <f t="shared" si="58"/>
        <v>48.56019699999996</v>
      </c>
      <c r="E1001" s="3">
        <v>52.95</v>
      </c>
      <c r="F1001" s="3">
        <v>20</v>
      </c>
      <c r="G1001" s="3">
        <v>193.04</v>
      </c>
      <c r="H1001" s="4">
        <f t="shared" si="61"/>
        <v>-2.8400000000000034</v>
      </c>
      <c r="I1001" s="4">
        <f t="shared" si="59"/>
        <v>56.150000000000006</v>
      </c>
      <c r="J1001" s="3">
        <v>52.95</v>
      </c>
      <c r="K1001" s="3">
        <v>20</v>
      </c>
      <c r="L1001" s="13">
        <f>YEAR(Weekly_Prices[[#This Row],[Date]])</f>
        <v>2022</v>
      </c>
      <c r="M1001" s="13">
        <f>MONTH(Weekly_Prices[[#This Row],[Date]])</f>
        <v>8</v>
      </c>
      <c r="N1001" s="3" t="str">
        <f>TEXT(Weekly_Prices[[#This Row],[Date]],"MMMM")</f>
        <v>August</v>
      </c>
      <c r="O1001" s="3" t="str">
        <f>YEAR(Weekly_Prices[[#This Row],[Date]])&amp;"-"&amp;TEXT(WEEKNUM(Weekly_Prices[[#This Row],[Date]],2),"00")</f>
        <v>2022-32</v>
      </c>
    </row>
    <row r="1002" spans="1:15" x14ac:dyDescent="0.35">
      <c r="A1002" s="2">
        <v>44781</v>
      </c>
      <c r="B1002" s="3">
        <v>177.64077200000003</v>
      </c>
      <c r="C1002" s="4">
        <f t="shared" si="60"/>
        <v>-5.1276999999999475</v>
      </c>
      <c r="D1002" s="4">
        <f t="shared" si="58"/>
        <v>42.942060390000023</v>
      </c>
      <c r="E1002" s="3">
        <v>52.95</v>
      </c>
      <c r="F1002" s="3">
        <v>20</v>
      </c>
      <c r="G1002" s="3">
        <v>188.49</v>
      </c>
      <c r="H1002" s="4">
        <f t="shared" si="61"/>
        <v>-4.5499999999999829</v>
      </c>
      <c r="I1002" s="4">
        <f t="shared" si="59"/>
        <v>51.180000000000007</v>
      </c>
      <c r="J1002" s="3">
        <v>52.95</v>
      </c>
      <c r="K1002" s="3">
        <v>20</v>
      </c>
      <c r="L1002" s="13">
        <f>YEAR(Weekly_Prices[[#This Row],[Date]])</f>
        <v>2022</v>
      </c>
      <c r="M1002" s="13">
        <f>MONTH(Weekly_Prices[[#This Row],[Date]])</f>
        <v>8</v>
      </c>
      <c r="N1002" s="3" t="str">
        <f>TEXT(Weekly_Prices[[#This Row],[Date]],"MMMM")</f>
        <v>August</v>
      </c>
      <c r="O1002" s="3" t="str">
        <f>YEAR(Weekly_Prices[[#This Row],[Date]])&amp;"-"&amp;TEXT(WEEKNUM(Weekly_Prices[[#This Row],[Date]],2),"00")</f>
        <v>2022-33</v>
      </c>
    </row>
    <row r="1003" spans="1:15" x14ac:dyDescent="0.35">
      <c r="A1003" s="2">
        <v>44788</v>
      </c>
      <c r="B1003" s="3">
        <v>174.18753099999998</v>
      </c>
      <c r="C1003" s="4">
        <f t="shared" si="60"/>
        <v>-3.4532410000000482</v>
      </c>
      <c r="D1003" s="4">
        <f t="shared" si="58"/>
        <v>39.483469999999954</v>
      </c>
      <c r="E1003" s="3">
        <v>52.95</v>
      </c>
      <c r="F1003" s="3">
        <v>20</v>
      </c>
      <c r="G1003" s="3">
        <v>185.16</v>
      </c>
      <c r="H1003" s="4">
        <f t="shared" si="61"/>
        <v>-3.3300000000000125</v>
      </c>
      <c r="I1003" s="4">
        <f t="shared" si="59"/>
        <v>48.389999999999986</v>
      </c>
      <c r="J1003" s="3">
        <v>52.95</v>
      </c>
      <c r="K1003" s="3">
        <v>20</v>
      </c>
      <c r="L1003" s="13">
        <f>YEAR(Weekly_Prices[[#This Row],[Date]])</f>
        <v>2022</v>
      </c>
      <c r="M1003" s="13">
        <f>MONTH(Weekly_Prices[[#This Row],[Date]])</f>
        <v>8</v>
      </c>
      <c r="N1003" s="3" t="str">
        <f>TEXT(Weekly_Prices[[#This Row],[Date]],"MMMM")</f>
        <v>August</v>
      </c>
      <c r="O1003" s="3" t="str">
        <f>YEAR(Weekly_Prices[[#This Row],[Date]])&amp;"-"&amp;TEXT(WEEKNUM(Weekly_Prices[[#This Row],[Date]],2),"00")</f>
        <v>2022-34</v>
      </c>
    </row>
    <row r="1004" spans="1:15" x14ac:dyDescent="0.35">
      <c r="A1004" s="2">
        <v>44795</v>
      </c>
      <c r="B1004" s="3">
        <v>171.14228399999999</v>
      </c>
      <c r="C1004" s="4">
        <f t="shared" si="60"/>
        <v>-3.0452469999999892</v>
      </c>
      <c r="D1004" s="4">
        <f t="shared" si="58"/>
        <v>36.463697999999994</v>
      </c>
      <c r="E1004" s="3">
        <v>52.95</v>
      </c>
      <c r="F1004" s="3">
        <v>20</v>
      </c>
      <c r="G1004" s="3">
        <v>182.92</v>
      </c>
      <c r="H1004" s="4">
        <f t="shared" si="61"/>
        <v>-2.2400000000000091</v>
      </c>
      <c r="I1004" s="4">
        <f t="shared" si="59"/>
        <v>45.769999999999982</v>
      </c>
      <c r="J1004" s="3">
        <v>52.95</v>
      </c>
      <c r="K1004" s="3">
        <v>20</v>
      </c>
      <c r="L1004" s="13">
        <f>YEAR(Weekly_Prices[[#This Row],[Date]])</f>
        <v>2022</v>
      </c>
      <c r="M1004" s="13">
        <f>MONTH(Weekly_Prices[[#This Row],[Date]])</f>
        <v>8</v>
      </c>
      <c r="N1004" s="3" t="str">
        <f>TEXT(Weekly_Prices[[#This Row],[Date]],"MMMM")</f>
        <v>August</v>
      </c>
      <c r="O1004" s="3" t="str">
        <f>YEAR(Weekly_Prices[[#This Row],[Date]])&amp;"-"&amp;TEXT(WEEKNUM(Weekly_Prices[[#This Row],[Date]],2),"00")</f>
        <v>2022-35</v>
      </c>
    </row>
    <row r="1005" spans="1:15" x14ac:dyDescent="0.35">
      <c r="A1005" s="2">
        <v>44802</v>
      </c>
      <c r="B1005" s="3">
        <v>170.11870199999998</v>
      </c>
      <c r="C1005" s="4">
        <f t="shared" si="60"/>
        <v>-1.0235820000000047</v>
      </c>
      <c r="D1005" s="4">
        <f t="shared" si="58"/>
        <v>35.458701999999988</v>
      </c>
      <c r="E1005" s="3">
        <v>52.95</v>
      </c>
      <c r="F1005" s="3">
        <v>20</v>
      </c>
      <c r="G1005" s="3">
        <v>183.2</v>
      </c>
      <c r="H1005" s="4">
        <f t="shared" si="61"/>
        <v>0.28000000000000114</v>
      </c>
      <c r="I1005" s="4">
        <f t="shared" si="59"/>
        <v>46.089999999999975</v>
      </c>
      <c r="J1005" s="3">
        <v>52.95</v>
      </c>
      <c r="K1005" s="3">
        <v>20</v>
      </c>
      <c r="L1005" s="13">
        <f>YEAR(Weekly_Prices[[#This Row],[Date]])</f>
        <v>2022</v>
      </c>
      <c r="M1005" s="13">
        <f>MONTH(Weekly_Prices[[#This Row],[Date]])</f>
        <v>8</v>
      </c>
      <c r="N1005" s="3" t="str">
        <f>TEXT(Weekly_Prices[[#This Row],[Date]],"MMMM")</f>
        <v>August</v>
      </c>
      <c r="O1005" s="3" t="str">
        <f>YEAR(Weekly_Prices[[#This Row],[Date]])&amp;"-"&amp;TEXT(WEEKNUM(Weekly_Prices[[#This Row],[Date]],2),"00")</f>
        <v>2022-36</v>
      </c>
    </row>
    <row r="1006" spans="1:15" x14ac:dyDescent="0.35">
      <c r="A1006" s="2">
        <v>44809</v>
      </c>
      <c r="B1006" s="3">
        <v>168.92694599999999</v>
      </c>
      <c r="C1006" s="4">
        <f t="shared" si="60"/>
        <v>-1.191755999999998</v>
      </c>
      <c r="D1006" s="4">
        <f t="shared" si="58"/>
        <v>34.166945999999996</v>
      </c>
      <c r="E1006" s="3">
        <v>52.95</v>
      </c>
      <c r="F1006" s="3">
        <v>20</v>
      </c>
      <c r="G1006" s="5">
        <v>182.82</v>
      </c>
      <c r="H1006" s="4">
        <f t="shared" si="61"/>
        <v>-0.37999999999999545</v>
      </c>
      <c r="I1006" s="4">
        <f t="shared" si="59"/>
        <v>45.629999999999995</v>
      </c>
      <c r="J1006" s="3">
        <v>52.95</v>
      </c>
      <c r="K1006" s="3">
        <v>20</v>
      </c>
      <c r="L1006" s="13">
        <f>YEAR(Weekly_Prices[[#This Row],[Date]])</f>
        <v>2022</v>
      </c>
      <c r="M1006" s="13">
        <f>MONTH(Weekly_Prices[[#This Row],[Date]])</f>
        <v>9</v>
      </c>
      <c r="N1006" s="3" t="str">
        <f>TEXT(Weekly_Prices[[#This Row],[Date]],"MMMM")</f>
        <v>September</v>
      </c>
      <c r="O1006" s="3" t="str">
        <f>YEAR(Weekly_Prices[[#This Row],[Date]])&amp;"-"&amp;TEXT(WEEKNUM(Weekly_Prices[[#This Row],[Date]],2),"00")</f>
        <v>2022-37</v>
      </c>
    </row>
    <row r="1007" spans="1:15" x14ac:dyDescent="0.35">
      <c r="A1007" s="2">
        <v>44816</v>
      </c>
      <c r="B1007" s="3">
        <v>167.60933499999999</v>
      </c>
      <c r="C1007" s="4">
        <f t="shared" si="60"/>
        <v>-1.3176109999999994</v>
      </c>
      <c r="D1007" s="4">
        <f t="shared" si="58"/>
        <v>32.859334999999987</v>
      </c>
      <c r="E1007" s="3">
        <v>52.95</v>
      </c>
      <c r="F1007" s="3">
        <v>20</v>
      </c>
      <c r="G1007" s="3">
        <v>182.22</v>
      </c>
      <c r="H1007" s="4">
        <f t="shared" si="61"/>
        <v>-0.59999999999999432</v>
      </c>
      <c r="I1007" s="4">
        <f t="shared" si="59"/>
        <v>45.03</v>
      </c>
      <c r="J1007" s="3">
        <v>52.95</v>
      </c>
      <c r="K1007" s="3">
        <v>20</v>
      </c>
      <c r="L1007" s="13">
        <f>YEAR(Weekly_Prices[[#This Row],[Date]])</f>
        <v>2022</v>
      </c>
      <c r="M1007" s="13">
        <f>MONTH(Weekly_Prices[[#This Row],[Date]])</f>
        <v>9</v>
      </c>
      <c r="N1007" s="3" t="str">
        <f>TEXT(Weekly_Prices[[#This Row],[Date]],"MMMM")</f>
        <v>September</v>
      </c>
      <c r="O1007" s="3" t="str">
        <f>YEAR(Weekly_Prices[[#This Row],[Date]])&amp;"-"&amp;TEXT(WEEKNUM(Weekly_Prices[[#This Row],[Date]],2),"00")</f>
        <v>2022-38</v>
      </c>
    </row>
    <row r="1008" spans="1:15" x14ac:dyDescent="0.35">
      <c r="A1008" s="2">
        <v>44823</v>
      </c>
      <c r="B1008" s="3">
        <v>165.47258199999999</v>
      </c>
      <c r="C1008" s="4">
        <f t="shared" si="60"/>
        <v>-2.1367529999999988</v>
      </c>
      <c r="D1008" s="4">
        <f t="shared" si="58"/>
        <v>30.612581999999975</v>
      </c>
      <c r="E1008" s="3">
        <v>52.95</v>
      </c>
      <c r="F1008" s="3">
        <v>20</v>
      </c>
      <c r="G1008" s="3">
        <v>181.13</v>
      </c>
      <c r="H1008" s="4">
        <f t="shared" si="61"/>
        <v>-1.0900000000000034</v>
      </c>
      <c r="I1008" s="4">
        <f t="shared" si="59"/>
        <v>43.78</v>
      </c>
      <c r="J1008" s="3">
        <v>52.95</v>
      </c>
      <c r="K1008" s="3">
        <v>20</v>
      </c>
      <c r="L1008" s="13">
        <f>YEAR(Weekly_Prices[[#This Row],[Date]])</f>
        <v>2022</v>
      </c>
      <c r="M1008" s="13">
        <f>MONTH(Weekly_Prices[[#This Row],[Date]])</f>
        <v>9</v>
      </c>
      <c r="N1008" s="3" t="str">
        <f>TEXT(Weekly_Prices[[#This Row],[Date]],"MMMM")</f>
        <v>September</v>
      </c>
      <c r="O1008" s="3" t="str">
        <f>YEAR(Weekly_Prices[[#This Row],[Date]])&amp;"-"&amp;TEXT(WEEKNUM(Weekly_Prices[[#This Row],[Date]],2),"00")</f>
        <v>2022-39</v>
      </c>
    </row>
    <row r="1009" spans="1:15" x14ac:dyDescent="0.35">
      <c r="A1009" s="2">
        <v>44830</v>
      </c>
      <c r="B1009" s="5">
        <v>164.00275900000003</v>
      </c>
      <c r="C1009" s="4">
        <f t="shared" si="60"/>
        <v>-1.4698229999999626</v>
      </c>
      <c r="D1009" s="4">
        <f t="shared" si="58"/>
        <v>28.809745000000049</v>
      </c>
      <c r="E1009" s="3">
        <v>52.95</v>
      </c>
      <c r="F1009" s="3">
        <v>20</v>
      </c>
      <c r="G1009" s="5">
        <v>180.46</v>
      </c>
      <c r="H1009" s="4">
        <f t="shared" si="61"/>
        <v>-0.66999999999998749</v>
      </c>
      <c r="I1009" s="4">
        <f t="shared" si="59"/>
        <v>42.508753000000013</v>
      </c>
      <c r="J1009" s="3">
        <v>52.95</v>
      </c>
      <c r="K1009" s="3">
        <v>20</v>
      </c>
      <c r="L1009" s="13">
        <f>YEAR(Weekly_Prices[[#This Row],[Date]])</f>
        <v>2022</v>
      </c>
      <c r="M1009" s="13">
        <f>MONTH(Weekly_Prices[[#This Row],[Date]])</f>
        <v>9</v>
      </c>
      <c r="N1009" s="3" t="str">
        <f>TEXT(Weekly_Prices[[#This Row],[Date]],"MMMM")</f>
        <v>September</v>
      </c>
      <c r="O1009" s="3" t="str">
        <f>YEAR(Weekly_Prices[[#This Row],[Date]])&amp;"-"&amp;TEXT(WEEKNUM(Weekly_Prices[[#This Row],[Date]],2),"00")</f>
        <v>2022-40</v>
      </c>
    </row>
    <row r="1010" spans="1:15" x14ac:dyDescent="0.35">
      <c r="A1010" s="2">
        <v>44837</v>
      </c>
      <c r="B1010" s="3">
        <v>162.66685200000001</v>
      </c>
      <c r="C1010" s="4">
        <f t="shared" si="60"/>
        <v>-1.3359070000000202</v>
      </c>
      <c r="D1010" s="4">
        <f t="shared" si="58"/>
        <v>26.566852000000011</v>
      </c>
      <c r="E1010" s="3">
        <v>52.95</v>
      </c>
      <c r="F1010" s="3">
        <v>20</v>
      </c>
      <c r="G1010" s="3">
        <v>180.04</v>
      </c>
      <c r="H1010" s="4">
        <f t="shared" si="61"/>
        <v>-0.42000000000001592</v>
      </c>
      <c r="I1010" s="4">
        <f t="shared" si="59"/>
        <v>40.840000000000003</v>
      </c>
      <c r="J1010" s="3">
        <v>52.95</v>
      </c>
      <c r="K1010" s="3">
        <v>20</v>
      </c>
      <c r="L1010" s="13">
        <f>YEAR(Weekly_Prices[[#This Row],[Date]])</f>
        <v>2022</v>
      </c>
      <c r="M1010" s="13">
        <f>MONTH(Weekly_Prices[[#This Row],[Date]])</f>
        <v>10</v>
      </c>
      <c r="N1010" s="3" t="str">
        <f>TEXT(Weekly_Prices[[#This Row],[Date]],"MMMM")</f>
        <v>October</v>
      </c>
      <c r="O1010" s="3" t="str">
        <f>YEAR(Weekly_Prices[[#This Row],[Date]])&amp;"-"&amp;TEXT(WEEKNUM(Weekly_Prices[[#This Row],[Date]],2),"00")</f>
        <v>2022-41</v>
      </c>
    </row>
    <row r="1011" spans="1:15" x14ac:dyDescent="0.35">
      <c r="A1011" s="2">
        <v>44844</v>
      </c>
      <c r="B1011" s="3">
        <v>162.08613500000001</v>
      </c>
      <c r="C1011" s="4">
        <f t="shared" si="60"/>
        <v>-0.58071699999999282</v>
      </c>
      <c r="D1011" s="4">
        <f t="shared" si="58"/>
        <v>24.916135000000025</v>
      </c>
      <c r="E1011" s="3">
        <v>52.95</v>
      </c>
      <c r="F1011" s="3">
        <v>20</v>
      </c>
      <c r="G1011" s="3">
        <v>180.76</v>
      </c>
      <c r="H1011" s="4">
        <f t="shared" si="61"/>
        <v>0.71999999999999886</v>
      </c>
      <c r="I1011" s="4">
        <f t="shared" si="59"/>
        <v>40.099999999999994</v>
      </c>
      <c r="J1011" s="3">
        <v>52.95</v>
      </c>
      <c r="K1011" s="3">
        <v>20</v>
      </c>
      <c r="L1011" s="13">
        <f>YEAR(Weekly_Prices[[#This Row],[Date]])</f>
        <v>2022</v>
      </c>
      <c r="M1011" s="13">
        <f>MONTH(Weekly_Prices[[#This Row],[Date]])</f>
        <v>10</v>
      </c>
      <c r="N1011" s="3" t="str">
        <f>TEXT(Weekly_Prices[[#This Row],[Date]],"MMMM")</f>
        <v>October</v>
      </c>
      <c r="O1011" s="3" t="str">
        <f>YEAR(Weekly_Prices[[#This Row],[Date]])&amp;"-"&amp;TEXT(WEEKNUM(Weekly_Prices[[#This Row],[Date]],2),"00")</f>
        <v>2022-42</v>
      </c>
    </row>
    <row r="1012" spans="1:15" x14ac:dyDescent="0.35">
      <c r="A1012" s="2">
        <v>44851</v>
      </c>
      <c r="B1012" s="3">
        <v>162.80595600000004</v>
      </c>
      <c r="C1012" s="4">
        <f t="shared" si="60"/>
        <v>0.71982100000002447</v>
      </c>
      <c r="D1012" s="4">
        <f t="shared" si="58"/>
        <v>23.345956000000029</v>
      </c>
      <c r="E1012" s="3">
        <v>52.95</v>
      </c>
      <c r="F1012" s="3">
        <v>20</v>
      </c>
      <c r="G1012" s="3">
        <v>181.85817400000002</v>
      </c>
      <c r="H1012" s="4">
        <f t="shared" si="61"/>
        <v>1.0981740000000286</v>
      </c>
      <c r="I1012" s="4">
        <f t="shared" si="59"/>
        <v>38.668174000000022</v>
      </c>
      <c r="J1012" s="3">
        <v>52.95</v>
      </c>
      <c r="K1012" s="3">
        <v>20</v>
      </c>
      <c r="L1012" s="13">
        <f>YEAR(Weekly_Prices[[#This Row],[Date]])</f>
        <v>2022</v>
      </c>
      <c r="M1012" s="13">
        <f>MONTH(Weekly_Prices[[#This Row],[Date]])</f>
        <v>10</v>
      </c>
      <c r="N1012" s="3" t="str">
        <f>TEXT(Weekly_Prices[[#This Row],[Date]],"MMMM")</f>
        <v>October</v>
      </c>
      <c r="O1012" s="3" t="str">
        <f>YEAR(Weekly_Prices[[#This Row],[Date]])&amp;"-"&amp;TEXT(WEEKNUM(Weekly_Prices[[#This Row],[Date]],2),"00")</f>
        <v>2022-43</v>
      </c>
    </row>
    <row r="1013" spans="1:15" x14ac:dyDescent="0.35">
      <c r="A1013" s="2">
        <v>44858</v>
      </c>
      <c r="B1013" s="3">
        <v>164.619148</v>
      </c>
      <c r="C1013" s="4">
        <f t="shared" si="60"/>
        <v>1.8131919999999582</v>
      </c>
      <c r="D1013" s="4">
        <f t="shared" si="58"/>
        <v>22.809147999999993</v>
      </c>
      <c r="E1013" s="3">
        <v>52.95</v>
      </c>
      <c r="F1013" s="3">
        <v>20</v>
      </c>
      <c r="G1013" s="3">
        <v>187.29633800000002</v>
      </c>
      <c r="H1013" s="4">
        <f t="shared" si="61"/>
        <v>5.4381640000000004</v>
      </c>
      <c r="I1013" s="4">
        <f t="shared" si="59"/>
        <v>41.396338000000014</v>
      </c>
      <c r="J1013" s="3">
        <v>52.95</v>
      </c>
      <c r="K1013" s="3">
        <v>20</v>
      </c>
      <c r="L1013" s="13">
        <f>YEAR(Weekly_Prices[[#This Row],[Date]])</f>
        <v>2022</v>
      </c>
      <c r="M1013" s="13">
        <f>MONTH(Weekly_Prices[[#This Row],[Date]])</f>
        <v>10</v>
      </c>
      <c r="N1013" s="3" t="str">
        <f>TEXT(Weekly_Prices[[#This Row],[Date]],"MMMM")</f>
        <v>October</v>
      </c>
      <c r="O1013" s="3" t="str">
        <f>YEAR(Weekly_Prices[[#This Row],[Date]])&amp;"-"&amp;TEXT(WEEKNUM(Weekly_Prices[[#This Row],[Date]],2),"00")</f>
        <v>2022-44</v>
      </c>
    </row>
    <row r="1014" spans="1:15" x14ac:dyDescent="0.35">
      <c r="A1014" s="2">
        <v>44865</v>
      </c>
      <c r="B1014" s="3">
        <v>165.87190800000002</v>
      </c>
      <c r="C1014" s="4">
        <f t="shared" si="60"/>
        <v>1.2527600000000234</v>
      </c>
      <c r="D1014" s="4">
        <f t="shared" si="58"/>
        <v>22.17190800000003</v>
      </c>
      <c r="E1014" s="3">
        <v>52.95</v>
      </c>
      <c r="F1014" s="3">
        <v>20</v>
      </c>
      <c r="G1014" s="3">
        <v>189.76706999999999</v>
      </c>
      <c r="H1014" s="4">
        <f t="shared" si="61"/>
        <v>2.4707319999999697</v>
      </c>
      <c r="I1014" s="4">
        <f t="shared" si="59"/>
        <v>42.28707</v>
      </c>
      <c r="J1014" s="3">
        <v>52.95</v>
      </c>
      <c r="K1014" s="3">
        <v>20</v>
      </c>
      <c r="L1014" s="13">
        <f>YEAR(Weekly_Prices[[#This Row],[Date]])</f>
        <v>2022</v>
      </c>
      <c r="M1014" s="13">
        <f>MONTH(Weekly_Prices[[#This Row],[Date]])</f>
        <v>10</v>
      </c>
      <c r="N1014" s="3" t="str">
        <f>TEXT(Weekly_Prices[[#This Row],[Date]],"MMMM")</f>
        <v>October</v>
      </c>
      <c r="O1014" s="3" t="str">
        <f>YEAR(Weekly_Prices[[#This Row],[Date]])&amp;"-"&amp;TEXT(WEEKNUM(Weekly_Prices[[#This Row],[Date]],2),"00")</f>
        <v>2022-45</v>
      </c>
    </row>
    <row r="1015" spans="1:15" x14ac:dyDescent="0.35">
      <c r="A1015" s="2">
        <v>44872</v>
      </c>
      <c r="B1015" s="3">
        <v>165.61696999999998</v>
      </c>
      <c r="C1015" s="4">
        <f t="shared" si="60"/>
        <v>-0.2549380000000383</v>
      </c>
      <c r="D1015" s="4">
        <f t="shared" ref="D1015:D1078" si="62">B1015-B963</f>
        <v>20.716969999999975</v>
      </c>
      <c r="E1015" s="3">
        <v>52.95</v>
      </c>
      <c r="F1015" s="3">
        <v>20</v>
      </c>
      <c r="G1015" s="3">
        <v>189.794085</v>
      </c>
      <c r="H1015" s="4">
        <f t="shared" si="61"/>
        <v>2.7015000000005784E-2</v>
      </c>
      <c r="I1015" s="4">
        <f t="shared" ref="I1015:I1078" si="63">G1015-G963</f>
        <v>40.954084999999992</v>
      </c>
      <c r="J1015" s="3">
        <v>52.95</v>
      </c>
      <c r="K1015" s="3">
        <v>20</v>
      </c>
      <c r="L1015" s="13">
        <f>YEAR(Weekly_Prices[[#This Row],[Date]])</f>
        <v>2022</v>
      </c>
      <c r="M1015" s="13">
        <f>MONTH(Weekly_Prices[[#This Row],[Date]])</f>
        <v>11</v>
      </c>
      <c r="N1015" s="3" t="str">
        <f>TEXT(Weekly_Prices[[#This Row],[Date]],"MMMM")</f>
        <v>November</v>
      </c>
      <c r="O1015" s="3" t="str">
        <f>YEAR(Weekly_Prices[[#This Row],[Date]])&amp;"-"&amp;TEXT(WEEKNUM(Weekly_Prices[[#This Row],[Date]],2),"00")</f>
        <v>2022-46</v>
      </c>
    </row>
    <row r="1016" spans="1:15" x14ac:dyDescent="0.35">
      <c r="A1016" s="2">
        <v>44879</v>
      </c>
      <c r="B1016" s="3">
        <v>164.40395599999999</v>
      </c>
      <c r="C1016" s="4">
        <f t="shared" si="60"/>
        <v>-1.2130139999999869</v>
      </c>
      <c r="D1016" s="4">
        <f t="shared" si="62"/>
        <v>18.533955999999989</v>
      </c>
      <c r="E1016" s="3">
        <v>52.95</v>
      </c>
      <c r="F1016" s="3">
        <v>20</v>
      </c>
      <c r="G1016" s="3">
        <v>188.85</v>
      </c>
      <c r="H1016" s="4">
        <f t="shared" si="61"/>
        <v>-0.94408500000000117</v>
      </c>
      <c r="I1016" s="4">
        <f t="shared" si="63"/>
        <v>39.090000000000003</v>
      </c>
      <c r="J1016" s="3">
        <v>52.95</v>
      </c>
      <c r="K1016" s="3">
        <v>20</v>
      </c>
      <c r="L1016" s="13">
        <f>YEAR(Weekly_Prices[[#This Row],[Date]])</f>
        <v>2022</v>
      </c>
      <c r="M1016" s="13">
        <f>MONTH(Weekly_Prices[[#This Row],[Date]])</f>
        <v>11</v>
      </c>
      <c r="N1016" s="3" t="str">
        <f>TEXT(Weekly_Prices[[#This Row],[Date]],"MMMM")</f>
        <v>November</v>
      </c>
      <c r="O1016" s="3" t="str">
        <f>YEAR(Weekly_Prices[[#This Row],[Date]])&amp;"-"&amp;TEXT(WEEKNUM(Weekly_Prices[[#This Row],[Date]],2),"00")</f>
        <v>2022-47</v>
      </c>
    </row>
    <row r="1017" spans="1:15" x14ac:dyDescent="0.35">
      <c r="A1017" s="2">
        <v>44886</v>
      </c>
      <c r="B1017" s="3">
        <v>163.27625800000001</v>
      </c>
      <c r="C1017" s="4">
        <f t="shared" si="60"/>
        <v>-1.127697999999981</v>
      </c>
      <c r="D1017" s="4">
        <f t="shared" si="62"/>
        <v>16.387298000000015</v>
      </c>
      <c r="E1017" s="3">
        <v>52.95</v>
      </c>
      <c r="F1017" s="3">
        <v>20</v>
      </c>
      <c r="G1017" s="3">
        <v>187.57</v>
      </c>
      <c r="H1017" s="4">
        <f t="shared" si="61"/>
        <v>-1.2800000000000011</v>
      </c>
      <c r="I1017" s="4">
        <f t="shared" si="63"/>
        <v>36.838717000000003</v>
      </c>
      <c r="J1017" s="3">
        <v>52.95</v>
      </c>
      <c r="K1017" s="3">
        <v>20</v>
      </c>
      <c r="L1017" s="13">
        <f>YEAR(Weekly_Prices[[#This Row],[Date]])</f>
        <v>2022</v>
      </c>
      <c r="M1017" s="13">
        <f>MONTH(Weekly_Prices[[#This Row],[Date]])</f>
        <v>11</v>
      </c>
      <c r="N1017" s="3" t="str">
        <f>TEXT(Weekly_Prices[[#This Row],[Date]],"MMMM")</f>
        <v>November</v>
      </c>
      <c r="O1017" s="3" t="str">
        <f>YEAR(Weekly_Prices[[#This Row],[Date]])&amp;"-"&amp;TEXT(WEEKNUM(Weekly_Prices[[#This Row],[Date]],2),"00")</f>
        <v>2022-48</v>
      </c>
    </row>
    <row r="1018" spans="1:15" x14ac:dyDescent="0.35">
      <c r="A1018" s="2">
        <v>44893</v>
      </c>
      <c r="B1018" s="3">
        <v>161.133037</v>
      </c>
      <c r="C1018" s="4">
        <f t="shared" si="60"/>
        <v>-2.1432210000000111</v>
      </c>
      <c r="D1018" s="4">
        <f t="shared" si="62"/>
        <v>13.603037</v>
      </c>
      <c r="E1018" s="3">
        <v>52.95</v>
      </c>
      <c r="F1018" s="3">
        <v>20</v>
      </c>
      <c r="G1018" s="3">
        <v>185.57</v>
      </c>
      <c r="H1018" s="4">
        <f t="shared" si="61"/>
        <v>-2</v>
      </c>
      <c r="I1018" s="4">
        <f t="shared" si="63"/>
        <v>34.259999999999991</v>
      </c>
      <c r="J1018" s="3">
        <v>52.95</v>
      </c>
      <c r="K1018" s="3">
        <v>20</v>
      </c>
      <c r="L1018" s="13">
        <f>YEAR(Weekly_Prices[[#This Row],[Date]])</f>
        <v>2022</v>
      </c>
      <c r="M1018" s="13">
        <f>MONTH(Weekly_Prices[[#This Row],[Date]])</f>
        <v>11</v>
      </c>
      <c r="N1018" s="3" t="str">
        <f>TEXT(Weekly_Prices[[#This Row],[Date]],"MMMM")</f>
        <v>November</v>
      </c>
      <c r="O1018" s="3" t="str">
        <f>YEAR(Weekly_Prices[[#This Row],[Date]])&amp;"-"&amp;TEXT(WEEKNUM(Weekly_Prices[[#This Row],[Date]],2),"00")</f>
        <v>2022-49</v>
      </c>
    </row>
    <row r="1019" spans="1:15" x14ac:dyDescent="0.35">
      <c r="A1019" s="2">
        <v>44900</v>
      </c>
      <c r="B1019" s="3">
        <v>159.19547500000002</v>
      </c>
      <c r="C1019" s="4">
        <f t="shared" si="60"/>
        <v>-1.9375619999999856</v>
      </c>
      <c r="D1019" s="4">
        <f t="shared" si="62"/>
        <v>12.30547500000003</v>
      </c>
      <c r="E1019" s="3">
        <v>52.95</v>
      </c>
      <c r="F1019" s="3">
        <v>20</v>
      </c>
      <c r="G1019" s="3">
        <v>183.56</v>
      </c>
      <c r="H1019" s="4">
        <f t="shared" si="61"/>
        <v>-2.0099999999999909</v>
      </c>
      <c r="I1019" s="4">
        <f t="shared" si="63"/>
        <v>32.949999999999989</v>
      </c>
      <c r="J1019" s="3">
        <v>52.95</v>
      </c>
      <c r="K1019" s="3">
        <v>20</v>
      </c>
      <c r="L1019" s="13">
        <f>YEAR(Weekly_Prices[[#This Row],[Date]])</f>
        <v>2022</v>
      </c>
      <c r="M1019" s="13">
        <f>MONTH(Weekly_Prices[[#This Row],[Date]])</f>
        <v>12</v>
      </c>
      <c r="N1019" s="3" t="str">
        <f>TEXT(Weekly_Prices[[#This Row],[Date]],"MMMM")</f>
        <v>December</v>
      </c>
      <c r="O1019" s="3" t="str">
        <f>YEAR(Weekly_Prices[[#This Row],[Date]])&amp;"-"&amp;TEXT(WEEKNUM(Weekly_Prices[[#This Row],[Date]],2),"00")</f>
        <v>2022-50</v>
      </c>
    </row>
    <row r="1020" spans="1:15" x14ac:dyDescent="0.35">
      <c r="A1020" s="2">
        <v>44907</v>
      </c>
      <c r="B1020" s="3">
        <v>155.97079499999998</v>
      </c>
      <c r="C1020" s="4">
        <f t="shared" si="60"/>
        <v>-3.2246800000000349</v>
      </c>
      <c r="D1020" s="4">
        <f t="shared" si="62"/>
        <v>9.7507949999999823</v>
      </c>
      <c r="E1020" s="3">
        <v>52.95</v>
      </c>
      <c r="F1020" s="3">
        <v>20</v>
      </c>
      <c r="G1020" s="3">
        <v>179.91</v>
      </c>
      <c r="H1020" s="4">
        <f t="shared" si="61"/>
        <v>-3.6500000000000057</v>
      </c>
      <c r="I1020" s="4">
        <f t="shared" si="63"/>
        <v>30.03</v>
      </c>
      <c r="J1020" s="3">
        <v>52.95</v>
      </c>
      <c r="K1020" s="3">
        <v>20</v>
      </c>
      <c r="L1020" s="13">
        <f>YEAR(Weekly_Prices[[#This Row],[Date]])</f>
        <v>2022</v>
      </c>
      <c r="M1020" s="13">
        <f>MONTH(Weekly_Prices[[#This Row],[Date]])</f>
        <v>12</v>
      </c>
      <c r="N1020" s="3" t="str">
        <f>TEXT(Weekly_Prices[[#This Row],[Date]],"MMMM")</f>
        <v>December</v>
      </c>
      <c r="O1020" s="3" t="str">
        <f>YEAR(Weekly_Prices[[#This Row],[Date]])&amp;"-"&amp;TEXT(WEEKNUM(Weekly_Prices[[#This Row],[Date]],2),"00")</f>
        <v>2022-51</v>
      </c>
    </row>
    <row r="1021" spans="1:15" x14ac:dyDescent="0.35">
      <c r="A1021" s="2">
        <v>44914</v>
      </c>
      <c r="B1021" s="3">
        <v>154.06553500000001</v>
      </c>
      <c r="C1021" s="4">
        <f t="shared" si="60"/>
        <v>-1.90525999999997</v>
      </c>
      <c r="D1021" s="4">
        <f t="shared" si="62"/>
        <v>8.9055350000000146</v>
      </c>
      <c r="E1021" s="3">
        <v>52.95</v>
      </c>
      <c r="F1021" s="3">
        <v>20</v>
      </c>
      <c r="G1021" s="3">
        <v>177.62</v>
      </c>
      <c r="H1021" s="4">
        <f t="shared" si="61"/>
        <v>-2.289999999999992</v>
      </c>
      <c r="I1021" s="4">
        <f t="shared" si="63"/>
        <v>28.730000000000018</v>
      </c>
      <c r="J1021" s="3">
        <v>52.95</v>
      </c>
      <c r="K1021" s="3">
        <v>20</v>
      </c>
      <c r="L1021" s="13">
        <f>YEAR(Weekly_Prices[[#This Row],[Date]])</f>
        <v>2022</v>
      </c>
      <c r="M1021" s="13">
        <f>MONTH(Weekly_Prices[[#This Row],[Date]])</f>
        <v>12</v>
      </c>
      <c r="N1021" s="3" t="str">
        <f>TEXT(Weekly_Prices[[#This Row],[Date]],"MMMM")</f>
        <v>December</v>
      </c>
      <c r="O1021" s="3" t="str">
        <f>YEAR(Weekly_Prices[[#This Row],[Date]])&amp;"-"&amp;TEXT(WEEKNUM(Weekly_Prices[[#This Row],[Date]],2),"00")</f>
        <v>2022-52</v>
      </c>
    </row>
    <row r="1022" spans="1:15" x14ac:dyDescent="0.35">
      <c r="A1022" s="2">
        <v>44921</v>
      </c>
      <c r="B1022" s="3">
        <v>151.93957299999997</v>
      </c>
      <c r="C1022" s="4">
        <f t="shared" si="60"/>
        <v>-2.1259620000000439</v>
      </c>
      <c r="D1022" s="4">
        <f t="shared" si="62"/>
        <v>7.0195729999999799</v>
      </c>
      <c r="E1022" s="3">
        <v>52.95</v>
      </c>
      <c r="F1022" s="3">
        <v>20</v>
      </c>
      <c r="G1022" s="3">
        <v>175.52</v>
      </c>
      <c r="H1022" s="4">
        <f t="shared" si="61"/>
        <v>-2.0999999999999943</v>
      </c>
      <c r="I1022" s="4">
        <f t="shared" si="63"/>
        <v>26.700000000000017</v>
      </c>
      <c r="J1022" s="3">
        <v>52.95</v>
      </c>
      <c r="K1022" s="3">
        <v>20</v>
      </c>
      <c r="L1022" s="13">
        <f>YEAR(Weekly_Prices[[#This Row],[Date]])</f>
        <v>2022</v>
      </c>
      <c r="M1022" s="13">
        <f>MONTH(Weekly_Prices[[#This Row],[Date]])</f>
        <v>12</v>
      </c>
      <c r="N1022" s="3" t="str">
        <f>TEXT(Weekly_Prices[[#This Row],[Date]],"MMMM")</f>
        <v>December</v>
      </c>
      <c r="O1022" s="3" t="str">
        <f>YEAR(Weekly_Prices[[#This Row],[Date]])&amp;"-"&amp;TEXT(WEEKNUM(Weekly_Prices[[#This Row],[Date]],2),"00")</f>
        <v>2022-53</v>
      </c>
    </row>
    <row r="1023" spans="1:15" x14ac:dyDescent="0.35">
      <c r="A1023" s="2">
        <v>44928</v>
      </c>
      <c r="B1023" s="3">
        <v>150.89909733333337</v>
      </c>
      <c r="C1023" s="4">
        <f t="shared" si="60"/>
        <v>-1.0404756666665946</v>
      </c>
      <c r="D1023" s="4">
        <f t="shared" si="62"/>
        <v>5.8590973333333807</v>
      </c>
      <c r="E1023" s="3">
        <v>52.95</v>
      </c>
      <c r="F1023" s="3">
        <v>20</v>
      </c>
      <c r="G1023" s="3">
        <v>174.16</v>
      </c>
      <c r="H1023" s="4">
        <f t="shared" si="61"/>
        <v>-1.3600000000000136</v>
      </c>
      <c r="I1023" s="4">
        <f t="shared" si="63"/>
        <v>25.310000000000002</v>
      </c>
      <c r="J1023" s="3">
        <v>52.95</v>
      </c>
      <c r="K1023" s="3">
        <v>20</v>
      </c>
      <c r="L1023" s="13">
        <f>YEAR(Weekly_Prices[[#This Row],[Date]])</f>
        <v>2023</v>
      </c>
      <c r="M1023" s="13">
        <f>MONTH(Weekly_Prices[[#This Row],[Date]])</f>
        <v>1</v>
      </c>
      <c r="N1023" s="3" t="str">
        <f>TEXT(Weekly_Prices[[#This Row],[Date]],"MMMM")</f>
        <v>January</v>
      </c>
      <c r="O1023" s="3" t="str">
        <f>YEAR(Weekly_Prices[[#This Row],[Date]])&amp;"-"&amp;TEXT(WEEKNUM(Weekly_Prices[[#This Row],[Date]],2),"00")</f>
        <v>2023-02</v>
      </c>
    </row>
    <row r="1024" spans="1:15" x14ac:dyDescent="0.35">
      <c r="A1024" s="2">
        <v>44935</v>
      </c>
      <c r="B1024" s="3">
        <v>149.96984200000003</v>
      </c>
      <c r="C1024" s="4">
        <f t="shared" si="60"/>
        <v>-0.92925533333334442</v>
      </c>
      <c r="D1024" s="4">
        <f t="shared" si="62"/>
        <v>5.1498420000000351</v>
      </c>
      <c r="E1024" s="3">
        <v>52.95</v>
      </c>
      <c r="F1024" s="3">
        <v>20</v>
      </c>
      <c r="G1024" s="3">
        <v>173.16</v>
      </c>
      <c r="H1024" s="4">
        <f t="shared" si="61"/>
        <v>-1</v>
      </c>
      <c r="I1024" s="4">
        <f t="shared" si="63"/>
        <v>24.509999999999991</v>
      </c>
      <c r="J1024" s="3">
        <v>52.95</v>
      </c>
      <c r="K1024" s="3">
        <v>20</v>
      </c>
      <c r="L1024" s="13">
        <f>YEAR(Weekly_Prices[[#This Row],[Date]])</f>
        <v>2023</v>
      </c>
      <c r="M1024" s="13">
        <f>MONTH(Weekly_Prices[[#This Row],[Date]])</f>
        <v>1</v>
      </c>
      <c r="N1024" s="3" t="str">
        <f>TEXT(Weekly_Prices[[#This Row],[Date]],"MMMM")</f>
        <v>January</v>
      </c>
      <c r="O1024" s="3" t="str">
        <f>YEAR(Weekly_Prices[[#This Row],[Date]])&amp;"-"&amp;TEXT(WEEKNUM(Weekly_Prices[[#This Row],[Date]],2),"00")</f>
        <v>2023-03</v>
      </c>
    </row>
    <row r="1025" spans="1:15" x14ac:dyDescent="0.35">
      <c r="A1025" s="2">
        <v>44942</v>
      </c>
      <c r="B1025" s="3">
        <v>148.791121</v>
      </c>
      <c r="C1025" s="4">
        <f t="shared" si="60"/>
        <v>-1.1787210000000243</v>
      </c>
      <c r="D1025" s="4">
        <f t="shared" si="62"/>
        <v>3.9911209999999926</v>
      </c>
      <c r="E1025" s="3">
        <v>52.95</v>
      </c>
      <c r="F1025" s="3">
        <v>20</v>
      </c>
      <c r="G1025" s="3">
        <v>171.64</v>
      </c>
      <c r="H1025" s="4">
        <f t="shared" si="61"/>
        <v>-1.5200000000000102</v>
      </c>
      <c r="I1025" s="4">
        <f t="shared" si="63"/>
        <v>22.939999999999998</v>
      </c>
      <c r="J1025" s="3">
        <v>52.95</v>
      </c>
      <c r="K1025" s="3">
        <v>20</v>
      </c>
      <c r="L1025" s="13">
        <f>YEAR(Weekly_Prices[[#This Row],[Date]])</f>
        <v>2023</v>
      </c>
      <c r="M1025" s="13">
        <f>MONTH(Weekly_Prices[[#This Row],[Date]])</f>
        <v>1</v>
      </c>
      <c r="N1025" s="3" t="str">
        <f>TEXT(Weekly_Prices[[#This Row],[Date]],"MMMM")</f>
        <v>January</v>
      </c>
      <c r="O1025" s="3" t="str">
        <f>YEAR(Weekly_Prices[[#This Row],[Date]])&amp;"-"&amp;TEXT(WEEKNUM(Weekly_Prices[[#This Row],[Date]],2),"00")</f>
        <v>2023-04</v>
      </c>
    </row>
    <row r="1026" spans="1:15" x14ac:dyDescent="0.35">
      <c r="A1026" s="2">
        <v>44949</v>
      </c>
      <c r="B1026" s="3">
        <v>148.20896099999999</v>
      </c>
      <c r="C1026" s="4">
        <f t="shared" si="60"/>
        <v>-0.582160000000016</v>
      </c>
      <c r="D1026" s="4">
        <f t="shared" si="62"/>
        <v>3.3389609999999834</v>
      </c>
      <c r="E1026" s="3">
        <v>52.95</v>
      </c>
      <c r="F1026" s="3">
        <v>20</v>
      </c>
      <c r="G1026" s="3">
        <v>170.86224199999998</v>
      </c>
      <c r="H1026" s="4">
        <f t="shared" si="61"/>
        <v>-0.77775800000000572</v>
      </c>
      <c r="I1026" s="4">
        <f t="shared" si="63"/>
        <v>22.052241999999978</v>
      </c>
      <c r="J1026" s="3">
        <v>52.95</v>
      </c>
      <c r="K1026" s="3">
        <v>20</v>
      </c>
      <c r="L1026" s="13">
        <f>YEAR(Weekly_Prices[[#This Row],[Date]])</f>
        <v>2023</v>
      </c>
      <c r="M1026" s="13">
        <f>MONTH(Weekly_Prices[[#This Row],[Date]])</f>
        <v>1</v>
      </c>
      <c r="N1026" s="3" t="str">
        <f>TEXT(Weekly_Prices[[#This Row],[Date]],"MMMM")</f>
        <v>January</v>
      </c>
      <c r="O1026" s="3" t="str">
        <f>YEAR(Weekly_Prices[[#This Row],[Date]])&amp;"-"&amp;TEXT(WEEKNUM(Weekly_Prices[[#This Row],[Date]],2),"00")</f>
        <v>2023-05</v>
      </c>
    </row>
    <row r="1027" spans="1:15" x14ac:dyDescent="0.35">
      <c r="A1027" s="2">
        <v>44956</v>
      </c>
      <c r="B1027" s="3">
        <v>148.17582400000001</v>
      </c>
      <c r="C1027" s="4">
        <f t="shared" ref="C1027:C1090" si="64">B1027-B1026</f>
        <v>-3.3136999999982208E-2</v>
      </c>
      <c r="D1027" s="4">
        <f t="shared" si="62"/>
        <v>2.4358239999999967</v>
      </c>
      <c r="E1027" s="3">
        <v>52.95</v>
      </c>
      <c r="F1027" s="3">
        <v>20</v>
      </c>
      <c r="G1027" s="3">
        <v>170.56</v>
      </c>
      <c r="H1027" s="4">
        <f t="shared" ref="H1027:H1090" si="65">G1027-G1026</f>
        <v>-0.30224199999997836</v>
      </c>
      <c r="I1027" s="4">
        <f t="shared" si="63"/>
        <v>20.879999999999995</v>
      </c>
      <c r="J1027" s="3">
        <v>52.95</v>
      </c>
      <c r="K1027" s="3">
        <v>20</v>
      </c>
      <c r="L1027" s="13">
        <f>YEAR(Weekly_Prices[[#This Row],[Date]])</f>
        <v>2023</v>
      </c>
      <c r="M1027" s="13">
        <f>MONTH(Weekly_Prices[[#This Row],[Date]])</f>
        <v>1</v>
      </c>
      <c r="N1027" s="3" t="str">
        <f>TEXT(Weekly_Prices[[#This Row],[Date]],"MMMM")</f>
        <v>January</v>
      </c>
      <c r="O1027" s="3" t="str">
        <f>YEAR(Weekly_Prices[[#This Row],[Date]])&amp;"-"&amp;TEXT(WEEKNUM(Weekly_Prices[[#This Row],[Date]],2),"00")</f>
        <v>2023-06</v>
      </c>
    </row>
    <row r="1028" spans="1:15" x14ac:dyDescent="0.35">
      <c r="A1028" s="2">
        <v>44963</v>
      </c>
      <c r="B1028" s="3">
        <v>148.34358199999997</v>
      </c>
      <c r="C1028" s="4">
        <f t="shared" si="64"/>
        <v>0.16775799999996366</v>
      </c>
      <c r="D1028" s="4">
        <f t="shared" si="62"/>
        <v>2.0135819999999569</v>
      </c>
      <c r="E1028" s="3">
        <v>52.95</v>
      </c>
      <c r="F1028" s="3">
        <v>20</v>
      </c>
      <c r="G1028" s="3">
        <v>170.36031899999998</v>
      </c>
      <c r="H1028" s="4">
        <f t="shared" si="65"/>
        <v>-0.19968100000002664</v>
      </c>
      <c r="I1028" s="4">
        <f t="shared" si="63"/>
        <v>20.060318999999964</v>
      </c>
      <c r="J1028" s="3">
        <v>52.95</v>
      </c>
      <c r="K1028" s="3">
        <v>20</v>
      </c>
      <c r="L1028" s="13">
        <f>YEAR(Weekly_Prices[[#This Row],[Date]])</f>
        <v>2023</v>
      </c>
      <c r="M1028" s="13">
        <f>MONTH(Weekly_Prices[[#This Row],[Date]])</f>
        <v>2</v>
      </c>
      <c r="N1028" s="3" t="str">
        <f>TEXT(Weekly_Prices[[#This Row],[Date]],"MMMM")</f>
        <v>February</v>
      </c>
      <c r="O1028" s="3" t="str">
        <f>YEAR(Weekly_Prices[[#This Row],[Date]])&amp;"-"&amp;TEXT(WEEKNUM(Weekly_Prices[[#This Row],[Date]],2),"00")</f>
        <v>2023-07</v>
      </c>
    </row>
    <row r="1029" spans="1:15" x14ac:dyDescent="0.35">
      <c r="A1029" s="2">
        <v>44970</v>
      </c>
      <c r="B1029" s="3">
        <v>147.97802100000001</v>
      </c>
      <c r="C1029" s="4">
        <f t="shared" si="64"/>
        <v>-0.36556099999995695</v>
      </c>
      <c r="D1029" s="4">
        <f t="shared" si="62"/>
        <v>1.0280210000000238</v>
      </c>
      <c r="E1029" s="3">
        <v>52.95</v>
      </c>
      <c r="F1029" s="3">
        <v>20</v>
      </c>
      <c r="G1029" s="3">
        <v>169.65982100000002</v>
      </c>
      <c r="H1029" s="4">
        <f t="shared" si="65"/>
        <v>-0.70049799999995344</v>
      </c>
      <c r="I1029" s="4">
        <f t="shared" si="63"/>
        <v>18.559821000000028</v>
      </c>
      <c r="J1029" s="3">
        <v>52.95</v>
      </c>
      <c r="K1029" s="3">
        <v>20</v>
      </c>
      <c r="L1029" s="13">
        <f>YEAR(Weekly_Prices[[#This Row],[Date]])</f>
        <v>2023</v>
      </c>
      <c r="M1029" s="13">
        <f>MONTH(Weekly_Prices[[#This Row],[Date]])</f>
        <v>2</v>
      </c>
      <c r="N1029" s="3" t="str">
        <f>TEXT(Weekly_Prices[[#This Row],[Date]],"MMMM")</f>
        <v>February</v>
      </c>
      <c r="O1029" s="3" t="str">
        <f>YEAR(Weekly_Prices[[#This Row],[Date]])&amp;"-"&amp;TEXT(WEEKNUM(Weekly_Prices[[#This Row],[Date]],2),"00")</f>
        <v>2023-08</v>
      </c>
    </row>
    <row r="1030" spans="1:15" x14ac:dyDescent="0.35">
      <c r="A1030" s="2">
        <v>44977</v>
      </c>
      <c r="B1030" s="3">
        <v>147.860219</v>
      </c>
      <c r="C1030" s="4">
        <f t="shared" si="64"/>
        <v>-0.11780200000001173</v>
      </c>
      <c r="D1030" s="4">
        <f t="shared" si="62"/>
        <v>9.0218999999990501E-2</v>
      </c>
      <c r="E1030" s="3">
        <v>52.95</v>
      </c>
      <c r="F1030" s="3">
        <v>20</v>
      </c>
      <c r="G1030" s="3">
        <v>169.3</v>
      </c>
      <c r="H1030" s="4">
        <f t="shared" si="65"/>
        <v>-0.35982100000001083</v>
      </c>
      <c r="I1030" s="4">
        <f t="shared" si="63"/>
        <v>17.350000000000023</v>
      </c>
      <c r="J1030" s="3">
        <v>52.95</v>
      </c>
      <c r="K1030" s="3">
        <v>20</v>
      </c>
      <c r="L1030" s="13">
        <f>YEAR(Weekly_Prices[[#This Row],[Date]])</f>
        <v>2023</v>
      </c>
      <c r="M1030" s="13">
        <f>MONTH(Weekly_Prices[[#This Row],[Date]])</f>
        <v>2</v>
      </c>
      <c r="N1030" s="3" t="str">
        <f>TEXT(Weekly_Prices[[#This Row],[Date]],"MMMM")</f>
        <v>February</v>
      </c>
      <c r="O1030" s="3" t="str">
        <f>YEAR(Weekly_Prices[[#This Row],[Date]])&amp;"-"&amp;TEXT(WEEKNUM(Weekly_Prices[[#This Row],[Date]],2),"00")</f>
        <v>2023-09</v>
      </c>
    </row>
    <row r="1031" spans="1:15" x14ac:dyDescent="0.35">
      <c r="A1031" s="2">
        <v>44984</v>
      </c>
      <c r="B1031" s="3">
        <v>147.545378</v>
      </c>
      <c r="C1031" s="4">
        <f t="shared" si="64"/>
        <v>-0.31484100000000126</v>
      </c>
      <c r="D1031" s="4">
        <f t="shared" si="62"/>
        <v>-1.6746219999999994</v>
      </c>
      <c r="E1031" s="3">
        <v>52.95</v>
      </c>
      <c r="F1031" s="3">
        <v>20</v>
      </c>
      <c r="G1031" s="3">
        <v>168.56</v>
      </c>
      <c r="H1031" s="4">
        <f t="shared" si="65"/>
        <v>-0.74000000000000909</v>
      </c>
      <c r="I1031" s="4">
        <f t="shared" si="63"/>
        <v>15.199999999999989</v>
      </c>
      <c r="J1031" s="3">
        <v>52.95</v>
      </c>
      <c r="K1031" s="3">
        <v>20</v>
      </c>
      <c r="L1031" s="13">
        <f>YEAR(Weekly_Prices[[#This Row],[Date]])</f>
        <v>2023</v>
      </c>
      <c r="M1031" s="13">
        <f>MONTH(Weekly_Prices[[#This Row],[Date]])</f>
        <v>2</v>
      </c>
      <c r="N1031" s="3" t="str">
        <f>TEXT(Weekly_Prices[[#This Row],[Date]],"MMMM")</f>
        <v>February</v>
      </c>
      <c r="O1031" s="3" t="str">
        <f>YEAR(Weekly_Prices[[#This Row],[Date]])&amp;"-"&amp;TEXT(WEEKNUM(Weekly_Prices[[#This Row],[Date]],2),"00")</f>
        <v>2023-10</v>
      </c>
    </row>
    <row r="1032" spans="1:15" x14ac:dyDescent="0.35">
      <c r="A1032" s="2">
        <v>44991</v>
      </c>
      <c r="B1032" s="3">
        <v>147.12277600000002</v>
      </c>
      <c r="C1032" s="4">
        <f t="shared" si="64"/>
        <v>-0.42260199999998349</v>
      </c>
      <c r="D1032" s="4">
        <f t="shared" si="62"/>
        <v>-5.8272239999999726</v>
      </c>
      <c r="E1032" s="3">
        <v>52.95</v>
      </c>
      <c r="F1032" s="3">
        <v>20</v>
      </c>
      <c r="G1032" s="3">
        <v>167.33</v>
      </c>
      <c r="H1032" s="4">
        <f t="shared" si="65"/>
        <v>-1.2299999999999898</v>
      </c>
      <c r="I1032" s="4">
        <f t="shared" si="63"/>
        <v>8.7700000000000102</v>
      </c>
      <c r="J1032" s="3">
        <v>52.95</v>
      </c>
      <c r="K1032" s="3">
        <v>20</v>
      </c>
      <c r="L1032" s="13">
        <f>YEAR(Weekly_Prices[[#This Row],[Date]])</f>
        <v>2023</v>
      </c>
      <c r="M1032" s="13">
        <f>MONTH(Weekly_Prices[[#This Row],[Date]])</f>
        <v>3</v>
      </c>
      <c r="N1032" s="3" t="str">
        <f>TEXT(Weekly_Prices[[#This Row],[Date]],"MMMM")</f>
        <v>March</v>
      </c>
      <c r="O1032" s="3" t="str">
        <f>YEAR(Weekly_Prices[[#This Row],[Date]])&amp;"-"&amp;TEXT(WEEKNUM(Weekly_Prices[[#This Row],[Date]],2),"00")</f>
        <v>2023-11</v>
      </c>
    </row>
    <row r="1033" spans="1:15" x14ac:dyDescent="0.35">
      <c r="A1033" s="2">
        <v>44998</v>
      </c>
      <c r="B1033" s="3">
        <v>146.97366000000002</v>
      </c>
      <c r="C1033" s="4">
        <f t="shared" si="64"/>
        <v>-0.14911599999999225</v>
      </c>
      <c r="D1033" s="4">
        <f t="shared" si="62"/>
        <v>-12.986339999999984</v>
      </c>
      <c r="E1033" s="3">
        <v>52.95</v>
      </c>
      <c r="F1033" s="3">
        <v>20</v>
      </c>
      <c r="G1033" s="3">
        <v>167.04</v>
      </c>
      <c r="H1033" s="4">
        <f t="shared" si="65"/>
        <v>-0.29000000000002046</v>
      </c>
      <c r="I1033" s="4">
        <f t="shared" si="63"/>
        <v>-2.4399999999999977</v>
      </c>
      <c r="J1033" s="3">
        <v>52.95</v>
      </c>
      <c r="K1033" s="3">
        <v>20</v>
      </c>
      <c r="L1033" s="13">
        <f>YEAR(Weekly_Prices[[#This Row],[Date]])</f>
        <v>2023</v>
      </c>
      <c r="M1033" s="13">
        <f>MONTH(Weekly_Prices[[#This Row],[Date]])</f>
        <v>3</v>
      </c>
      <c r="N1033" s="3" t="str">
        <f>TEXT(Weekly_Prices[[#This Row],[Date]],"MMMM")</f>
        <v>March</v>
      </c>
      <c r="O1033" s="3" t="str">
        <f>YEAR(Weekly_Prices[[#This Row],[Date]])&amp;"-"&amp;TEXT(WEEKNUM(Weekly_Prices[[#This Row],[Date]],2),"00")</f>
        <v>2023-12</v>
      </c>
    </row>
    <row r="1034" spans="1:15" x14ac:dyDescent="0.35">
      <c r="A1034" s="2">
        <v>45005</v>
      </c>
      <c r="B1034" s="3">
        <v>146.61631199999999</v>
      </c>
      <c r="C1034" s="4">
        <f t="shared" si="64"/>
        <v>-0.3573480000000302</v>
      </c>
      <c r="D1034" s="4">
        <f t="shared" si="62"/>
        <v>-18.753688000000011</v>
      </c>
      <c r="E1034" s="3">
        <v>52.95</v>
      </c>
      <c r="F1034" s="3">
        <v>20</v>
      </c>
      <c r="G1034" s="3">
        <v>166.26</v>
      </c>
      <c r="H1034" s="4">
        <f t="shared" si="65"/>
        <v>-0.78000000000000114</v>
      </c>
      <c r="I1034" s="4">
        <f t="shared" si="63"/>
        <v>-11.210000000000008</v>
      </c>
      <c r="J1034" s="3">
        <v>52.95</v>
      </c>
      <c r="K1034" s="3">
        <v>20</v>
      </c>
      <c r="L1034" s="13">
        <f>YEAR(Weekly_Prices[[#This Row],[Date]])</f>
        <v>2023</v>
      </c>
      <c r="M1034" s="13">
        <f>MONTH(Weekly_Prices[[#This Row],[Date]])</f>
        <v>3</v>
      </c>
      <c r="N1034" s="3" t="str">
        <f>TEXT(Weekly_Prices[[#This Row],[Date]],"MMMM")</f>
        <v>March</v>
      </c>
      <c r="O1034" s="3" t="str">
        <f>YEAR(Weekly_Prices[[#This Row],[Date]])&amp;"-"&amp;TEXT(WEEKNUM(Weekly_Prices[[#This Row],[Date]],2),"00")</f>
        <v>2023-13</v>
      </c>
    </row>
    <row r="1035" spans="1:15" x14ac:dyDescent="0.35">
      <c r="A1035" s="2">
        <v>45012</v>
      </c>
      <c r="B1035" s="3">
        <v>146.21293899999998</v>
      </c>
      <c r="C1035" s="4">
        <f t="shared" si="64"/>
        <v>-0.40337300000001619</v>
      </c>
      <c r="D1035" s="4">
        <f t="shared" si="62"/>
        <v>-16.438829999999996</v>
      </c>
      <c r="E1035" s="3">
        <v>52.95</v>
      </c>
      <c r="F1035" s="3">
        <v>20</v>
      </c>
      <c r="G1035" s="3">
        <v>165.18</v>
      </c>
      <c r="H1035" s="4">
        <f t="shared" si="65"/>
        <v>-1.0799999999999841</v>
      </c>
      <c r="I1035" s="4">
        <f t="shared" si="63"/>
        <v>-11.262402999999978</v>
      </c>
      <c r="J1035" s="3">
        <v>52.95</v>
      </c>
      <c r="K1035" s="3">
        <v>20</v>
      </c>
      <c r="L1035" s="13">
        <f>YEAR(Weekly_Prices[[#This Row],[Date]])</f>
        <v>2023</v>
      </c>
      <c r="M1035" s="13">
        <f>MONTH(Weekly_Prices[[#This Row],[Date]])</f>
        <v>3</v>
      </c>
      <c r="N1035" s="3" t="str">
        <f>TEXT(Weekly_Prices[[#This Row],[Date]],"MMMM")</f>
        <v>March</v>
      </c>
      <c r="O1035" s="3" t="str">
        <f>YEAR(Weekly_Prices[[#This Row],[Date]])&amp;"-"&amp;TEXT(WEEKNUM(Weekly_Prices[[#This Row],[Date]],2),"00")</f>
        <v>2023-14</v>
      </c>
    </row>
    <row r="1036" spans="1:15" x14ac:dyDescent="0.35">
      <c r="A1036" s="2">
        <v>45019</v>
      </c>
      <c r="B1036" s="3">
        <v>145.72476</v>
      </c>
      <c r="C1036" s="4">
        <f t="shared" si="64"/>
        <v>-0.48817899999997394</v>
      </c>
      <c r="D1036" s="4">
        <f t="shared" si="62"/>
        <v>-16.185239999999993</v>
      </c>
      <c r="E1036" s="3">
        <v>52.95</v>
      </c>
      <c r="F1036" s="3">
        <v>20</v>
      </c>
      <c r="G1036" s="3">
        <v>163.71</v>
      </c>
      <c r="H1036" s="4">
        <f t="shared" si="65"/>
        <v>-1.4699999999999989</v>
      </c>
      <c r="I1036" s="4">
        <f t="shared" si="63"/>
        <v>-12.289999999999992</v>
      </c>
      <c r="J1036" s="3">
        <v>52.95</v>
      </c>
      <c r="K1036" s="3">
        <v>20</v>
      </c>
      <c r="L1036" s="13">
        <f>YEAR(Weekly_Prices[[#This Row],[Date]])</f>
        <v>2023</v>
      </c>
      <c r="M1036" s="13">
        <f>MONTH(Weekly_Prices[[#This Row],[Date]])</f>
        <v>4</v>
      </c>
      <c r="N1036" s="3" t="str">
        <f>TEXT(Weekly_Prices[[#This Row],[Date]],"MMMM")</f>
        <v>April</v>
      </c>
      <c r="O1036" s="3" t="str">
        <f>YEAR(Weekly_Prices[[#This Row],[Date]])&amp;"-"&amp;TEXT(WEEKNUM(Weekly_Prices[[#This Row],[Date]],2),"00")</f>
        <v>2023-15</v>
      </c>
    </row>
    <row r="1037" spans="1:15" x14ac:dyDescent="0.35">
      <c r="A1037" s="2">
        <v>45026</v>
      </c>
      <c r="B1037" s="3">
        <v>145.81701200000001</v>
      </c>
      <c r="C1037" s="4">
        <f t="shared" si="64"/>
        <v>9.2252000000001999E-2</v>
      </c>
      <c r="D1037" s="4">
        <f t="shared" si="62"/>
        <v>-15.962987999999996</v>
      </c>
      <c r="E1037" s="3">
        <v>52.95</v>
      </c>
      <c r="F1037" s="3">
        <v>20</v>
      </c>
      <c r="G1037" s="3">
        <v>162.70971299999999</v>
      </c>
      <c r="H1037" s="4">
        <f t="shared" si="65"/>
        <v>-1.0002870000000144</v>
      </c>
      <c r="I1037" s="4">
        <f t="shared" si="63"/>
        <v>-13.510287000000005</v>
      </c>
      <c r="J1037" s="3">
        <v>52.95</v>
      </c>
      <c r="K1037" s="3">
        <v>20</v>
      </c>
      <c r="L1037" s="13">
        <f>YEAR(Weekly_Prices[[#This Row],[Date]])</f>
        <v>2023</v>
      </c>
      <c r="M1037" s="13">
        <f>MONTH(Weekly_Prices[[#This Row],[Date]])</f>
        <v>4</v>
      </c>
      <c r="N1037" s="3" t="str">
        <f>TEXT(Weekly_Prices[[#This Row],[Date]],"MMMM")</f>
        <v>April</v>
      </c>
      <c r="O1037" s="3" t="str">
        <f>YEAR(Weekly_Prices[[#This Row],[Date]])&amp;"-"&amp;TEXT(WEEKNUM(Weekly_Prices[[#This Row],[Date]],2),"00")</f>
        <v>2023-16</v>
      </c>
    </row>
    <row r="1038" spans="1:15" x14ac:dyDescent="0.35">
      <c r="A1038" s="2">
        <v>45033</v>
      </c>
      <c r="B1038" s="3">
        <v>145.93487199999998</v>
      </c>
      <c r="C1038" s="4">
        <f t="shared" si="64"/>
        <v>0.11785999999997898</v>
      </c>
      <c r="D1038" s="4">
        <f t="shared" si="62"/>
        <v>-15.736151999999976</v>
      </c>
      <c r="E1038" s="3">
        <v>52.95</v>
      </c>
      <c r="F1038" s="3">
        <v>20</v>
      </c>
      <c r="G1038" s="3">
        <v>162.11473099999998</v>
      </c>
      <c r="H1038" s="4">
        <f t="shared" si="65"/>
        <v>-0.59498200000001589</v>
      </c>
      <c r="I1038" s="4">
        <f t="shared" si="63"/>
        <v>-13.814546000000036</v>
      </c>
      <c r="J1038" s="3">
        <v>52.95</v>
      </c>
      <c r="K1038" s="3">
        <v>20</v>
      </c>
      <c r="L1038" s="13">
        <f>YEAR(Weekly_Prices[[#This Row],[Date]])</f>
        <v>2023</v>
      </c>
      <c r="M1038" s="13">
        <f>MONTH(Weekly_Prices[[#This Row],[Date]])</f>
        <v>4</v>
      </c>
      <c r="N1038" s="3" t="str">
        <f>TEXT(Weekly_Prices[[#This Row],[Date]],"MMMM")</f>
        <v>April</v>
      </c>
      <c r="O1038" s="3" t="str">
        <f>YEAR(Weekly_Prices[[#This Row],[Date]])&amp;"-"&amp;TEXT(WEEKNUM(Weekly_Prices[[#This Row],[Date]],2),"00")</f>
        <v>2023-17</v>
      </c>
    </row>
    <row r="1039" spans="1:15" x14ac:dyDescent="0.35">
      <c r="A1039" s="2">
        <v>45040</v>
      </c>
      <c r="B1039" s="3">
        <v>145.84025499999998</v>
      </c>
      <c r="C1039" s="4">
        <f t="shared" si="64"/>
        <v>-9.4616999999999507E-2</v>
      </c>
      <c r="D1039" s="4">
        <f t="shared" si="62"/>
        <v>-15.999477000000041</v>
      </c>
      <c r="E1039" s="3">
        <v>52.95</v>
      </c>
      <c r="F1039" s="3">
        <v>20</v>
      </c>
      <c r="G1039" s="3">
        <v>161.340855</v>
      </c>
      <c r="H1039" s="4">
        <f t="shared" si="65"/>
        <v>-0.77387599999997292</v>
      </c>
      <c r="I1039" s="4">
        <f t="shared" si="63"/>
        <v>-14.993546000000009</v>
      </c>
      <c r="J1039" s="3">
        <v>52.95</v>
      </c>
      <c r="K1039" s="3">
        <v>20</v>
      </c>
      <c r="L1039" s="13">
        <f>YEAR(Weekly_Prices[[#This Row],[Date]])</f>
        <v>2023</v>
      </c>
      <c r="M1039" s="13">
        <f>MONTH(Weekly_Prices[[#This Row],[Date]])</f>
        <v>4</v>
      </c>
      <c r="N1039" s="3" t="str">
        <f>TEXT(Weekly_Prices[[#This Row],[Date]],"MMMM")</f>
        <v>April</v>
      </c>
      <c r="O1039" s="3" t="str">
        <f>YEAR(Weekly_Prices[[#This Row],[Date]])&amp;"-"&amp;TEXT(WEEKNUM(Weekly_Prices[[#This Row],[Date]],2),"00")</f>
        <v>2023-18</v>
      </c>
    </row>
    <row r="1040" spans="1:15" x14ac:dyDescent="0.35">
      <c r="A1040" s="2">
        <v>45047</v>
      </c>
      <c r="B1040" s="3">
        <v>145.70980299999999</v>
      </c>
      <c r="C1040" s="4">
        <f t="shared" si="64"/>
        <v>-0.13045199999999113</v>
      </c>
      <c r="D1040" s="4">
        <f t="shared" si="62"/>
        <v>-16.765891000000039</v>
      </c>
      <c r="E1040" s="3">
        <v>52.95</v>
      </c>
      <c r="F1040" s="3">
        <v>20</v>
      </c>
      <c r="G1040" s="3">
        <v>160.351451</v>
      </c>
      <c r="H1040" s="4">
        <f t="shared" si="65"/>
        <v>-0.9894040000000075</v>
      </c>
      <c r="I1040" s="4">
        <f t="shared" si="63"/>
        <v>-16.712211999999994</v>
      </c>
      <c r="J1040" s="3">
        <v>52.95</v>
      </c>
      <c r="K1040" s="3">
        <v>20</v>
      </c>
      <c r="L1040" s="13">
        <f>YEAR(Weekly_Prices[[#This Row],[Date]])</f>
        <v>2023</v>
      </c>
      <c r="M1040" s="13">
        <f>MONTH(Weekly_Prices[[#This Row],[Date]])</f>
        <v>5</v>
      </c>
      <c r="N1040" s="3" t="str">
        <f>TEXT(Weekly_Prices[[#This Row],[Date]],"MMMM")</f>
        <v>May</v>
      </c>
      <c r="O1040" s="3" t="str">
        <f>YEAR(Weekly_Prices[[#This Row],[Date]])&amp;"-"&amp;TEXT(WEEKNUM(Weekly_Prices[[#This Row],[Date]],2),"00")</f>
        <v>2023-19</v>
      </c>
    </row>
    <row r="1041" spans="1:15" x14ac:dyDescent="0.35">
      <c r="A1041" s="2">
        <v>45054</v>
      </c>
      <c r="B1041" s="3">
        <v>145.30370500000001</v>
      </c>
      <c r="C1041" s="4">
        <f t="shared" si="64"/>
        <v>-0.40609799999998586</v>
      </c>
      <c r="D1041" s="4">
        <f t="shared" si="62"/>
        <v>-18.375907000000012</v>
      </c>
      <c r="E1041" s="3">
        <v>52.95</v>
      </c>
      <c r="F1041" s="3">
        <v>20</v>
      </c>
      <c r="G1041" s="3">
        <v>158.116029</v>
      </c>
      <c r="H1041" s="4">
        <f t="shared" si="65"/>
        <v>-2.2354219999999998</v>
      </c>
      <c r="I1041" s="4">
        <f t="shared" si="63"/>
        <v>-20.273970999999989</v>
      </c>
      <c r="J1041" s="3">
        <v>52.95</v>
      </c>
      <c r="K1041" s="3">
        <v>20</v>
      </c>
      <c r="L1041" s="13">
        <f>YEAR(Weekly_Prices[[#This Row],[Date]])</f>
        <v>2023</v>
      </c>
      <c r="M1041" s="13">
        <f>MONTH(Weekly_Prices[[#This Row],[Date]])</f>
        <v>5</v>
      </c>
      <c r="N1041" s="3" t="str">
        <f>TEXT(Weekly_Prices[[#This Row],[Date]],"MMMM")</f>
        <v>May</v>
      </c>
      <c r="O1041" s="3" t="str">
        <f>YEAR(Weekly_Prices[[#This Row],[Date]])&amp;"-"&amp;TEXT(WEEKNUM(Weekly_Prices[[#This Row],[Date]],2),"00")</f>
        <v>2023-20</v>
      </c>
    </row>
    <row r="1042" spans="1:15" x14ac:dyDescent="0.35">
      <c r="A1042" s="2">
        <v>45061</v>
      </c>
      <c r="B1042" s="3">
        <v>144.649124</v>
      </c>
      <c r="C1042" s="4">
        <f t="shared" si="64"/>
        <v>-0.65458100000000741</v>
      </c>
      <c r="D1042" s="4">
        <f t="shared" si="62"/>
        <v>-20.441282000000001</v>
      </c>
      <c r="E1042" s="3">
        <v>52.95</v>
      </c>
      <c r="F1042" s="3">
        <v>20</v>
      </c>
      <c r="G1042" s="3">
        <v>155.53458799999999</v>
      </c>
      <c r="H1042" s="4">
        <f t="shared" si="65"/>
        <v>-2.5814410000000123</v>
      </c>
      <c r="I1042" s="4">
        <f t="shared" si="63"/>
        <v>-24.135412000000002</v>
      </c>
      <c r="J1042" s="3">
        <v>52.95</v>
      </c>
      <c r="K1042" s="3">
        <v>20</v>
      </c>
      <c r="L1042" s="13">
        <f>YEAR(Weekly_Prices[[#This Row],[Date]])</f>
        <v>2023</v>
      </c>
      <c r="M1042" s="13">
        <f>MONTH(Weekly_Prices[[#This Row],[Date]])</f>
        <v>5</v>
      </c>
      <c r="N1042" s="3" t="str">
        <f>TEXT(Weekly_Prices[[#This Row],[Date]],"MMMM")</f>
        <v>May</v>
      </c>
      <c r="O1042" s="3" t="str">
        <f>YEAR(Weekly_Prices[[#This Row],[Date]])&amp;"-"&amp;TEXT(WEEKNUM(Weekly_Prices[[#This Row],[Date]],2),"00")</f>
        <v>2023-21</v>
      </c>
    </row>
    <row r="1043" spans="1:15" x14ac:dyDescent="0.35">
      <c r="A1043" s="2">
        <v>45068</v>
      </c>
      <c r="B1043" s="3">
        <v>143.63957199999999</v>
      </c>
      <c r="C1043" s="4">
        <f t="shared" si="64"/>
        <v>-1.0095520000000135</v>
      </c>
      <c r="D1043" s="4">
        <f t="shared" si="62"/>
        <v>-23.945508000000018</v>
      </c>
      <c r="E1043" s="3">
        <v>52.95</v>
      </c>
      <c r="F1043" s="3">
        <v>20</v>
      </c>
      <c r="G1043" s="3">
        <v>151.59455500000001</v>
      </c>
      <c r="H1043" s="4">
        <f t="shared" si="65"/>
        <v>-3.9400329999999713</v>
      </c>
      <c r="I1043" s="4">
        <f t="shared" si="63"/>
        <v>-29.56792999999999</v>
      </c>
      <c r="J1043" s="3">
        <v>52.95</v>
      </c>
      <c r="K1043" s="3">
        <v>20</v>
      </c>
      <c r="L1043" s="13">
        <f>YEAR(Weekly_Prices[[#This Row],[Date]])</f>
        <v>2023</v>
      </c>
      <c r="M1043" s="13">
        <f>MONTH(Weekly_Prices[[#This Row],[Date]])</f>
        <v>5</v>
      </c>
      <c r="N1043" s="3" t="str">
        <f>TEXT(Weekly_Prices[[#This Row],[Date]],"MMMM")</f>
        <v>May</v>
      </c>
      <c r="O1043" s="3" t="str">
        <f>YEAR(Weekly_Prices[[#This Row],[Date]])&amp;"-"&amp;TEXT(WEEKNUM(Weekly_Prices[[#This Row],[Date]],2),"00")</f>
        <v>2023-22</v>
      </c>
    </row>
    <row r="1044" spans="1:15" x14ac:dyDescent="0.35">
      <c r="A1044" s="2">
        <v>45075</v>
      </c>
      <c r="B1044" s="3">
        <v>142.93747299999998</v>
      </c>
      <c r="C1044" s="4">
        <f t="shared" si="64"/>
        <v>-0.70209900000000403</v>
      </c>
      <c r="D1044" s="4">
        <f t="shared" si="62"/>
        <v>-27.418622000000028</v>
      </c>
      <c r="E1044" s="3">
        <v>52.95</v>
      </c>
      <c r="F1044" s="3">
        <v>20</v>
      </c>
      <c r="G1044" s="3">
        <v>147.866602</v>
      </c>
      <c r="H1044" s="4">
        <f t="shared" si="65"/>
        <v>-3.7279530000000136</v>
      </c>
      <c r="I1044" s="4">
        <f t="shared" si="63"/>
        <v>-34.383100000000013</v>
      </c>
      <c r="J1044" s="3">
        <v>52.95</v>
      </c>
      <c r="K1044" s="3">
        <v>20</v>
      </c>
      <c r="L1044" s="13">
        <f>YEAR(Weekly_Prices[[#This Row],[Date]])</f>
        <v>2023</v>
      </c>
      <c r="M1044" s="13">
        <f>MONTH(Weekly_Prices[[#This Row],[Date]])</f>
        <v>5</v>
      </c>
      <c r="N1044" s="3" t="str">
        <f>TEXT(Weekly_Prices[[#This Row],[Date]],"MMMM")</f>
        <v>May</v>
      </c>
      <c r="O1044" s="3" t="str">
        <f>YEAR(Weekly_Prices[[#This Row],[Date]])&amp;"-"&amp;TEXT(WEEKNUM(Weekly_Prices[[#This Row],[Date]],2),"00")</f>
        <v>2023-23</v>
      </c>
    </row>
    <row r="1045" spans="1:15" x14ac:dyDescent="0.35">
      <c r="A1045" s="2">
        <v>45082</v>
      </c>
      <c r="B1045" s="3">
        <v>142.90114399999999</v>
      </c>
      <c r="C1045" s="4">
        <f t="shared" si="64"/>
        <v>-3.6328999999994949E-2</v>
      </c>
      <c r="D1045" s="4">
        <f t="shared" si="62"/>
        <v>-32.09343100000001</v>
      </c>
      <c r="E1045" s="3">
        <v>52.95</v>
      </c>
      <c r="F1045" s="3">
        <v>20</v>
      </c>
      <c r="G1045" s="3">
        <v>146.42563699999999</v>
      </c>
      <c r="H1045" s="4">
        <f t="shared" si="65"/>
        <v>-1.4409650000000056</v>
      </c>
      <c r="I1045" s="4">
        <f t="shared" si="63"/>
        <v>-38.517553000000021</v>
      </c>
      <c r="J1045" s="3">
        <v>52.95</v>
      </c>
      <c r="K1045" s="3">
        <v>20</v>
      </c>
      <c r="L1045" s="13">
        <f>YEAR(Weekly_Prices[[#This Row],[Date]])</f>
        <v>2023</v>
      </c>
      <c r="M1045" s="13">
        <f>MONTH(Weekly_Prices[[#This Row],[Date]])</f>
        <v>6</v>
      </c>
      <c r="N1045" s="3" t="str">
        <f>TEXT(Weekly_Prices[[#This Row],[Date]],"MMMM")</f>
        <v>June</v>
      </c>
      <c r="O1045" s="3" t="str">
        <f>YEAR(Weekly_Prices[[#This Row],[Date]])&amp;"-"&amp;TEXT(WEEKNUM(Weekly_Prices[[#This Row],[Date]],2),"00")</f>
        <v>2023-24</v>
      </c>
    </row>
    <row r="1046" spans="1:15" x14ac:dyDescent="0.35">
      <c r="A1046" s="2">
        <v>45089</v>
      </c>
      <c r="B1046" s="3">
        <v>142.713258</v>
      </c>
      <c r="C1046" s="4">
        <f t="shared" si="64"/>
        <v>-0.18788599999999178</v>
      </c>
      <c r="D1046" s="4">
        <f t="shared" si="62"/>
        <v>-39.817949000000027</v>
      </c>
      <c r="E1046" s="3">
        <v>52.95</v>
      </c>
      <c r="F1046" s="3">
        <v>20</v>
      </c>
      <c r="G1046" s="3">
        <v>145.47573999999997</v>
      </c>
      <c r="H1046" s="4">
        <f t="shared" si="65"/>
        <v>-0.94989700000002131</v>
      </c>
      <c r="I1046" s="4">
        <f t="shared" si="63"/>
        <v>-44.958852000000036</v>
      </c>
      <c r="J1046" s="3">
        <v>52.95</v>
      </c>
      <c r="K1046" s="3">
        <v>20</v>
      </c>
      <c r="L1046" s="13">
        <f>YEAR(Weekly_Prices[[#This Row],[Date]])</f>
        <v>2023</v>
      </c>
      <c r="M1046" s="13">
        <f>MONTH(Weekly_Prices[[#This Row],[Date]])</f>
        <v>6</v>
      </c>
      <c r="N1046" s="3" t="str">
        <f>TEXT(Weekly_Prices[[#This Row],[Date]],"MMMM")</f>
        <v>June</v>
      </c>
      <c r="O1046" s="3" t="str">
        <f>YEAR(Weekly_Prices[[#This Row],[Date]])&amp;"-"&amp;TEXT(WEEKNUM(Weekly_Prices[[#This Row],[Date]],2),"00")</f>
        <v>2023-25</v>
      </c>
    </row>
    <row r="1047" spans="1:15" x14ac:dyDescent="0.35">
      <c r="A1047" s="2">
        <v>45096</v>
      </c>
      <c r="B1047" s="3">
        <v>142.95480000000001</v>
      </c>
      <c r="C1047" s="4">
        <f t="shared" si="64"/>
        <v>0.24154200000000969</v>
      </c>
      <c r="D1047" s="4">
        <f t="shared" si="62"/>
        <v>-43.890460999999988</v>
      </c>
      <c r="E1047" s="3">
        <v>52.95</v>
      </c>
      <c r="F1047" s="3">
        <v>20</v>
      </c>
      <c r="G1047" s="3">
        <v>145.19698000000002</v>
      </c>
      <c r="H1047" s="4">
        <f t="shared" si="65"/>
        <v>-0.2787599999999486</v>
      </c>
      <c r="I1047" s="4">
        <f t="shared" si="63"/>
        <v>-49.67301999999998</v>
      </c>
      <c r="J1047" s="3">
        <v>52.95</v>
      </c>
      <c r="K1047" s="3">
        <v>20</v>
      </c>
      <c r="L1047" s="13">
        <f>YEAR(Weekly_Prices[[#This Row],[Date]])</f>
        <v>2023</v>
      </c>
      <c r="M1047" s="13">
        <f>MONTH(Weekly_Prices[[#This Row],[Date]])</f>
        <v>6</v>
      </c>
      <c r="N1047" s="3" t="str">
        <f>TEXT(Weekly_Prices[[#This Row],[Date]],"MMMM")</f>
        <v>June</v>
      </c>
      <c r="O1047" s="3" t="str">
        <f>YEAR(Weekly_Prices[[#This Row],[Date]])&amp;"-"&amp;TEXT(WEEKNUM(Weekly_Prices[[#This Row],[Date]],2),"00")</f>
        <v>2023-26</v>
      </c>
    </row>
    <row r="1048" spans="1:15" x14ac:dyDescent="0.35">
      <c r="A1048" s="2">
        <v>45103</v>
      </c>
      <c r="B1048" s="3">
        <v>143.42607699999999</v>
      </c>
      <c r="C1048" s="4">
        <f t="shared" si="64"/>
        <v>0.4712769999999864</v>
      </c>
      <c r="D1048" s="4">
        <f t="shared" si="62"/>
        <v>-47.500768000000051</v>
      </c>
      <c r="E1048" s="3">
        <v>52.95</v>
      </c>
      <c r="F1048" s="3">
        <v>20</v>
      </c>
      <c r="G1048" s="3">
        <v>145.645343</v>
      </c>
      <c r="H1048" s="4">
        <f t="shared" si="65"/>
        <v>0.44836299999997209</v>
      </c>
      <c r="I1048" s="4">
        <f t="shared" si="63"/>
        <v>-53.28465700000001</v>
      </c>
      <c r="J1048" s="3">
        <v>52.95</v>
      </c>
      <c r="K1048" s="3">
        <v>20</v>
      </c>
      <c r="L1048" s="13">
        <f>YEAR(Weekly_Prices[[#This Row],[Date]])</f>
        <v>2023</v>
      </c>
      <c r="M1048" s="13">
        <f>MONTH(Weekly_Prices[[#This Row],[Date]])</f>
        <v>6</v>
      </c>
      <c r="N1048" s="3" t="str">
        <f>TEXT(Weekly_Prices[[#This Row],[Date]],"MMMM")</f>
        <v>June</v>
      </c>
      <c r="O1048" s="3" t="str">
        <f>YEAR(Weekly_Prices[[#This Row],[Date]])&amp;"-"&amp;TEXT(WEEKNUM(Weekly_Prices[[#This Row],[Date]],2),"00")</f>
        <v>2023-27</v>
      </c>
    </row>
    <row r="1049" spans="1:15" x14ac:dyDescent="0.35">
      <c r="A1049" s="2">
        <v>45110</v>
      </c>
      <c r="B1049" s="3">
        <v>143.39668399999999</v>
      </c>
      <c r="C1049" s="4">
        <f t="shared" si="64"/>
        <v>-2.9392999999998892E-2</v>
      </c>
      <c r="D1049" s="4">
        <f t="shared" si="62"/>
        <v>-48.149945000000002</v>
      </c>
      <c r="E1049" s="3">
        <v>52.95</v>
      </c>
      <c r="F1049" s="3">
        <v>20</v>
      </c>
      <c r="G1049" s="3">
        <v>145.516514</v>
      </c>
      <c r="H1049" s="4">
        <f t="shared" si="65"/>
        <v>-0.12882899999999609</v>
      </c>
      <c r="I1049" s="4">
        <f t="shared" si="63"/>
        <v>-53.703485999999998</v>
      </c>
      <c r="J1049" s="3">
        <v>52.95</v>
      </c>
      <c r="K1049" s="3">
        <v>20</v>
      </c>
      <c r="L1049" s="13">
        <f>YEAR(Weekly_Prices[[#This Row],[Date]])</f>
        <v>2023</v>
      </c>
      <c r="M1049" s="13">
        <f>MONTH(Weekly_Prices[[#This Row],[Date]])</f>
        <v>7</v>
      </c>
      <c r="N1049" s="3" t="str">
        <f>TEXT(Weekly_Prices[[#This Row],[Date]],"MMMM")</f>
        <v>July</v>
      </c>
      <c r="O1049" s="3" t="str">
        <f>YEAR(Weekly_Prices[[#This Row],[Date]])&amp;"-"&amp;TEXT(WEEKNUM(Weekly_Prices[[#This Row],[Date]],2),"00")</f>
        <v>2023-28</v>
      </c>
    </row>
    <row r="1050" spans="1:15" x14ac:dyDescent="0.35">
      <c r="A1050" s="2">
        <v>45117</v>
      </c>
      <c r="B1050" s="3">
        <v>142.87288899999999</v>
      </c>
      <c r="C1050" s="4">
        <f t="shared" si="64"/>
        <v>-0.52379500000000689</v>
      </c>
      <c r="D1050" s="4">
        <f t="shared" si="62"/>
        <v>-47.752241000000026</v>
      </c>
      <c r="E1050" s="3">
        <v>52.95</v>
      </c>
      <c r="F1050" s="3">
        <v>20</v>
      </c>
      <c r="G1050" s="3">
        <v>144.73065800000001</v>
      </c>
      <c r="H1050" s="4">
        <f t="shared" si="65"/>
        <v>-0.78585599999999545</v>
      </c>
      <c r="I1050" s="4">
        <f t="shared" si="63"/>
        <v>-54.009342000000004</v>
      </c>
      <c r="J1050" s="3">
        <v>52.95</v>
      </c>
      <c r="K1050" s="3">
        <v>20</v>
      </c>
      <c r="L1050" s="13">
        <f>YEAR(Weekly_Prices[[#This Row],[Date]])</f>
        <v>2023</v>
      </c>
      <c r="M1050" s="13">
        <f>MONTH(Weekly_Prices[[#This Row],[Date]])</f>
        <v>7</v>
      </c>
      <c r="N1050" s="3" t="str">
        <f>TEXT(Weekly_Prices[[#This Row],[Date]],"MMMM")</f>
        <v>July</v>
      </c>
      <c r="O1050" s="3" t="str">
        <f>YEAR(Weekly_Prices[[#This Row],[Date]])&amp;"-"&amp;TEXT(WEEKNUM(Weekly_Prices[[#This Row],[Date]],2),"00")</f>
        <v>2023-29</v>
      </c>
    </row>
    <row r="1051" spans="1:15" x14ac:dyDescent="0.35">
      <c r="A1051" s="2">
        <v>45124</v>
      </c>
      <c r="B1051" s="3">
        <v>142.76610299999999</v>
      </c>
      <c r="C1051" s="4">
        <f t="shared" si="64"/>
        <v>-0.1067859999999996</v>
      </c>
      <c r="D1051" s="4">
        <f t="shared" si="62"/>
        <v>-46.150980000000004</v>
      </c>
      <c r="E1051" s="3">
        <v>52.95</v>
      </c>
      <c r="F1051" s="3">
        <v>20</v>
      </c>
      <c r="G1051" s="3">
        <v>144.63642700000003</v>
      </c>
      <c r="H1051" s="4">
        <f t="shared" si="65"/>
        <v>-9.4230999999979304E-2</v>
      </c>
      <c r="I1051" s="4">
        <f t="shared" si="63"/>
        <v>-52.893572999999975</v>
      </c>
      <c r="J1051" s="3">
        <v>52.95</v>
      </c>
      <c r="K1051" s="3">
        <v>20</v>
      </c>
      <c r="L1051" s="13">
        <f>YEAR(Weekly_Prices[[#This Row],[Date]])</f>
        <v>2023</v>
      </c>
      <c r="M1051" s="13">
        <f>MONTH(Weekly_Prices[[#This Row],[Date]])</f>
        <v>7</v>
      </c>
      <c r="N1051" s="3" t="str">
        <f>TEXT(Weekly_Prices[[#This Row],[Date]],"MMMM")</f>
        <v>July</v>
      </c>
      <c r="O1051" s="3" t="str">
        <f>YEAR(Weekly_Prices[[#This Row],[Date]])&amp;"-"&amp;TEXT(WEEKNUM(Weekly_Prices[[#This Row],[Date]],2),"00")</f>
        <v>2023-30</v>
      </c>
    </row>
    <row r="1052" spans="1:15" x14ac:dyDescent="0.35">
      <c r="A1052" s="2">
        <v>45131</v>
      </c>
      <c r="B1052" s="3">
        <v>142.95764400000002</v>
      </c>
      <c r="C1052" s="4">
        <f t="shared" si="64"/>
        <v>0.19154100000002927</v>
      </c>
      <c r="D1052" s="4">
        <f t="shared" si="62"/>
        <v>-43.642851000000007</v>
      </c>
      <c r="E1052" s="3">
        <v>52.95</v>
      </c>
      <c r="F1052" s="3">
        <v>20</v>
      </c>
      <c r="G1052" s="3">
        <v>145.13000299999999</v>
      </c>
      <c r="H1052" s="4">
        <f t="shared" si="65"/>
        <v>0.49357599999996182</v>
      </c>
      <c r="I1052" s="4">
        <f t="shared" si="63"/>
        <v>-50.749997000000008</v>
      </c>
      <c r="J1052" s="3">
        <v>52.95</v>
      </c>
      <c r="K1052" s="3">
        <v>20</v>
      </c>
      <c r="L1052" s="13">
        <f>YEAR(Weekly_Prices[[#This Row],[Date]])</f>
        <v>2023</v>
      </c>
      <c r="M1052" s="13">
        <f>MONTH(Weekly_Prices[[#This Row],[Date]])</f>
        <v>7</v>
      </c>
      <c r="N1052" s="3" t="str">
        <f>TEXT(Weekly_Prices[[#This Row],[Date]],"MMMM")</f>
        <v>July</v>
      </c>
      <c r="O1052" s="3" t="str">
        <f>YEAR(Weekly_Prices[[#This Row],[Date]])&amp;"-"&amp;TEXT(WEEKNUM(Weekly_Prices[[#This Row],[Date]],2),"00")</f>
        <v>2023-31</v>
      </c>
    </row>
    <row r="1053" spans="1:15" x14ac:dyDescent="0.35">
      <c r="A1053" s="2">
        <v>45138</v>
      </c>
      <c r="B1053" s="3">
        <v>144.13136499999996</v>
      </c>
      <c r="C1053" s="4">
        <f t="shared" si="64"/>
        <v>1.1737209999999436</v>
      </c>
      <c r="D1053" s="4">
        <f t="shared" si="62"/>
        <v>-38.637107000000015</v>
      </c>
      <c r="E1053" s="3">
        <v>52.95</v>
      </c>
      <c r="F1053" s="3">
        <v>20</v>
      </c>
      <c r="G1053" s="3">
        <v>145.94888599999999</v>
      </c>
      <c r="H1053" s="4">
        <f t="shared" si="65"/>
        <v>0.81888299999999958</v>
      </c>
      <c r="I1053" s="4">
        <f t="shared" si="63"/>
        <v>-47.091114000000005</v>
      </c>
      <c r="J1053" s="3">
        <v>52.95</v>
      </c>
      <c r="K1053" s="3">
        <v>20</v>
      </c>
      <c r="L1053" s="13">
        <f>YEAR(Weekly_Prices[[#This Row],[Date]])</f>
        <v>2023</v>
      </c>
      <c r="M1053" s="13">
        <f>MONTH(Weekly_Prices[[#This Row],[Date]])</f>
        <v>7</v>
      </c>
      <c r="N1053" s="3" t="str">
        <f>TEXT(Weekly_Prices[[#This Row],[Date]],"MMMM")</f>
        <v>July</v>
      </c>
      <c r="O1053" s="3" t="str">
        <f>YEAR(Weekly_Prices[[#This Row],[Date]])&amp;"-"&amp;TEXT(WEEKNUM(Weekly_Prices[[#This Row],[Date]],2),"00")</f>
        <v>2023-32</v>
      </c>
    </row>
    <row r="1054" spans="1:15" x14ac:dyDescent="0.35">
      <c r="A1054" s="2">
        <v>45145</v>
      </c>
      <c r="B1054" s="3">
        <v>146.17518299999998</v>
      </c>
      <c r="C1054" s="4">
        <f t="shared" si="64"/>
        <v>2.0438180000000159</v>
      </c>
      <c r="D1054" s="4">
        <f t="shared" si="62"/>
        <v>-31.465589000000051</v>
      </c>
      <c r="E1054" s="3">
        <v>52.95</v>
      </c>
      <c r="F1054" s="3">
        <v>20</v>
      </c>
      <c r="G1054" s="3">
        <v>148.22952800000002</v>
      </c>
      <c r="H1054" s="4">
        <f t="shared" si="65"/>
        <v>2.2806420000000287</v>
      </c>
      <c r="I1054" s="4">
        <f t="shared" si="63"/>
        <v>-40.260471999999993</v>
      </c>
      <c r="J1054" s="3">
        <v>52.95</v>
      </c>
      <c r="K1054" s="3">
        <v>20</v>
      </c>
      <c r="L1054" s="13">
        <f>YEAR(Weekly_Prices[[#This Row],[Date]])</f>
        <v>2023</v>
      </c>
      <c r="M1054" s="13">
        <f>MONTH(Weekly_Prices[[#This Row],[Date]])</f>
        <v>8</v>
      </c>
      <c r="N1054" s="3" t="str">
        <f>TEXT(Weekly_Prices[[#This Row],[Date]],"MMMM")</f>
        <v>August</v>
      </c>
      <c r="O1054" s="3" t="str">
        <f>YEAR(Weekly_Prices[[#This Row],[Date]])&amp;"-"&amp;TEXT(WEEKNUM(Weekly_Prices[[#This Row],[Date]],2),"00")</f>
        <v>2023-33</v>
      </c>
    </row>
    <row r="1055" spans="1:15" x14ac:dyDescent="0.35">
      <c r="A1055" s="2">
        <v>45152</v>
      </c>
      <c r="B1055" s="3">
        <v>147.77280099999999</v>
      </c>
      <c r="C1055" s="4">
        <f t="shared" si="64"/>
        <v>1.5976180000000113</v>
      </c>
      <c r="D1055" s="4">
        <f t="shared" si="62"/>
        <v>-26.414729999999992</v>
      </c>
      <c r="E1055" s="3">
        <v>52.95</v>
      </c>
      <c r="F1055" s="3">
        <v>20</v>
      </c>
      <c r="G1055" s="3">
        <v>150.373794</v>
      </c>
      <c r="H1055" s="4">
        <f t="shared" si="65"/>
        <v>2.1442659999999876</v>
      </c>
      <c r="I1055" s="4">
        <f t="shared" si="63"/>
        <v>-34.786205999999993</v>
      </c>
      <c r="J1055" s="3">
        <v>52.95</v>
      </c>
      <c r="K1055" s="3">
        <v>20</v>
      </c>
      <c r="L1055" s="13">
        <f>YEAR(Weekly_Prices[[#This Row],[Date]])</f>
        <v>2023</v>
      </c>
      <c r="M1055" s="13">
        <f>MONTH(Weekly_Prices[[#This Row],[Date]])</f>
        <v>8</v>
      </c>
      <c r="N1055" s="3" t="str">
        <f>TEXT(Weekly_Prices[[#This Row],[Date]],"MMMM")</f>
        <v>August</v>
      </c>
      <c r="O1055" s="3" t="str">
        <f>YEAR(Weekly_Prices[[#This Row],[Date]])&amp;"-"&amp;TEXT(WEEKNUM(Weekly_Prices[[#This Row],[Date]],2),"00")</f>
        <v>2023-34</v>
      </c>
    </row>
    <row r="1056" spans="1:15" x14ac:dyDescent="0.35">
      <c r="A1056" s="2">
        <v>45159</v>
      </c>
      <c r="B1056" s="3">
        <v>149.40349000000001</v>
      </c>
      <c r="C1056" s="4">
        <f t="shared" si="64"/>
        <v>1.630689000000018</v>
      </c>
      <c r="D1056" s="4">
        <f t="shared" si="62"/>
        <v>-21.738793999999984</v>
      </c>
      <c r="E1056" s="3">
        <v>52.95</v>
      </c>
      <c r="F1056" s="3">
        <v>20</v>
      </c>
      <c r="G1056" s="3">
        <v>152.14298300000002</v>
      </c>
      <c r="H1056" s="4">
        <f t="shared" si="65"/>
        <v>1.7691890000000114</v>
      </c>
      <c r="I1056" s="4">
        <f t="shared" si="63"/>
        <v>-30.777016999999972</v>
      </c>
      <c r="J1056" s="3">
        <v>52.95</v>
      </c>
      <c r="K1056" s="3">
        <v>20</v>
      </c>
      <c r="L1056" s="13">
        <f>YEAR(Weekly_Prices[[#This Row],[Date]])</f>
        <v>2023</v>
      </c>
      <c r="M1056" s="13">
        <f>MONTH(Weekly_Prices[[#This Row],[Date]])</f>
        <v>8</v>
      </c>
      <c r="N1056" s="3" t="str">
        <f>TEXT(Weekly_Prices[[#This Row],[Date]],"MMMM")</f>
        <v>August</v>
      </c>
      <c r="O1056" s="3" t="str">
        <f>YEAR(Weekly_Prices[[#This Row],[Date]])&amp;"-"&amp;TEXT(WEEKNUM(Weekly_Prices[[#This Row],[Date]],2),"00")</f>
        <v>2023-35</v>
      </c>
    </row>
    <row r="1057" spans="1:15" x14ac:dyDescent="0.35">
      <c r="A1057" s="2">
        <v>45166</v>
      </c>
      <c r="B1057" s="3">
        <v>150.732888</v>
      </c>
      <c r="C1057" s="4">
        <f t="shared" si="64"/>
        <v>1.3293979999999976</v>
      </c>
      <c r="D1057" s="4">
        <f t="shared" si="62"/>
        <v>-19.385813999999982</v>
      </c>
      <c r="E1057" s="3">
        <v>52.95</v>
      </c>
      <c r="F1057" s="3">
        <v>20</v>
      </c>
      <c r="G1057" s="3">
        <v>153.52133200000003</v>
      </c>
      <c r="H1057" s="4">
        <f t="shared" si="65"/>
        <v>1.3783490000000143</v>
      </c>
      <c r="I1057" s="4">
        <f t="shared" si="63"/>
        <v>-29.678667999999959</v>
      </c>
      <c r="J1057" s="3">
        <v>52.95</v>
      </c>
      <c r="K1057" s="3">
        <v>20</v>
      </c>
      <c r="L1057" s="13">
        <f>YEAR(Weekly_Prices[[#This Row],[Date]])</f>
        <v>2023</v>
      </c>
      <c r="M1057" s="13">
        <f>MONTH(Weekly_Prices[[#This Row],[Date]])</f>
        <v>8</v>
      </c>
      <c r="N1057" s="3" t="str">
        <f>TEXT(Weekly_Prices[[#This Row],[Date]],"MMMM")</f>
        <v>August</v>
      </c>
      <c r="O1057" s="3" t="str">
        <f>YEAR(Weekly_Prices[[#This Row],[Date]])&amp;"-"&amp;TEXT(WEEKNUM(Weekly_Prices[[#This Row],[Date]],2),"00")</f>
        <v>2023-36</v>
      </c>
    </row>
    <row r="1058" spans="1:15" x14ac:dyDescent="0.35">
      <c r="A1058" s="2">
        <v>45173</v>
      </c>
      <c r="B1058" s="3">
        <v>151.70963200000003</v>
      </c>
      <c r="C1058" s="4">
        <f t="shared" si="64"/>
        <v>0.97674400000002493</v>
      </c>
      <c r="D1058" s="4">
        <f t="shared" si="62"/>
        <v>-17.217313999999959</v>
      </c>
      <c r="E1058" s="3">
        <v>52.95</v>
      </c>
      <c r="F1058" s="3">
        <v>20</v>
      </c>
      <c r="G1058" s="3">
        <v>154.64606999999998</v>
      </c>
      <c r="H1058" s="4">
        <f t="shared" si="65"/>
        <v>1.1247379999999509</v>
      </c>
      <c r="I1058" s="4">
        <f t="shared" si="63"/>
        <v>-28.173930000000013</v>
      </c>
      <c r="J1058" s="3">
        <v>52.95</v>
      </c>
      <c r="K1058" s="3">
        <v>20</v>
      </c>
      <c r="L1058" s="13">
        <f>YEAR(Weekly_Prices[[#This Row],[Date]])</f>
        <v>2023</v>
      </c>
      <c r="M1058" s="13">
        <f>MONTH(Weekly_Prices[[#This Row],[Date]])</f>
        <v>9</v>
      </c>
      <c r="N1058" s="3" t="str">
        <f>TEXT(Weekly_Prices[[#This Row],[Date]],"MMMM")</f>
        <v>September</v>
      </c>
      <c r="O1058" s="3" t="str">
        <f>YEAR(Weekly_Prices[[#This Row],[Date]])&amp;"-"&amp;TEXT(WEEKNUM(Weekly_Prices[[#This Row],[Date]],2),"00")</f>
        <v>2023-37</v>
      </c>
    </row>
    <row r="1059" spans="1:15" x14ac:dyDescent="0.35">
      <c r="A1059" s="2">
        <v>45180</v>
      </c>
      <c r="B1059" s="3">
        <v>153.09505400000003</v>
      </c>
      <c r="C1059" s="4">
        <f t="shared" si="64"/>
        <v>1.3854220000000055</v>
      </c>
      <c r="D1059" s="4">
        <f t="shared" si="62"/>
        <v>-14.514280999999954</v>
      </c>
      <c r="E1059" s="3">
        <v>52.95</v>
      </c>
      <c r="F1059" s="3">
        <v>20</v>
      </c>
      <c r="G1059" s="3">
        <v>156.147277</v>
      </c>
      <c r="H1059" s="4">
        <f t="shared" si="65"/>
        <v>1.5012070000000222</v>
      </c>
      <c r="I1059" s="4">
        <f t="shared" si="63"/>
        <v>-26.072722999999996</v>
      </c>
      <c r="J1059" s="3">
        <v>52.95</v>
      </c>
      <c r="K1059" s="3">
        <v>20</v>
      </c>
      <c r="L1059" s="13">
        <f>YEAR(Weekly_Prices[[#This Row],[Date]])</f>
        <v>2023</v>
      </c>
      <c r="M1059" s="13">
        <f>MONTH(Weekly_Prices[[#This Row],[Date]])</f>
        <v>9</v>
      </c>
      <c r="N1059" s="3" t="str">
        <f>TEXT(Weekly_Prices[[#This Row],[Date]],"MMMM")</f>
        <v>September</v>
      </c>
      <c r="O1059" s="3" t="str">
        <f>YEAR(Weekly_Prices[[#This Row],[Date]])&amp;"-"&amp;TEXT(WEEKNUM(Weekly_Prices[[#This Row],[Date]],2),"00")</f>
        <v>2023-38</v>
      </c>
    </row>
    <row r="1060" spans="1:15" x14ac:dyDescent="0.35">
      <c r="A1060" s="2">
        <v>45187</v>
      </c>
      <c r="B1060" s="3">
        <v>154.06309099999999</v>
      </c>
      <c r="C1060" s="4">
        <f t="shared" si="64"/>
        <v>0.96803699999995274</v>
      </c>
      <c r="D1060" s="4">
        <f t="shared" si="62"/>
        <v>-11.409491000000003</v>
      </c>
      <c r="E1060" s="3">
        <v>52.95</v>
      </c>
      <c r="F1060" s="3">
        <v>20</v>
      </c>
      <c r="G1060" s="3">
        <v>158.15800800000002</v>
      </c>
      <c r="H1060" s="4">
        <f t="shared" si="65"/>
        <v>2.0107310000000211</v>
      </c>
      <c r="I1060" s="4">
        <f t="shared" si="63"/>
        <v>-22.971991999999972</v>
      </c>
      <c r="J1060" s="3">
        <v>52.95</v>
      </c>
      <c r="K1060" s="3">
        <v>20</v>
      </c>
      <c r="L1060" s="13">
        <f>YEAR(Weekly_Prices[[#This Row],[Date]])</f>
        <v>2023</v>
      </c>
      <c r="M1060" s="13">
        <f>MONTH(Weekly_Prices[[#This Row],[Date]])</f>
        <v>9</v>
      </c>
      <c r="N1060" s="3" t="str">
        <f>TEXT(Weekly_Prices[[#This Row],[Date]],"MMMM")</f>
        <v>September</v>
      </c>
      <c r="O1060" s="3" t="str">
        <f>YEAR(Weekly_Prices[[#This Row],[Date]])&amp;"-"&amp;TEXT(WEEKNUM(Weekly_Prices[[#This Row],[Date]],2),"00")</f>
        <v>2023-39</v>
      </c>
    </row>
    <row r="1061" spans="1:15" x14ac:dyDescent="0.35">
      <c r="A1061" s="2">
        <v>45194</v>
      </c>
      <c r="B1061" s="3">
        <v>155.41274999999999</v>
      </c>
      <c r="C1061" s="4">
        <f t="shared" si="64"/>
        <v>1.3496590000000026</v>
      </c>
      <c r="D1061" s="4">
        <f t="shared" si="62"/>
        <v>-8.5900090000000375</v>
      </c>
      <c r="E1061" s="3">
        <v>52.95</v>
      </c>
      <c r="F1061" s="3">
        <v>20</v>
      </c>
      <c r="G1061" s="3">
        <v>160.611538</v>
      </c>
      <c r="H1061" s="4">
        <f t="shared" si="65"/>
        <v>2.4535299999999722</v>
      </c>
      <c r="I1061" s="4">
        <f t="shared" si="63"/>
        <v>-19.848462000000012</v>
      </c>
      <c r="J1061" s="3">
        <v>52.95</v>
      </c>
      <c r="K1061" s="3">
        <v>20</v>
      </c>
      <c r="L1061" s="13">
        <f>YEAR(Weekly_Prices[[#This Row],[Date]])</f>
        <v>2023</v>
      </c>
      <c r="M1061" s="13">
        <f>MONTH(Weekly_Prices[[#This Row],[Date]])</f>
        <v>9</v>
      </c>
      <c r="N1061" s="3" t="str">
        <f>TEXT(Weekly_Prices[[#This Row],[Date]],"MMMM")</f>
        <v>September</v>
      </c>
      <c r="O1061" s="3" t="str">
        <f>YEAR(Weekly_Prices[[#This Row],[Date]])&amp;"-"&amp;TEXT(WEEKNUM(Weekly_Prices[[#This Row],[Date]],2),"00")</f>
        <v>2023-40</v>
      </c>
    </row>
    <row r="1062" spans="1:15" x14ac:dyDescent="0.35">
      <c r="A1062" s="2">
        <v>45201</v>
      </c>
      <c r="B1062" s="3">
        <v>156.01705399999997</v>
      </c>
      <c r="C1062" s="4">
        <f t="shared" si="64"/>
        <v>0.60430399999998485</v>
      </c>
      <c r="D1062" s="4">
        <f t="shared" si="62"/>
        <v>-6.6497980000000325</v>
      </c>
      <c r="E1062" s="3">
        <v>52.95</v>
      </c>
      <c r="F1062" s="3">
        <v>20</v>
      </c>
      <c r="G1062" s="3">
        <v>162.15268499999999</v>
      </c>
      <c r="H1062" s="4">
        <f t="shared" si="65"/>
        <v>1.5411469999999952</v>
      </c>
      <c r="I1062" s="4">
        <f t="shared" si="63"/>
        <v>-17.887315000000001</v>
      </c>
      <c r="J1062" s="3">
        <v>52.95</v>
      </c>
      <c r="K1062" s="3">
        <v>20</v>
      </c>
      <c r="L1062" s="13">
        <f>YEAR(Weekly_Prices[[#This Row],[Date]])</f>
        <v>2023</v>
      </c>
      <c r="M1062" s="13">
        <f>MONTH(Weekly_Prices[[#This Row],[Date]])</f>
        <v>10</v>
      </c>
      <c r="N1062" s="3" t="str">
        <f>TEXT(Weekly_Prices[[#This Row],[Date]],"MMMM")</f>
        <v>October</v>
      </c>
      <c r="O1062" s="3" t="str">
        <f>YEAR(Weekly_Prices[[#This Row],[Date]])&amp;"-"&amp;TEXT(WEEKNUM(Weekly_Prices[[#This Row],[Date]],2),"00")</f>
        <v>2023-41</v>
      </c>
    </row>
    <row r="1063" spans="1:15" x14ac:dyDescent="0.35">
      <c r="A1063" s="2">
        <v>45208</v>
      </c>
      <c r="B1063" s="3">
        <v>155.942555</v>
      </c>
      <c r="C1063" s="4">
        <f t="shared" si="64"/>
        <v>-7.4498999999974558E-2</v>
      </c>
      <c r="D1063" s="4">
        <f t="shared" si="62"/>
        <v>-6.1435800000000143</v>
      </c>
      <c r="E1063" s="3">
        <v>52.95</v>
      </c>
      <c r="F1063" s="3">
        <v>20</v>
      </c>
      <c r="G1063" s="3">
        <v>162.49299999999999</v>
      </c>
      <c r="H1063" s="4">
        <f t="shared" si="65"/>
        <v>0.34031500000000392</v>
      </c>
      <c r="I1063" s="4">
        <f t="shared" si="63"/>
        <v>-18.266999999999996</v>
      </c>
      <c r="J1063" s="3">
        <v>52.95</v>
      </c>
      <c r="K1063" s="3">
        <v>20</v>
      </c>
      <c r="L1063" s="13">
        <f>YEAR(Weekly_Prices[[#This Row],[Date]])</f>
        <v>2023</v>
      </c>
      <c r="M1063" s="13">
        <f>MONTH(Weekly_Prices[[#This Row],[Date]])</f>
        <v>10</v>
      </c>
      <c r="N1063" s="3" t="str">
        <f>TEXT(Weekly_Prices[[#This Row],[Date]],"MMMM")</f>
        <v>October</v>
      </c>
      <c r="O1063" s="3" t="str">
        <f>YEAR(Weekly_Prices[[#This Row],[Date]])&amp;"-"&amp;TEXT(WEEKNUM(Weekly_Prices[[#This Row],[Date]],2),"00")</f>
        <v>2023-42</v>
      </c>
    </row>
    <row r="1064" spans="1:15" x14ac:dyDescent="0.35">
      <c r="A1064" s="2">
        <v>45215</v>
      </c>
      <c r="B1064" s="3">
        <v>155.085328</v>
      </c>
      <c r="C1064" s="4">
        <f t="shared" si="64"/>
        <v>-0.85722699999999463</v>
      </c>
      <c r="D1064" s="4">
        <f t="shared" si="62"/>
        <v>-7.7206280000000334</v>
      </c>
      <c r="E1064" s="3">
        <v>52.95</v>
      </c>
      <c r="F1064" s="3">
        <v>20</v>
      </c>
      <c r="G1064" s="3">
        <v>162.30953799999997</v>
      </c>
      <c r="H1064" s="4">
        <f t="shared" si="65"/>
        <v>-0.18346200000002</v>
      </c>
      <c r="I1064" s="4">
        <f t="shared" si="63"/>
        <v>-19.548636000000045</v>
      </c>
      <c r="J1064" s="3">
        <v>52.95</v>
      </c>
      <c r="K1064" s="3">
        <v>20</v>
      </c>
      <c r="L1064" s="13">
        <f>YEAR(Weekly_Prices[[#This Row],[Date]])</f>
        <v>2023</v>
      </c>
      <c r="M1064" s="13">
        <f>MONTH(Weekly_Prices[[#This Row],[Date]])</f>
        <v>10</v>
      </c>
      <c r="N1064" s="3" t="str">
        <f>TEXT(Weekly_Prices[[#This Row],[Date]],"MMMM")</f>
        <v>October</v>
      </c>
      <c r="O1064" s="3" t="str">
        <f>YEAR(Weekly_Prices[[#This Row],[Date]])&amp;"-"&amp;TEXT(WEEKNUM(Weekly_Prices[[#This Row],[Date]],2),"00")</f>
        <v>2023-43</v>
      </c>
    </row>
    <row r="1065" spans="1:15" x14ac:dyDescent="0.35">
      <c r="A1065" s="2">
        <v>45222</v>
      </c>
      <c r="B1065" s="3">
        <v>154.63084599999999</v>
      </c>
      <c r="C1065" s="4">
        <f t="shared" si="64"/>
        <v>-0.45448200000001293</v>
      </c>
      <c r="D1065" s="4">
        <f t="shared" si="62"/>
        <v>-9.9883020000000045</v>
      </c>
      <c r="E1065" s="3">
        <v>52.95</v>
      </c>
      <c r="F1065" s="3">
        <v>20</v>
      </c>
      <c r="G1065" s="3">
        <v>162.19093700000002</v>
      </c>
      <c r="H1065" s="4">
        <f t="shared" si="65"/>
        <v>-0.11860099999995555</v>
      </c>
      <c r="I1065" s="4">
        <f t="shared" si="63"/>
        <v>-25.105401000000001</v>
      </c>
      <c r="J1065" s="3">
        <v>52.95</v>
      </c>
      <c r="K1065" s="3">
        <v>20</v>
      </c>
      <c r="L1065" s="13">
        <f>YEAR(Weekly_Prices[[#This Row],[Date]])</f>
        <v>2023</v>
      </c>
      <c r="M1065" s="13">
        <f>MONTH(Weekly_Prices[[#This Row],[Date]])</f>
        <v>10</v>
      </c>
      <c r="N1065" s="3" t="str">
        <f>TEXT(Weekly_Prices[[#This Row],[Date]],"MMMM")</f>
        <v>October</v>
      </c>
      <c r="O1065" s="3" t="str">
        <f>YEAR(Weekly_Prices[[#This Row],[Date]])&amp;"-"&amp;TEXT(WEEKNUM(Weekly_Prices[[#This Row],[Date]],2),"00")</f>
        <v>2023-44</v>
      </c>
    </row>
    <row r="1066" spans="1:15" x14ac:dyDescent="0.35">
      <c r="A1066" s="2">
        <v>45229</v>
      </c>
      <c r="B1066" s="3">
        <v>153.973456</v>
      </c>
      <c r="C1066" s="4">
        <f t="shared" si="64"/>
        <v>-0.65738999999999237</v>
      </c>
      <c r="D1066" s="4">
        <f t="shared" si="62"/>
        <v>-11.89845200000002</v>
      </c>
      <c r="E1066" s="3">
        <v>52.95</v>
      </c>
      <c r="F1066" s="3">
        <v>20</v>
      </c>
      <c r="G1066" s="3">
        <v>161.75627500000002</v>
      </c>
      <c r="H1066" s="4">
        <f t="shared" si="65"/>
        <v>-0.43466200000000299</v>
      </c>
      <c r="I1066" s="4">
        <f t="shared" si="63"/>
        <v>-28.010794999999973</v>
      </c>
      <c r="J1066" s="3">
        <v>52.95</v>
      </c>
      <c r="K1066" s="3">
        <v>20</v>
      </c>
      <c r="L1066" s="13">
        <f>YEAR(Weekly_Prices[[#This Row],[Date]])</f>
        <v>2023</v>
      </c>
      <c r="M1066" s="13">
        <f>MONTH(Weekly_Prices[[#This Row],[Date]])</f>
        <v>10</v>
      </c>
      <c r="N1066" s="3" t="str">
        <f>TEXT(Weekly_Prices[[#This Row],[Date]],"MMMM")</f>
        <v>October</v>
      </c>
      <c r="O1066" s="3" t="str">
        <f>YEAR(Weekly_Prices[[#This Row],[Date]])&amp;"-"&amp;TEXT(WEEKNUM(Weekly_Prices[[#This Row],[Date]],2),"00")</f>
        <v>2023-45</v>
      </c>
    </row>
    <row r="1067" spans="1:15" x14ac:dyDescent="0.35">
      <c r="A1067" s="2">
        <v>45236</v>
      </c>
      <c r="B1067" s="3">
        <v>153.20476600000001</v>
      </c>
      <c r="C1067" s="4">
        <f t="shared" si="64"/>
        <v>-0.76868999999999232</v>
      </c>
      <c r="D1067" s="4">
        <f t="shared" si="62"/>
        <v>-12.412203999999974</v>
      </c>
      <c r="E1067" s="3">
        <v>52.95</v>
      </c>
      <c r="F1067" s="3">
        <v>20</v>
      </c>
      <c r="G1067" s="3">
        <v>160.85994699999998</v>
      </c>
      <c r="H1067" s="4">
        <f t="shared" si="65"/>
        <v>-0.89632800000003954</v>
      </c>
      <c r="I1067" s="4">
        <f t="shared" si="63"/>
        <v>-28.934138000000019</v>
      </c>
      <c r="J1067" s="3">
        <v>52.95</v>
      </c>
      <c r="K1067" s="3">
        <v>20</v>
      </c>
      <c r="L1067" s="13">
        <f>YEAR(Weekly_Prices[[#This Row],[Date]])</f>
        <v>2023</v>
      </c>
      <c r="M1067" s="13">
        <f>MONTH(Weekly_Prices[[#This Row],[Date]])</f>
        <v>11</v>
      </c>
      <c r="N1067" s="3" t="str">
        <f>TEXT(Weekly_Prices[[#This Row],[Date]],"MMMM")</f>
        <v>November</v>
      </c>
      <c r="O1067" s="3" t="str">
        <f>YEAR(Weekly_Prices[[#This Row],[Date]])&amp;"-"&amp;TEXT(WEEKNUM(Weekly_Prices[[#This Row],[Date]],2),"00")</f>
        <v>2023-46</v>
      </c>
    </row>
    <row r="1068" spans="1:15" x14ac:dyDescent="0.35">
      <c r="A1068" s="2">
        <v>45243</v>
      </c>
      <c r="B1068" s="3">
        <v>152.39060900000001</v>
      </c>
      <c r="C1068" s="4">
        <f t="shared" si="64"/>
        <v>-0.81415699999999447</v>
      </c>
      <c r="D1068" s="4">
        <f t="shared" si="62"/>
        <v>-12.013346999999982</v>
      </c>
      <c r="E1068" s="3">
        <v>52.95</v>
      </c>
      <c r="F1068" s="3">
        <v>20</v>
      </c>
      <c r="G1068" s="3">
        <v>160.38662900000003</v>
      </c>
      <c r="H1068" s="4">
        <f t="shared" si="65"/>
        <v>-0.47331799999994928</v>
      </c>
      <c r="I1068" s="4">
        <f t="shared" si="63"/>
        <v>-28.463370999999967</v>
      </c>
      <c r="J1068" s="3">
        <v>52.95</v>
      </c>
      <c r="K1068" s="3">
        <v>20</v>
      </c>
      <c r="L1068" s="13">
        <f>YEAR(Weekly_Prices[[#This Row],[Date]])</f>
        <v>2023</v>
      </c>
      <c r="M1068" s="13">
        <f>MONTH(Weekly_Prices[[#This Row],[Date]])</f>
        <v>11</v>
      </c>
      <c r="N1068" s="3" t="str">
        <f>TEXT(Weekly_Prices[[#This Row],[Date]],"MMMM")</f>
        <v>November</v>
      </c>
      <c r="O1068" s="3" t="str">
        <f>YEAR(Weekly_Prices[[#This Row],[Date]])&amp;"-"&amp;TEXT(WEEKNUM(Weekly_Prices[[#This Row],[Date]],2),"00")</f>
        <v>2023-47</v>
      </c>
    </row>
    <row r="1069" spans="1:15" x14ac:dyDescent="0.35">
      <c r="A1069" s="2">
        <v>45250</v>
      </c>
      <c r="B1069" s="3">
        <v>150.50029700000002</v>
      </c>
      <c r="C1069" s="4">
        <f t="shared" si="64"/>
        <v>-1.8903119999999944</v>
      </c>
      <c r="D1069" s="4">
        <f t="shared" si="62"/>
        <v>-12.775960999999995</v>
      </c>
      <c r="E1069" s="3">
        <v>52.95</v>
      </c>
      <c r="F1069" s="3">
        <v>20</v>
      </c>
      <c r="G1069" s="3">
        <v>158.44112499999997</v>
      </c>
      <c r="H1069" s="4">
        <f t="shared" si="65"/>
        <v>-1.9455040000000565</v>
      </c>
      <c r="I1069" s="4">
        <f t="shared" si="63"/>
        <v>-29.128875000000022</v>
      </c>
      <c r="J1069" s="3">
        <v>52.95</v>
      </c>
      <c r="K1069" s="3">
        <v>20</v>
      </c>
      <c r="L1069" s="13">
        <f>YEAR(Weekly_Prices[[#This Row],[Date]])</f>
        <v>2023</v>
      </c>
      <c r="M1069" s="13">
        <f>MONTH(Weekly_Prices[[#This Row],[Date]])</f>
        <v>11</v>
      </c>
      <c r="N1069" s="3" t="str">
        <f>TEXT(Weekly_Prices[[#This Row],[Date]],"MMMM")</f>
        <v>November</v>
      </c>
      <c r="O1069" s="3" t="str">
        <f>YEAR(Weekly_Prices[[#This Row],[Date]])&amp;"-"&amp;TEXT(WEEKNUM(Weekly_Prices[[#This Row],[Date]],2),"00")</f>
        <v>2023-48</v>
      </c>
    </row>
    <row r="1070" spans="1:15" x14ac:dyDescent="0.35">
      <c r="A1070" s="2">
        <v>45257</v>
      </c>
      <c r="B1070" s="3">
        <v>147.99245999999999</v>
      </c>
      <c r="C1070" s="4">
        <f t="shared" si="64"/>
        <v>-2.5078370000000234</v>
      </c>
      <c r="D1070" s="4">
        <f t="shared" si="62"/>
        <v>-13.140577000000008</v>
      </c>
      <c r="E1070" s="3">
        <v>52.95</v>
      </c>
      <c r="F1070" s="3">
        <v>20</v>
      </c>
      <c r="G1070" s="3">
        <v>156.18327599999998</v>
      </c>
      <c r="H1070" s="4">
        <f t="shared" si="65"/>
        <v>-2.2578489999999931</v>
      </c>
      <c r="I1070" s="4">
        <f t="shared" si="63"/>
        <v>-29.386724000000015</v>
      </c>
      <c r="J1070" s="3">
        <v>52.95</v>
      </c>
      <c r="K1070" s="3">
        <v>20</v>
      </c>
      <c r="L1070" s="13">
        <f>YEAR(Weekly_Prices[[#This Row],[Date]])</f>
        <v>2023</v>
      </c>
      <c r="M1070" s="13">
        <f>MONTH(Weekly_Prices[[#This Row],[Date]])</f>
        <v>11</v>
      </c>
      <c r="N1070" s="3" t="str">
        <f>TEXT(Weekly_Prices[[#This Row],[Date]],"MMMM")</f>
        <v>November</v>
      </c>
      <c r="O1070" s="3" t="str">
        <f>YEAR(Weekly_Prices[[#This Row],[Date]])&amp;"-"&amp;TEXT(WEEKNUM(Weekly_Prices[[#This Row],[Date]],2),"00")</f>
        <v>2023-49</v>
      </c>
    </row>
    <row r="1071" spans="1:15" x14ac:dyDescent="0.35">
      <c r="A1071" s="2">
        <v>45264</v>
      </c>
      <c r="B1071" s="3">
        <v>145.71497000000002</v>
      </c>
      <c r="C1071" s="4">
        <f t="shared" si="64"/>
        <v>-2.2774899999999718</v>
      </c>
      <c r="D1071" s="4">
        <f t="shared" si="62"/>
        <v>-13.480504999999994</v>
      </c>
      <c r="E1071" s="3">
        <v>52.95</v>
      </c>
      <c r="F1071" s="3">
        <v>20</v>
      </c>
      <c r="G1071" s="3">
        <v>154.10458400000002</v>
      </c>
      <c r="H1071" s="4">
        <f t="shared" si="65"/>
        <v>-2.0786919999999611</v>
      </c>
      <c r="I1071" s="4">
        <f t="shared" si="63"/>
        <v>-29.455415999999985</v>
      </c>
      <c r="J1071" s="3">
        <v>52.95</v>
      </c>
      <c r="K1071" s="3">
        <v>20</v>
      </c>
      <c r="L1071" s="13">
        <f>YEAR(Weekly_Prices[[#This Row],[Date]])</f>
        <v>2023</v>
      </c>
      <c r="M1071" s="13">
        <f>MONTH(Weekly_Prices[[#This Row],[Date]])</f>
        <v>12</v>
      </c>
      <c r="N1071" s="3" t="str">
        <f>TEXT(Weekly_Prices[[#This Row],[Date]],"MMMM")</f>
        <v>December</v>
      </c>
      <c r="O1071" s="3" t="str">
        <f>YEAR(Weekly_Prices[[#This Row],[Date]])&amp;"-"&amp;TEXT(WEEKNUM(Weekly_Prices[[#This Row],[Date]],2),"00")</f>
        <v>2023-50</v>
      </c>
    </row>
    <row r="1072" spans="1:15" x14ac:dyDescent="0.35">
      <c r="A1072" s="2">
        <v>45271</v>
      </c>
      <c r="B1072" s="6">
        <v>143.79533700000002</v>
      </c>
      <c r="C1072" s="4">
        <f t="shared" si="64"/>
        <v>-1.9196330000000046</v>
      </c>
      <c r="D1072" s="4">
        <f t="shared" si="62"/>
        <v>-12.175457999999963</v>
      </c>
      <c r="E1072" s="3">
        <v>52.95</v>
      </c>
      <c r="F1072" s="3">
        <v>20</v>
      </c>
      <c r="G1072" s="6">
        <v>152.00577899999999</v>
      </c>
      <c r="H1072" s="4">
        <f t="shared" si="65"/>
        <v>-2.0988050000000271</v>
      </c>
      <c r="I1072" s="4">
        <f t="shared" si="63"/>
        <v>-27.904221000000007</v>
      </c>
      <c r="J1072" s="3">
        <v>52.95</v>
      </c>
      <c r="K1072" s="3">
        <v>20</v>
      </c>
      <c r="L1072" s="13">
        <f>YEAR(Weekly_Prices[[#This Row],[Date]])</f>
        <v>2023</v>
      </c>
      <c r="M1072" s="13">
        <f>MONTH(Weekly_Prices[[#This Row],[Date]])</f>
        <v>12</v>
      </c>
      <c r="N1072" s="3" t="str">
        <f>TEXT(Weekly_Prices[[#This Row],[Date]],"MMMM")</f>
        <v>December</v>
      </c>
      <c r="O1072" s="3" t="str">
        <f>YEAR(Weekly_Prices[[#This Row],[Date]])&amp;"-"&amp;TEXT(WEEKNUM(Weekly_Prices[[#This Row],[Date]],2),"00")</f>
        <v>2023-51</v>
      </c>
    </row>
    <row r="1073" spans="1:15" x14ac:dyDescent="0.35">
      <c r="A1073" s="2">
        <v>45278</v>
      </c>
      <c r="B1073" s="6">
        <v>141.51442700000001</v>
      </c>
      <c r="C1073" s="4">
        <f t="shared" si="64"/>
        <v>-2.2809100000000058</v>
      </c>
      <c r="D1073" s="4">
        <f t="shared" si="62"/>
        <v>-12.551107999999999</v>
      </c>
      <c r="E1073" s="3">
        <v>52.95</v>
      </c>
      <c r="F1073" s="3">
        <v>20</v>
      </c>
      <c r="G1073" s="6">
        <v>150.37846099999999</v>
      </c>
      <c r="H1073" s="4">
        <f t="shared" si="65"/>
        <v>-1.6273180000000025</v>
      </c>
      <c r="I1073" s="4">
        <f t="shared" si="63"/>
        <v>-27.241539000000017</v>
      </c>
      <c r="J1073" s="3">
        <v>52.95</v>
      </c>
      <c r="K1073" s="3">
        <v>20</v>
      </c>
      <c r="L1073" s="13">
        <f>YEAR(Weekly_Prices[[#This Row],[Date]])</f>
        <v>2023</v>
      </c>
      <c r="M1073" s="13">
        <f>MONTH(Weekly_Prices[[#This Row],[Date]])</f>
        <v>12</v>
      </c>
      <c r="N1073" s="3" t="str">
        <f>TEXT(Weekly_Prices[[#This Row],[Date]],"MMMM")</f>
        <v>December</v>
      </c>
      <c r="O1073" s="3" t="str">
        <f>YEAR(Weekly_Prices[[#This Row],[Date]])&amp;"-"&amp;TEXT(WEEKNUM(Weekly_Prices[[#This Row],[Date]],2),"00")</f>
        <v>2023-52</v>
      </c>
    </row>
    <row r="1074" spans="1:15" x14ac:dyDescent="0.35">
      <c r="A1074" s="2">
        <v>45285</v>
      </c>
      <c r="B1074" s="6">
        <v>140.325402</v>
      </c>
      <c r="C1074" s="4">
        <f t="shared" si="64"/>
        <v>-1.1890250000000151</v>
      </c>
      <c r="D1074" s="4">
        <f t="shared" si="62"/>
        <v>-11.61417099999997</v>
      </c>
      <c r="E1074" s="3">
        <v>52.95</v>
      </c>
      <c r="F1074" s="3">
        <v>20</v>
      </c>
      <c r="G1074" s="6">
        <v>149.235826</v>
      </c>
      <c r="H1074" s="4">
        <f t="shared" si="65"/>
        <v>-1.1426349999999843</v>
      </c>
      <c r="I1074" s="4">
        <f t="shared" si="63"/>
        <v>-26.284174000000007</v>
      </c>
      <c r="J1074" s="3">
        <v>52.95</v>
      </c>
      <c r="K1074" s="3">
        <v>20</v>
      </c>
      <c r="L1074" s="13">
        <f>YEAR(Weekly_Prices[[#This Row],[Date]])</f>
        <v>2023</v>
      </c>
      <c r="M1074" s="13">
        <f>MONTH(Weekly_Prices[[#This Row],[Date]])</f>
        <v>12</v>
      </c>
      <c r="N1074" s="3" t="str">
        <f>TEXT(Weekly_Prices[[#This Row],[Date]],"MMMM")</f>
        <v>December</v>
      </c>
      <c r="O1074" s="3" t="str">
        <f>YEAR(Weekly_Prices[[#This Row],[Date]])&amp;"-"&amp;TEXT(WEEKNUM(Weekly_Prices[[#This Row],[Date]],2),"00")</f>
        <v>2023-53</v>
      </c>
    </row>
    <row r="1075" spans="1:15" x14ac:dyDescent="0.35">
      <c r="A1075" s="2">
        <v>45292</v>
      </c>
      <c r="B1075" s="6">
        <v>140.77874599999998</v>
      </c>
      <c r="C1075" s="4">
        <f t="shared" si="64"/>
        <v>0.45334399999998709</v>
      </c>
      <c r="D1075" s="4">
        <f t="shared" si="62"/>
        <v>-10.120351333333389</v>
      </c>
      <c r="E1075" s="3">
        <v>52.95</v>
      </c>
      <c r="F1075" s="3">
        <v>20</v>
      </c>
      <c r="G1075" s="6">
        <v>148.66493400000002</v>
      </c>
      <c r="H1075" s="4">
        <f t="shared" si="65"/>
        <v>-0.57089199999998641</v>
      </c>
      <c r="I1075" s="4">
        <f t="shared" si="63"/>
        <v>-25.49506599999998</v>
      </c>
      <c r="J1075" s="3">
        <v>52.95</v>
      </c>
      <c r="K1075" s="3">
        <v>20</v>
      </c>
      <c r="L1075" s="13">
        <f>YEAR(Weekly_Prices[[#This Row],[Date]])</f>
        <v>2024</v>
      </c>
      <c r="M1075" s="13">
        <f>MONTH(Weekly_Prices[[#This Row],[Date]])</f>
        <v>1</v>
      </c>
      <c r="N1075" s="3" t="str">
        <f>TEXT(Weekly_Prices[[#This Row],[Date]],"MMMM")</f>
        <v>January</v>
      </c>
      <c r="O1075" s="3" t="str">
        <f>YEAR(Weekly_Prices[[#This Row],[Date]])&amp;"-"&amp;TEXT(WEEKNUM(Weekly_Prices[[#This Row],[Date]],2),"00")</f>
        <v>2024-01</v>
      </c>
    </row>
    <row r="1076" spans="1:15" x14ac:dyDescent="0.35">
      <c r="A1076" s="2">
        <v>45299</v>
      </c>
      <c r="B1076" s="6">
        <v>139.71920299999999</v>
      </c>
      <c r="C1076" s="4">
        <f t="shared" si="64"/>
        <v>-1.0595429999999908</v>
      </c>
      <c r="D1076" s="4">
        <f t="shared" si="62"/>
        <v>-10.250639000000035</v>
      </c>
      <c r="E1076" s="3">
        <v>52.95</v>
      </c>
      <c r="F1076" s="3">
        <v>20</v>
      </c>
      <c r="G1076" s="6">
        <v>148.212366</v>
      </c>
      <c r="H1076" s="4">
        <f t="shared" si="65"/>
        <v>-0.45256800000001363</v>
      </c>
      <c r="I1076" s="4">
        <f t="shared" si="63"/>
        <v>-24.947633999999994</v>
      </c>
      <c r="J1076" s="3">
        <v>52.95</v>
      </c>
      <c r="K1076" s="3">
        <v>20</v>
      </c>
      <c r="L1076" s="13">
        <f>YEAR(Weekly_Prices[[#This Row],[Date]])</f>
        <v>2024</v>
      </c>
      <c r="M1076" s="13">
        <f>MONTH(Weekly_Prices[[#This Row],[Date]])</f>
        <v>1</v>
      </c>
      <c r="N1076" s="3" t="str">
        <f>TEXT(Weekly_Prices[[#This Row],[Date]],"MMMM")</f>
        <v>January</v>
      </c>
      <c r="O1076" s="3" t="str">
        <f>YEAR(Weekly_Prices[[#This Row],[Date]])&amp;"-"&amp;TEXT(WEEKNUM(Weekly_Prices[[#This Row],[Date]],2),"00")</f>
        <v>2024-02</v>
      </c>
    </row>
    <row r="1077" spans="1:15" x14ac:dyDescent="0.35">
      <c r="A1077" s="2">
        <v>45306</v>
      </c>
      <c r="B1077" s="6">
        <v>139.48575999999997</v>
      </c>
      <c r="C1077" s="4">
        <f t="shared" si="64"/>
        <v>-0.23344300000002249</v>
      </c>
      <c r="D1077" s="4">
        <f t="shared" si="62"/>
        <v>-9.3053610000000333</v>
      </c>
      <c r="E1077" s="3">
        <v>52.95</v>
      </c>
      <c r="F1077" s="3">
        <v>20</v>
      </c>
      <c r="G1077" s="6">
        <v>147.92895900000002</v>
      </c>
      <c r="H1077" s="4">
        <f t="shared" si="65"/>
        <v>-0.28340699999998265</v>
      </c>
      <c r="I1077" s="4">
        <f t="shared" si="63"/>
        <v>-23.711040999999966</v>
      </c>
      <c r="J1077" s="3">
        <v>52.95</v>
      </c>
      <c r="K1077" s="3">
        <v>20</v>
      </c>
      <c r="L1077" s="13">
        <f>YEAR(Weekly_Prices[[#This Row],[Date]])</f>
        <v>2024</v>
      </c>
      <c r="M1077" s="13">
        <f>MONTH(Weekly_Prices[[#This Row],[Date]])</f>
        <v>1</v>
      </c>
      <c r="N1077" s="3" t="str">
        <f>TEXT(Weekly_Prices[[#This Row],[Date]],"MMMM")</f>
        <v>January</v>
      </c>
      <c r="O1077" s="3" t="str">
        <f>YEAR(Weekly_Prices[[#This Row],[Date]])&amp;"-"&amp;TEXT(WEEKNUM(Weekly_Prices[[#This Row],[Date]],2),"00")</f>
        <v>2024-03</v>
      </c>
    </row>
    <row r="1078" spans="1:15" x14ac:dyDescent="0.35">
      <c r="A1078" s="2">
        <v>45313</v>
      </c>
      <c r="B1078" s="6">
        <v>139.38785799999999</v>
      </c>
      <c r="C1078" s="4">
        <f t="shared" si="64"/>
        <v>-9.7901999999976397E-2</v>
      </c>
      <c r="D1078" s="4">
        <f t="shared" si="62"/>
        <v>-8.8211029999999937</v>
      </c>
      <c r="E1078" s="3">
        <v>52.95</v>
      </c>
      <c r="F1078" s="3">
        <v>20</v>
      </c>
      <c r="G1078" s="6">
        <v>147.95832799999999</v>
      </c>
      <c r="H1078" s="4">
        <f t="shared" si="65"/>
        <v>2.9368999999974221E-2</v>
      </c>
      <c r="I1078" s="4">
        <f t="shared" si="63"/>
        <v>-22.903913999999986</v>
      </c>
      <c r="J1078" s="3">
        <v>52.95</v>
      </c>
      <c r="K1078" s="3">
        <v>20</v>
      </c>
      <c r="L1078" s="13">
        <f>YEAR(Weekly_Prices[[#This Row],[Date]])</f>
        <v>2024</v>
      </c>
      <c r="M1078" s="13">
        <f>MONTH(Weekly_Prices[[#This Row],[Date]])</f>
        <v>1</v>
      </c>
      <c r="N1078" s="3" t="str">
        <f>TEXT(Weekly_Prices[[#This Row],[Date]],"MMMM")</f>
        <v>January</v>
      </c>
      <c r="O1078" s="3" t="str">
        <f>YEAR(Weekly_Prices[[#This Row],[Date]])&amp;"-"&amp;TEXT(WEEKNUM(Weekly_Prices[[#This Row],[Date]],2),"00")</f>
        <v>2024-04</v>
      </c>
    </row>
    <row r="1079" spans="1:15" x14ac:dyDescent="0.35">
      <c r="A1079" s="2">
        <v>45320</v>
      </c>
      <c r="B1079" s="6">
        <v>139.90865399999998</v>
      </c>
      <c r="C1079" s="4">
        <f t="shared" si="64"/>
        <v>0.52079599999999004</v>
      </c>
      <c r="D1079" s="4">
        <f t="shared" ref="D1079:D1142" si="66">B1079-B1027</f>
        <v>-8.2671700000000214</v>
      </c>
      <c r="E1079" s="3">
        <v>52.95</v>
      </c>
      <c r="F1079" s="3">
        <v>20</v>
      </c>
      <c r="G1079" s="6">
        <v>148.55655999999999</v>
      </c>
      <c r="H1079" s="4">
        <f t="shared" si="65"/>
        <v>0.59823199999999588</v>
      </c>
      <c r="I1079" s="4">
        <f t="shared" ref="I1079:I1142" si="67">G1079-G1027</f>
        <v>-22.003440000000012</v>
      </c>
      <c r="J1079" s="3">
        <v>52.95</v>
      </c>
      <c r="K1079" s="3">
        <v>20</v>
      </c>
      <c r="L1079" s="13">
        <f>YEAR(Weekly_Prices[[#This Row],[Date]])</f>
        <v>2024</v>
      </c>
      <c r="M1079" s="13">
        <f>MONTH(Weekly_Prices[[#This Row],[Date]])</f>
        <v>1</v>
      </c>
      <c r="N1079" s="3" t="str">
        <f>TEXT(Weekly_Prices[[#This Row],[Date]],"MMMM")</f>
        <v>January</v>
      </c>
      <c r="O1079" s="3" t="str">
        <f>YEAR(Weekly_Prices[[#This Row],[Date]])&amp;"-"&amp;TEXT(WEEKNUM(Weekly_Prices[[#This Row],[Date]],2),"00")</f>
        <v>2024-05</v>
      </c>
    </row>
    <row r="1080" spans="1:15" x14ac:dyDescent="0.35">
      <c r="A1080" s="2">
        <v>45327</v>
      </c>
      <c r="B1080" s="6">
        <v>140.54664299999999</v>
      </c>
      <c r="C1080" s="4">
        <f t="shared" si="64"/>
        <v>0.63798900000000458</v>
      </c>
      <c r="D1080" s="4">
        <f t="shared" si="66"/>
        <v>-7.7969389999999805</v>
      </c>
      <c r="E1080" s="3">
        <v>52.95</v>
      </c>
      <c r="F1080" s="3">
        <v>20</v>
      </c>
      <c r="G1080" s="6">
        <v>149.354702</v>
      </c>
      <c r="H1080" s="4">
        <f t="shared" si="65"/>
        <v>0.79814200000001279</v>
      </c>
      <c r="I1080" s="4">
        <f t="shared" si="67"/>
        <v>-21.005616999999972</v>
      </c>
      <c r="J1080" s="3">
        <v>52.95</v>
      </c>
      <c r="K1080" s="3">
        <v>20</v>
      </c>
      <c r="L1080" s="13">
        <f>YEAR(Weekly_Prices[[#This Row],[Date]])</f>
        <v>2024</v>
      </c>
      <c r="M1080" s="13">
        <f>MONTH(Weekly_Prices[[#This Row],[Date]])</f>
        <v>2</v>
      </c>
      <c r="N1080" s="3" t="str">
        <f>TEXT(Weekly_Prices[[#This Row],[Date]],"MMMM")</f>
        <v>February</v>
      </c>
      <c r="O1080" s="3" t="str">
        <f>YEAR(Weekly_Prices[[#This Row],[Date]])&amp;"-"&amp;TEXT(WEEKNUM(Weekly_Prices[[#This Row],[Date]],2),"00")</f>
        <v>2024-06</v>
      </c>
    </row>
    <row r="1081" spans="1:15" x14ac:dyDescent="0.35">
      <c r="A1081" s="2">
        <v>45334</v>
      </c>
      <c r="B1081" s="6">
        <v>141.27642899999998</v>
      </c>
      <c r="C1081" s="4">
        <f t="shared" si="64"/>
        <v>0.72978599999999005</v>
      </c>
      <c r="D1081" s="4">
        <f t="shared" si="66"/>
        <v>-6.7015920000000335</v>
      </c>
      <c r="E1081" s="3">
        <v>52.95</v>
      </c>
      <c r="F1081" s="3">
        <v>20</v>
      </c>
      <c r="G1081" s="6">
        <v>150.27635899999999</v>
      </c>
      <c r="H1081" s="4">
        <f t="shared" si="65"/>
        <v>0.92165699999998196</v>
      </c>
      <c r="I1081" s="4">
        <f t="shared" si="67"/>
        <v>-19.383462000000037</v>
      </c>
      <c r="J1081" s="3">
        <v>52.95</v>
      </c>
      <c r="K1081" s="3">
        <v>20</v>
      </c>
      <c r="L1081" s="13">
        <f>YEAR(Weekly_Prices[[#This Row],[Date]])</f>
        <v>2024</v>
      </c>
      <c r="M1081" s="13">
        <f>MONTH(Weekly_Prices[[#This Row],[Date]])</f>
        <v>2</v>
      </c>
      <c r="N1081" s="3" t="str">
        <f>TEXT(Weekly_Prices[[#This Row],[Date]],"MMMM")</f>
        <v>February</v>
      </c>
      <c r="O1081" s="3" t="str">
        <f>YEAR(Weekly_Prices[[#This Row],[Date]])&amp;"-"&amp;TEXT(WEEKNUM(Weekly_Prices[[#This Row],[Date]],2),"00")</f>
        <v>2024-07</v>
      </c>
    </row>
    <row r="1082" spans="1:15" x14ac:dyDescent="0.35">
      <c r="A1082" s="2">
        <v>45341</v>
      </c>
      <c r="B1082" s="6">
        <v>142.859272</v>
      </c>
      <c r="C1082" s="4">
        <f t="shared" si="64"/>
        <v>1.5828430000000253</v>
      </c>
      <c r="D1082" s="4">
        <f t="shared" si="66"/>
        <v>-5.0009469999999965</v>
      </c>
      <c r="E1082" s="3">
        <v>52.95</v>
      </c>
      <c r="F1082" s="3">
        <v>20</v>
      </c>
      <c r="G1082" s="6">
        <v>152.07956000000001</v>
      </c>
      <c r="H1082" s="4">
        <f t="shared" si="65"/>
        <v>1.8032010000000298</v>
      </c>
      <c r="I1082" s="4">
        <f t="shared" si="67"/>
        <v>-17.220439999999996</v>
      </c>
      <c r="J1082" s="3">
        <v>52.95</v>
      </c>
      <c r="K1082" s="3">
        <v>20</v>
      </c>
      <c r="L1082" s="13">
        <f>YEAR(Weekly_Prices[[#This Row],[Date]])</f>
        <v>2024</v>
      </c>
      <c r="M1082" s="13">
        <f>MONTH(Weekly_Prices[[#This Row],[Date]])</f>
        <v>2</v>
      </c>
      <c r="N1082" s="3" t="str">
        <f>TEXT(Weekly_Prices[[#This Row],[Date]],"MMMM")</f>
        <v>February</v>
      </c>
      <c r="O1082" s="3" t="str">
        <f>YEAR(Weekly_Prices[[#This Row],[Date]])&amp;"-"&amp;TEXT(WEEKNUM(Weekly_Prices[[#This Row],[Date]],2),"00")</f>
        <v>2024-08</v>
      </c>
    </row>
    <row r="1083" spans="1:15" x14ac:dyDescent="0.35">
      <c r="A1083" s="2">
        <v>45348</v>
      </c>
      <c r="B1083" s="6">
        <v>143.96110000000002</v>
      </c>
      <c r="C1083" s="4">
        <f t="shared" si="64"/>
        <v>1.1018280000000118</v>
      </c>
      <c r="D1083" s="4">
        <f t="shared" si="66"/>
        <v>-3.5842779999999834</v>
      </c>
      <c r="E1083" s="3">
        <v>52.95</v>
      </c>
      <c r="F1083" s="3">
        <v>20</v>
      </c>
      <c r="G1083" s="6">
        <v>153.29074700000001</v>
      </c>
      <c r="H1083" s="4">
        <f t="shared" si="65"/>
        <v>1.2111869999999954</v>
      </c>
      <c r="I1083" s="4">
        <f t="shared" si="67"/>
        <v>-15.269252999999992</v>
      </c>
      <c r="J1083" s="3">
        <v>52.95</v>
      </c>
      <c r="K1083" s="3">
        <v>20</v>
      </c>
      <c r="L1083" s="13">
        <f>YEAR(Weekly_Prices[[#This Row],[Date]])</f>
        <v>2024</v>
      </c>
      <c r="M1083" s="13">
        <f>MONTH(Weekly_Prices[[#This Row],[Date]])</f>
        <v>2</v>
      </c>
      <c r="N1083" s="3" t="str">
        <f>TEXT(Weekly_Prices[[#This Row],[Date]],"MMMM")</f>
        <v>February</v>
      </c>
      <c r="O1083" s="3" t="str">
        <f>YEAR(Weekly_Prices[[#This Row],[Date]])&amp;"-"&amp;TEXT(WEEKNUM(Weekly_Prices[[#This Row],[Date]],2),"00")</f>
        <v>2024-09</v>
      </c>
    </row>
    <row r="1084" spans="1:15" x14ac:dyDescent="0.35">
      <c r="A1084" s="2">
        <v>45355</v>
      </c>
      <c r="B1084" s="3">
        <v>144.72775999999999</v>
      </c>
      <c r="C1084" s="4">
        <f t="shared" si="64"/>
        <v>0.76665999999997325</v>
      </c>
      <c r="D1084" s="4">
        <f t="shared" si="66"/>
        <v>-2.3950160000000267</v>
      </c>
      <c r="E1084" s="3">
        <v>52.95</v>
      </c>
      <c r="F1084" s="3">
        <v>20</v>
      </c>
      <c r="G1084" s="3">
        <v>154.526016</v>
      </c>
      <c r="H1084" s="4">
        <f t="shared" si="65"/>
        <v>1.2352689999999882</v>
      </c>
      <c r="I1084" s="4">
        <f t="shared" si="67"/>
        <v>-12.803984000000014</v>
      </c>
      <c r="J1084" s="3">
        <v>52.95</v>
      </c>
      <c r="K1084" s="3">
        <v>20</v>
      </c>
      <c r="L1084" s="13">
        <f>YEAR(Weekly_Prices[[#This Row],[Date]])</f>
        <v>2024</v>
      </c>
      <c r="M1084" s="13">
        <f>MONTH(Weekly_Prices[[#This Row],[Date]])</f>
        <v>3</v>
      </c>
      <c r="N1084" s="3" t="str">
        <f>TEXT(Weekly_Prices[[#This Row],[Date]],"MMMM")</f>
        <v>March</v>
      </c>
      <c r="O1084" s="3" t="str">
        <f>YEAR(Weekly_Prices[[#This Row],[Date]])&amp;"-"&amp;TEXT(WEEKNUM(Weekly_Prices[[#This Row],[Date]],2),"00")</f>
        <v>2024-10</v>
      </c>
    </row>
    <row r="1085" spans="1:15" x14ac:dyDescent="0.35">
      <c r="A1085" s="2">
        <v>45362</v>
      </c>
      <c r="B1085" s="6">
        <v>144.69928100000001</v>
      </c>
      <c r="C1085" s="4">
        <f t="shared" si="64"/>
        <v>-2.847899999997594E-2</v>
      </c>
      <c r="D1085" s="4">
        <f t="shared" si="66"/>
        <v>-2.2743790000000104</v>
      </c>
      <c r="E1085" s="3">
        <v>52.95</v>
      </c>
      <c r="F1085" s="3">
        <v>20</v>
      </c>
      <c r="G1085" s="6">
        <v>154.29267800000002</v>
      </c>
      <c r="H1085" s="4">
        <f t="shared" si="65"/>
        <v>-0.23333799999997495</v>
      </c>
      <c r="I1085" s="4">
        <f t="shared" si="67"/>
        <v>-12.747321999999969</v>
      </c>
      <c r="J1085" s="3">
        <v>52.95</v>
      </c>
      <c r="K1085" s="3">
        <v>20</v>
      </c>
      <c r="L1085" s="13">
        <f>YEAR(Weekly_Prices[[#This Row],[Date]])</f>
        <v>2024</v>
      </c>
      <c r="M1085" s="13">
        <f>MONTH(Weekly_Prices[[#This Row],[Date]])</f>
        <v>3</v>
      </c>
      <c r="N1085" s="3" t="str">
        <f>TEXT(Weekly_Prices[[#This Row],[Date]],"MMMM")</f>
        <v>March</v>
      </c>
      <c r="O1085" s="3" t="str">
        <f>YEAR(Weekly_Prices[[#This Row],[Date]])&amp;"-"&amp;TEXT(WEEKNUM(Weekly_Prices[[#This Row],[Date]],2),"00")</f>
        <v>2024-11</v>
      </c>
    </row>
    <row r="1086" spans="1:15" x14ac:dyDescent="0.35">
      <c r="A1086" s="2">
        <v>45369</v>
      </c>
      <c r="B1086" s="6">
        <v>144.73367199999998</v>
      </c>
      <c r="C1086" s="4">
        <f t="shared" si="64"/>
        <v>3.4390999999970973E-2</v>
      </c>
      <c r="D1086" s="4">
        <f t="shared" si="66"/>
        <v>-1.8826400000000092</v>
      </c>
      <c r="E1086" s="3">
        <v>52.95</v>
      </c>
      <c r="F1086" s="3">
        <v>20</v>
      </c>
      <c r="G1086" s="6">
        <v>153.80557499999998</v>
      </c>
      <c r="H1086" s="4">
        <f t="shared" si="65"/>
        <v>-0.48710300000004736</v>
      </c>
      <c r="I1086" s="4">
        <f t="shared" si="67"/>
        <v>-12.454425000000015</v>
      </c>
      <c r="J1086" s="3">
        <v>52.95</v>
      </c>
      <c r="K1086" s="3">
        <v>20</v>
      </c>
      <c r="L1086" s="13">
        <f>YEAR(Weekly_Prices[[#This Row],[Date]])</f>
        <v>2024</v>
      </c>
      <c r="M1086" s="13">
        <f>MONTH(Weekly_Prices[[#This Row],[Date]])</f>
        <v>3</v>
      </c>
      <c r="N1086" s="3" t="str">
        <f>TEXT(Weekly_Prices[[#This Row],[Date]],"MMMM")</f>
        <v>March</v>
      </c>
      <c r="O1086" s="3" t="str">
        <f>YEAR(Weekly_Prices[[#This Row],[Date]])&amp;"-"&amp;TEXT(WEEKNUM(Weekly_Prices[[#This Row],[Date]],2),"00")</f>
        <v>2024-12</v>
      </c>
    </row>
    <row r="1087" spans="1:15" x14ac:dyDescent="0.35">
      <c r="A1087" s="2">
        <v>45376</v>
      </c>
      <c r="B1087" s="6">
        <v>145.05787199999997</v>
      </c>
      <c r="C1087" s="4">
        <f t="shared" si="64"/>
        <v>0.3241999999999905</v>
      </c>
      <c r="D1087" s="4">
        <f t="shared" si="66"/>
        <v>-1.1550670000000025</v>
      </c>
      <c r="E1087" s="3">
        <v>52.95</v>
      </c>
      <c r="F1087" s="3">
        <v>20</v>
      </c>
      <c r="G1087" s="6">
        <v>153.89622499999999</v>
      </c>
      <c r="H1087" s="4">
        <f t="shared" si="65"/>
        <v>9.0650000000010778E-2</v>
      </c>
      <c r="I1087" s="4">
        <f t="shared" si="67"/>
        <v>-11.28377500000002</v>
      </c>
      <c r="J1087" s="3">
        <v>52.95</v>
      </c>
      <c r="K1087" s="3">
        <v>20</v>
      </c>
      <c r="L1087" s="13">
        <f>YEAR(Weekly_Prices[[#This Row],[Date]])</f>
        <v>2024</v>
      </c>
      <c r="M1087" s="13">
        <f>MONTH(Weekly_Prices[[#This Row],[Date]])</f>
        <v>3</v>
      </c>
      <c r="N1087" s="3" t="str">
        <f>TEXT(Weekly_Prices[[#This Row],[Date]],"MMMM")</f>
        <v>March</v>
      </c>
      <c r="O1087" s="3" t="str">
        <f>YEAR(Weekly_Prices[[#This Row],[Date]])&amp;"-"&amp;TEXT(WEEKNUM(Weekly_Prices[[#This Row],[Date]],2),"00")</f>
        <v>2024-13</v>
      </c>
    </row>
    <row r="1088" spans="1:15" x14ac:dyDescent="0.35">
      <c r="A1088" s="2">
        <v>45383</v>
      </c>
      <c r="B1088" s="3">
        <v>146.25257500000001</v>
      </c>
      <c r="C1088" s="4">
        <f t="shared" si="64"/>
        <v>1.1947030000000325</v>
      </c>
      <c r="D1088" s="4">
        <f t="shared" si="66"/>
        <v>0.52781500000000392</v>
      </c>
      <c r="E1088" s="3">
        <v>52.95</v>
      </c>
      <c r="F1088" s="3">
        <v>20</v>
      </c>
      <c r="G1088" s="3">
        <v>156.00234600000002</v>
      </c>
      <c r="H1088" s="4">
        <f t="shared" si="65"/>
        <v>2.1061210000000301</v>
      </c>
      <c r="I1088" s="4">
        <f t="shared" si="67"/>
        <v>-7.7076539999999909</v>
      </c>
      <c r="J1088" s="3">
        <v>52.95</v>
      </c>
      <c r="K1088" s="3">
        <v>20</v>
      </c>
      <c r="L1088" s="13">
        <f>YEAR(Weekly_Prices[[#This Row],[Date]])</f>
        <v>2024</v>
      </c>
      <c r="M1088" s="13">
        <f>MONTH(Weekly_Prices[[#This Row],[Date]])</f>
        <v>4</v>
      </c>
      <c r="N1088" s="3" t="str">
        <f>TEXT(Weekly_Prices[[#This Row],[Date]],"MMMM")</f>
        <v>April</v>
      </c>
      <c r="O1088" s="3" t="str">
        <f>YEAR(Weekly_Prices[[#This Row],[Date]])&amp;"-"&amp;TEXT(WEEKNUM(Weekly_Prices[[#This Row],[Date]],2),"00")</f>
        <v>2024-14</v>
      </c>
    </row>
    <row r="1089" spans="1:15" x14ac:dyDescent="0.35">
      <c r="A1089" s="2">
        <v>45390</v>
      </c>
      <c r="B1089" s="3">
        <v>146.91454300000001</v>
      </c>
      <c r="C1089" s="4">
        <f t="shared" si="64"/>
        <v>0.66196800000000167</v>
      </c>
      <c r="D1089" s="4">
        <f t="shared" si="66"/>
        <v>1.0975310000000036</v>
      </c>
      <c r="E1089" s="3">
        <v>52.95</v>
      </c>
      <c r="F1089" s="3">
        <v>20</v>
      </c>
      <c r="G1089" s="3">
        <v>156.29206399999998</v>
      </c>
      <c r="H1089" s="4">
        <f t="shared" si="65"/>
        <v>0.28971799999996506</v>
      </c>
      <c r="I1089" s="4">
        <f t="shared" si="67"/>
        <v>-6.4176490000000115</v>
      </c>
      <c r="J1089" s="3">
        <v>52.95</v>
      </c>
      <c r="K1089" s="3">
        <v>20</v>
      </c>
      <c r="L1089" s="13">
        <f>YEAR(Weekly_Prices[[#This Row],[Date]])</f>
        <v>2024</v>
      </c>
      <c r="M1089" s="13">
        <f>MONTH(Weekly_Prices[[#This Row],[Date]])</f>
        <v>4</v>
      </c>
      <c r="N1089" s="3" t="str">
        <f>TEXT(Weekly_Prices[[#This Row],[Date]],"MMMM")</f>
        <v>April</v>
      </c>
      <c r="O1089" s="3" t="str">
        <f>YEAR(Weekly_Prices[[#This Row],[Date]])&amp;"-"&amp;TEXT(WEEKNUM(Weekly_Prices[[#This Row],[Date]],2),"00")</f>
        <v>2024-15</v>
      </c>
    </row>
    <row r="1090" spans="1:15" x14ac:dyDescent="0.35">
      <c r="A1090" s="2">
        <v>45397</v>
      </c>
      <c r="B1090" s="6">
        <v>148.48649800000001</v>
      </c>
      <c r="C1090" s="4">
        <f t="shared" si="64"/>
        <v>1.5719550000000027</v>
      </c>
      <c r="D1090" s="4">
        <f t="shared" si="66"/>
        <v>2.5516260000000273</v>
      </c>
      <c r="E1090" s="3">
        <v>52.95</v>
      </c>
      <c r="F1090" s="3">
        <v>20</v>
      </c>
      <c r="G1090" s="6">
        <v>157.45900800000001</v>
      </c>
      <c r="H1090" s="4">
        <f t="shared" si="65"/>
        <v>1.1669440000000293</v>
      </c>
      <c r="I1090" s="4">
        <f t="shared" si="67"/>
        <v>-4.6557229999999663</v>
      </c>
      <c r="J1090" s="3">
        <v>52.95</v>
      </c>
      <c r="K1090" s="3">
        <v>20</v>
      </c>
      <c r="L1090" s="13">
        <f>YEAR(Weekly_Prices[[#This Row],[Date]])</f>
        <v>2024</v>
      </c>
      <c r="M1090" s="13">
        <f>MONTH(Weekly_Prices[[#This Row],[Date]])</f>
        <v>4</v>
      </c>
      <c r="N1090" s="3" t="str">
        <f>TEXT(Weekly_Prices[[#This Row],[Date]],"MMMM")</f>
        <v>April</v>
      </c>
      <c r="O1090" s="3" t="str">
        <f>YEAR(Weekly_Prices[[#This Row],[Date]])&amp;"-"&amp;TEXT(WEEKNUM(Weekly_Prices[[#This Row],[Date]],2),"00")</f>
        <v>2024-16</v>
      </c>
    </row>
    <row r="1091" spans="1:15" x14ac:dyDescent="0.35">
      <c r="A1091" s="2">
        <v>45404</v>
      </c>
      <c r="B1091" s="6">
        <v>149.21421899999999</v>
      </c>
      <c r="C1091" s="4">
        <f t="shared" ref="C1091:C1154" si="68">B1091-B1090</f>
        <v>0.72772099999997408</v>
      </c>
      <c r="D1091" s="4">
        <f t="shared" si="66"/>
        <v>3.3739640000000009</v>
      </c>
      <c r="E1091" s="3">
        <v>52.95</v>
      </c>
      <c r="F1091" s="3">
        <v>20</v>
      </c>
      <c r="G1091" s="6">
        <v>157.982561</v>
      </c>
      <c r="H1091" s="4">
        <f t="shared" ref="H1091:H1154" si="69">G1091-G1090</f>
        <v>0.52355299999999261</v>
      </c>
      <c r="I1091" s="4">
        <f t="shared" si="67"/>
        <v>-3.3582940000000008</v>
      </c>
      <c r="J1091" s="3">
        <v>52.95</v>
      </c>
      <c r="K1091" s="3">
        <v>20</v>
      </c>
      <c r="L1091" s="13">
        <f>YEAR(Weekly_Prices[[#This Row],[Date]])</f>
        <v>2024</v>
      </c>
      <c r="M1091" s="13">
        <f>MONTH(Weekly_Prices[[#This Row],[Date]])</f>
        <v>4</v>
      </c>
      <c r="N1091" s="3" t="str">
        <f>TEXT(Weekly_Prices[[#This Row],[Date]],"MMMM")</f>
        <v>April</v>
      </c>
      <c r="O1091" s="3" t="str">
        <f>YEAR(Weekly_Prices[[#This Row],[Date]])&amp;"-"&amp;TEXT(WEEKNUM(Weekly_Prices[[#This Row],[Date]],2),"00")</f>
        <v>2024-17</v>
      </c>
    </row>
    <row r="1092" spans="1:15" x14ac:dyDescent="0.35">
      <c r="A1092" s="2">
        <v>45411</v>
      </c>
      <c r="B1092" s="3">
        <v>149.49487899999997</v>
      </c>
      <c r="C1092" s="4">
        <f t="shared" si="68"/>
        <v>0.28065999999998326</v>
      </c>
      <c r="D1092" s="4">
        <f t="shared" si="66"/>
        <v>3.7850759999999752</v>
      </c>
      <c r="E1092" s="3">
        <v>52.95</v>
      </c>
      <c r="F1092" s="3">
        <v>20</v>
      </c>
      <c r="G1092" s="3">
        <v>157.97739300000001</v>
      </c>
      <c r="H1092" s="4">
        <f t="shared" si="69"/>
        <v>-5.1679999999976189E-3</v>
      </c>
      <c r="I1092" s="4">
        <f t="shared" si="67"/>
        <v>-2.3740579999999909</v>
      </c>
      <c r="J1092" s="3">
        <v>52.95</v>
      </c>
      <c r="K1092" s="3">
        <v>20</v>
      </c>
      <c r="L1092" s="13">
        <f>YEAR(Weekly_Prices[[#This Row],[Date]])</f>
        <v>2024</v>
      </c>
      <c r="M1092" s="13">
        <f>MONTH(Weekly_Prices[[#This Row],[Date]])</f>
        <v>4</v>
      </c>
      <c r="N1092" s="3" t="str">
        <f>TEXT(Weekly_Prices[[#This Row],[Date]],"MMMM")</f>
        <v>April</v>
      </c>
      <c r="O1092" s="3" t="str">
        <f>YEAR(Weekly_Prices[[#This Row],[Date]])&amp;"-"&amp;TEXT(WEEKNUM(Weekly_Prices[[#This Row],[Date]],2),"00")</f>
        <v>2024-18</v>
      </c>
    </row>
    <row r="1093" spans="1:15" x14ac:dyDescent="0.35">
      <c r="A1093" s="2">
        <v>45418</v>
      </c>
      <c r="B1093" s="6">
        <v>149.544085</v>
      </c>
      <c r="C1093" s="4">
        <f t="shared" si="68"/>
        <v>4.9206000000026506E-2</v>
      </c>
      <c r="D1093" s="4">
        <f t="shared" si="66"/>
        <v>4.2403799999999876</v>
      </c>
      <c r="E1093" s="3">
        <v>52.95</v>
      </c>
      <c r="F1093" s="3">
        <v>20</v>
      </c>
      <c r="G1093" s="6">
        <v>157.63794300000001</v>
      </c>
      <c r="H1093" s="4">
        <f t="shared" si="69"/>
        <v>-0.33944999999999936</v>
      </c>
      <c r="I1093" s="4">
        <f t="shared" si="67"/>
        <v>-0.47808599999999046</v>
      </c>
      <c r="J1093" s="3">
        <v>52.95</v>
      </c>
      <c r="K1093" s="3">
        <v>20</v>
      </c>
      <c r="L1093" s="13">
        <f>YEAR(Weekly_Prices[[#This Row],[Date]])</f>
        <v>2024</v>
      </c>
      <c r="M1093" s="13">
        <f>MONTH(Weekly_Prices[[#This Row],[Date]])</f>
        <v>5</v>
      </c>
      <c r="N1093" s="3" t="str">
        <f>TEXT(Weekly_Prices[[#This Row],[Date]],"MMMM")</f>
        <v>May</v>
      </c>
      <c r="O1093" s="3" t="str">
        <f>YEAR(Weekly_Prices[[#This Row],[Date]])&amp;"-"&amp;TEXT(WEEKNUM(Weekly_Prices[[#This Row],[Date]],2),"00")</f>
        <v>2024-19</v>
      </c>
    </row>
    <row r="1094" spans="1:15" x14ac:dyDescent="0.35">
      <c r="A1094" s="2">
        <v>45425</v>
      </c>
      <c r="B1094" s="6">
        <v>149.23194899999999</v>
      </c>
      <c r="C1094" s="4">
        <f t="shared" si="68"/>
        <v>-0.31213600000000952</v>
      </c>
      <c r="D1094" s="4">
        <f t="shared" si="66"/>
        <v>4.5828249999999855</v>
      </c>
      <c r="E1094" s="3">
        <v>52.95</v>
      </c>
      <c r="F1094" s="3">
        <v>20</v>
      </c>
      <c r="G1094" s="6">
        <v>157.08067699999998</v>
      </c>
      <c r="H1094" s="4">
        <f t="shared" si="69"/>
        <v>-0.55726600000002691</v>
      </c>
      <c r="I1094" s="4">
        <f t="shared" si="67"/>
        <v>1.5460889999999949</v>
      </c>
      <c r="J1094" s="3">
        <v>52.95</v>
      </c>
      <c r="K1094" s="3">
        <v>20</v>
      </c>
      <c r="L1094" s="13">
        <f>YEAR(Weekly_Prices[[#This Row],[Date]])</f>
        <v>2024</v>
      </c>
      <c r="M1094" s="13">
        <f>MONTH(Weekly_Prices[[#This Row],[Date]])</f>
        <v>5</v>
      </c>
      <c r="N1094" s="3" t="str">
        <f>TEXT(Weekly_Prices[[#This Row],[Date]],"MMMM")</f>
        <v>May</v>
      </c>
      <c r="O1094" s="3" t="str">
        <f>YEAR(Weekly_Prices[[#This Row],[Date]])&amp;"-"&amp;TEXT(WEEKNUM(Weekly_Prices[[#This Row],[Date]],2),"00")</f>
        <v>2024-20</v>
      </c>
    </row>
    <row r="1095" spans="1:15" x14ac:dyDescent="0.35">
      <c r="A1095" s="2">
        <v>45432</v>
      </c>
      <c r="B1095" s="6">
        <v>148.83242899999999</v>
      </c>
      <c r="C1095" s="4">
        <f t="shared" si="68"/>
        <v>-0.39951999999999543</v>
      </c>
      <c r="D1095" s="4">
        <f t="shared" si="66"/>
        <v>5.1928570000000036</v>
      </c>
      <c r="E1095" s="3">
        <v>52.95</v>
      </c>
      <c r="F1095" s="3">
        <v>20</v>
      </c>
      <c r="G1095" s="6">
        <v>156.211288</v>
      </c>
      <c r="H1095" s="4">
        <f t="shared" si="69"/>
        <v>-0.86938899999998398</v>
      </c>
      <c r="I1095" s="4">
        <f t="shared" si="67"/>
        <v>4.6167329999999822</v>
      </c>
      <c r="J1095" s="3">
        <v>52.95</v>
      </c>
      <c r="K1095" s="3">
        <v>20</v>
      </c>
      <c r="L1095" s="13">
        <f>YEAR(Weekly_Prices[[#This Row],[Date]])</f>
        <v>2024</v>
      </c>
      <c r="M1095" s="13">
        <f>MONTH(Weekly_Prices[[#This Row],[Date]])</f>
        <v>5</v>
      </c>
      <c r="N1095" s="3" t="str">
        <f>TEXT(Weekly_Prices[[#This Row],[Date]],"MMMM")</f>
        <v>May</v>
      </c>
      <c r="O1095" s="3" t="str">
        <f>YEAR(Weekly_Prices[[#This Row],[Date]])&amp;"-"&amp;TEXT(WEEKNUM(Weekly_Prices[[#This Row],[Date]],2),"00")</f>
        <v>2024-21</v>
      </c>
    </row>
    <row r="1096" spans="1:15" x14ac:dyDescent="0.35">
      <c r="A1096" s="2">
        <v>45439</v>
      </c>
      <c r="B1096" s="3">
        <v>147.64592100000002</v>
      </c>
      <c r="C1096" s="4">
        <f t="shared" si="68"/>
        <v>-1.186507999999975</v>
      </c>
      <c r="D1096" s="4">
        <f t="shared" si="66"/>
        <v>4.7084480000000326</v>
      </c>
      <c r="E1096" s="3">
        <v>52.95</v>
      </c>
      <c r="F1096" s="3">
        <v>20</v>
      </c>
      <c r="G1096" s="3">
        <v>154.304439</v>
      </c>
      <c r="H1096" s="4">
        <f t="shared" si="69"/>
        <v>-1.906848999999994</v>
      </c>
      <c r="I1096" s="4">
        <f t="shared" si="67"/>
        <v>6.4378370000000018</v>
      </c>
      <c r="J1096" s="3">
        <v>52.95</v>
      </c>
      <c r="K1096" s="3">
        <v>20</v>
      </c>
      <c r="L1096" s="13">
        <f>YEAR(Weekly_Prices[[#This Row],[Date]])</f>
        <v>2024</v>
      </c>
      <c r="M1096" s="13">
        <f>MONTH(Weekly_Prices[[#This Row],[Date]])</f>
        <v>5</v>
      </c>
      <c r="N1096" s="3" t="str">
        <f>TEXT(Weekly_Prices[[#This Row],[Date]],"MMMM")</f>
        <v>May</v>
      </c>
      <c r="O1096" s="3" t="str">
        <f>YEAR(Weekly_Prices[[#This Row],[Date]])&amp;"-"&amp;TEXT(WEEKNUM(Weekly_Prices[[#This Row],[Date]],2),"00")</f>
        <v>2024-22</v>
      </c>
    </row>
    <row r="1097" spans="1:15" x14ac:dyDescent="0.35">
      <c r="A1097" s="2">
        <v>45446</v>
      </c>
      <c r="B1097" s="3">
        <v>147.26555999999999</v>
      </c>
      <c r="C1097" s="4">
        <f t="shared" si="68"/>
        <v>-0.38036100000002193</v>
      </c>
      <c r="D1097" s="4">
        <f t="shared" si="66"/>
        <v>4.3644160000000056</v>
      </c>
      <c r="E1097" s="3">
        <v>52.95</v>
      </c>
      <c r="F1097" s="3">
        <v>20</v>
      </c>
      <c r="G1097" s="3">
        <v>153.26176600000002</v>
      </c>
      <c r="H1097" s="4">
        <f t="shared" si="69"/>
        <v>-1.0426729999999793</v>
      </c>
      <c r="I1097" s="4">
        <f t="shared" si="67"/>
        <v>6.8361290000000281</v>
      </c>
      <c r="J1097" s="3">
        <v>52.95</v>
      </c>
      <c r="K1097" s="3">
        <v>20</v>
      </c>
      <c r="L1097" s="13">
        <f>YEAR(Weekly_Prices[[#This Row],[Date]])</f>
        <v>2024</v>
      </c>
      <c r="M1097" s="13">
        <f>MONTH(Weekly_Prices[[#This Row],[Date]])</f>
        <v>6</v>
      </c>
      <c r="N1097" s="3" t="str">
        <f>TEXT(Weekly_Prices[[#This Row],[Date]],"MMMM")</f>
        <v>June</v>
      </c>
      <c r="O1097" s="3" t="str">
        <f>YEAR(Weekly_Prices[[#This Row],[Date]])&amp;"-"&amp;TEXT(WEEKNUM(Weekly_Prices[[#This Row],[Date]],2),"00")</f>
        <v>2024-23</v>
      </c>
    </row>
    <row r="1098" spans="1:15" x14ac:dyDescent="0.35">
      <c r="A1098" s="2">
        <v>45453</v>
      </c>
      <c r="B1098" s="3">
        <v>146.250944</v>
      </c>
      <c r="C1098" s="4">
        <f t="shared" si="68"/>
        <v>-1.0146159999999895</v>
      </c>
      <c r="D1098" s="4">
        <f t="shared" si="66"/>
        <v>3.5376860000000079</v>
      </c>
      <c r="E1098" s="3">
        <v>52.95</v>
      </c>
      <c r="F1098" s="3">
        <v>20</v>
      </c>
      <c r="G1098" s="3">
        <v>151.991635</v>
      </c>
      <c r="H1098" s="4">
        <f t="shared" si="69"/>
        <v>-1.2701310000000205</v>
      </c>
      <c r="I1098" s="4">
        <f t="shared" si="67"/>
        <v>6.5158950000000289</v>
      </c>
      <c r="J1098" s="3">
        <v>52.95</v>
      </c>
      <c r="K1098" s="3">
        <v>20</v>
      </c>
      <c r="L1098" s="13">
        <f>YEAR(Weekly_Prices[[#This Row],[Date]])</f>
        <v>2024</v>
      </c>
      <c r="M1098" s="13">
        <f>MONTH(Weekly_Prices[[#This Row],[Date]])</f>
        <v>6</v>
      </c>
      <c r="N1098" s="3" t="str">
        <f>TEXT(Weekly_Prices[[#This Row],[Date]],"MMMM")</f>
        <v>June</v>
      </c>
      <c r="O1098" s="3" t="str">
        <f>YEAR(Weekly_Prices[[#This Row],[Date]])&amp;"-"&amp;TEXT(WEEKNUM(Weekly_Prices[[#This Row],[Date]],2),"00")</f>
        <v>2024-24</v>
      </c>
    </row>
    <row r="1099" spans="1:15" x14ac:dyDescent="0.35">
      <c r="A1099" s="2">
        <v>45460</v>
      </c>
      <c r="B1099" s="3">
        <v>145.094052</v>
      </c>
      <c r="C1099" s="4">
        <f t="shared" si="68"/>
        <v>-1.1568919999999991</v>
      </c>
      <c r="D1099" s="4">
        <f t="shared" si="66"/>
        <v>2.139251999999999</v>
      </c>
      <c r="E1099" s="3">
        <v>52.95</v>
      </c>
      <c r="F1099" s="3">
        <v>20</v>
      </c>
      <c r="G1099" s="3">
        <v>150.70382199999997</v>
      </c>
      <c r="H1099" s="4">
        <f t="shared" si="69"/>
        <v>-1.2878130000000283</v>
      </c>
      <c r="I1099" s="4">
        <f t="shared" si="67"/>
        <v>5.5068419999999492</v>
      </c>
      <c r="J1099" s="3">
        <v>52.95</v>
      </c>
      <c r="K1099" s="3">
        <v>20</v>
      </c>
      <c r="L1099" s="13">
        <f>YEAR(Weekly_Prices[[#This Row],[Date]])</f>
        <v>2024</v>
      </c>
      <c r="M1099" s="13">
        <f>MONTH(Weekly_Prices[[#This Row],[Date]])</f>
        <v>6</v>
      </c>
      <c r="N1099" s="3" t="str">
        <f>TEXT(Weekly_Prices[[#This Row],[Date]],"MMMM")</f>
        <v>June</v>
      </c>
      <c r="O1099" s="3" t="str">
        <f>YEAR(Weekly_Prices[[#This Row],[Date]])&amp;"-"&amp;TEXT(WEEKNUM(Weekly_Prices[[#This Row],[Date]],2),"00")</f>
        <v>2024-25</v>
      </c>
    </row>
    <row r="1100" spans="1:15" x14ac:dyDescent="0.35">
      <c r="A1100" s="2">
        <v>45467</v>
      </c>
      <c r="B1100" s="3">
        <v>144.43488299999999</v>
      </c>
      <c r="C1100" s="4">
        <f t="shared" si="68"/>
        <v>-0.65916900000001988</v>
      </c>
      <c r="D1100" s="4">
        <f t="shared" si="66"/>
        <v>1.0088059999999928</v>
      </c>
      <c r="E1100" s="3">
        <v>52.95</v>
      </c>
      <c r="F1100" s="3">
        <v>20</v>
      </c>
      <c r="G1100" s="3">
        <v>150.11735599999997</v>
      </c>
      <c r="H1100" s="4">
        <f t="shared" si="69"/>
        <v>-0.58646600000000149</v>
      </c>
      <c r="I1100" s="4">
        <f t="shared" si="67"/>
        <v>4.4720129999999756</v>
      </c>
      <c r="J1100" s="3">
        <v>52.95</v>
      </c>
      <c r="K1100" s="3">
        <v>20</v>
      </c>
      <c r="L1100" s="13">
        <f>YEAR(Weekly_Prices[[#This Row],[Date]])</f>
        <v>2024</v>
      </c>
      <c r="M1100" s="13">
        <f>MONTH(Weekly_Prices[[#This Row],[Date]])</f>
        <v>6</v>
      </c>
      <c r="N1100" s="3" t="str">
        <f>TEXT(Weekly_Prices[[#This Row],[Date]],"MMMM")</f>
        <v>June</v>
      </c>
      <c r="O1100" s="3" t="str">
        <f>YEAR(Weekly_Prices[[#This Row],[Date]])&amp;"-"&amp;TEXT(WEEKNUM(Weekly_Prices[[#This Row],[Date]],2),"00")</f>
        <v>2024-26</v>
      </c>
    </row>
    <row r="1101" spans="1:15" x14ac:dyDescent="0.35">
      <c r="A1101" s="2">
        <v>45474</v>
      </c>
      <c r="B1101" s="3">
        <v>144.27794700000001</v>
      </c>
      <c r="C1101" s="4">
        <f t="shared" si="68"/>
        <v>-0.15693599999997332</v>
      </c>
      <c r="D1101" s="4">
        <f t="shared" si="66"/>
        <v>0.88126300000001834</v>
      </c>
      <c r="E1101" s="3">
        <v>52.95</v>
      </c>
      <c r="F1101" s="3">
        <v>20</v>
      </c>
      <c r="G1101" s="3">
        <v>150.059617</v>
      </c>
      <c r="H1101" s="4">
        <f t="shared" si="69"/>
        <v>-5.7738999999969565E-2</v>
      </c>
      <c r="I1101" s="4">
        <f t="shared" si="67"/>
        <v>4.5431030000000021</v>
      </c>
      <c r="J1101" s="3">
        <v>52.95</v>
      </c>
      <c r="K1101" s="3">
        <v>20</v>
      </c>
      <c r="L1101" s="13">
        <f>YEAR(Weekly_Prices[[#This Row],[Date]])</f>
        <v>2024</v>
      </c>
      <c r="M1101" s="13">
        <f>MONTH(Weekly_Prices[[#This Row],[Date]])</f>
        <v>7</v>
      </c>
      <c r="N1101" s="3" t="str">
        <f>TEXT(Weekly_Prices[[#This Row],[Date]],"MMMM")</f>
        <v>July</v>
      </c>
      <c r="O1101" s="3" t="str">
        <f>YEAR(Weekly_Prices[[#This Row],[Date]])&amp;"-"&amp;TEXT(WEEKNUM(Weekly_Prices[[#This Row],[Date]],2),"00")</f>
        <v>2024-27</v>
      </c>
    </row>
    <row r="1102" spans="1:15" x14ac:dyDescent="0.35">
      <c r="A1102" s="2">
        <v>45481</v>
      </c>
      <c r="B1102" s="3">
        <v>144.44523700000002</v>
      </c>
      <c r="C1102" s="4">
        <f t="shared" si="68"/>
        <v>0.16729000000000838</v>
      </c>
      <c r="D1102" s="4">
        <f t="shared" si="66"/>
        <v>1.5723480000000336</v>
      </c>
      <c r="E1102" s="3">
        <v>52.95</v>
      </c>
      <c r="F1102" s="3">
        <v>20</v>
      </c>
      <c r="G1102" s="3">
        <v>150.39364499999999</v>
      </c>
      <c r="H1102" s="4">
        <f t="shared" si="69"/>
        <v>0.33402799999998933</v>
      </c>
      <c r="I1102" s="4">
        <f t="shared" si="67"/>
        <v>5.6629869999999869</v>
      </c>
      <c r="J1102" s="3">
        <v>52.95</v>
      </c>
      <c r="K1102" s="3">
        <v>20</v>
      </c>
      <c r="L1102" s="13">
        <f>YEAR(Weekly_Prices[[#This Row],[Date]])</f>
        <v>2024</v>
      </c>
      <c r="M1102" s="13">
        <f>MONTH(Weekly_Prices[[#This Row],[Date]])</f>
        <v>7</v>
      </c>
      <c r="N1102" s="3" t="str">
        <f>TEXT(Weekly_Prices[[#This Row],[Date]],"MMMM")</f>
        <v>July</v>
      </c>
      <c r="O1102" s="3" t="str">
        <f>YEAR(Weekly_Prices[[#This Row],[Date]])&amp;"-"&amp;TEXT(WEEKNUM(Weekly_Prices[[#This Row],[Date]],2),"00")</f>
        <v>2024-28</v>
      </c>
    </row>
    <row r="1103" spans="1:15" x14ac:dyDescent="0.35">
      <c r="A1103" s="2">
        <v>45488</v>
      </c>
      <c r="B1103" s="3">
        <v>144.59996699999999</v>
      </c>
      <c r="C1103" s="4">
        <f t="shared" si="68"/>
        <v>0.15472999999997228</v>
      </c>
      <c r="D1103" s="4">
        <f t="shared" si="66"/>
        <v>1.8338640000000055</v>
      </c>
      <c r="E1103" s="3">
        <v>52.95</v>
      </c>
      <c r="F1103" s="3">
        <v>20</v>
      </c>
      <c r="G1103" s="7">
        <v>150.56242700000001</v>
      </c>
      <c r="H1103" s="4">
        <f t="shared" si="69"/>
        <v>0.16878200000002153</v>
      </c>
      <c r="I1103" s="4">
        <f t="shared" si="67"/>
        <v>5.9259999999999877</v>
      </c>
      <c r="J1103" s="3">
        <v>52.95</v>
      </c>
      <c r="K1103" s="3">
        <v>20</v>
      </c>
      <c r="L1103" s="13">
        <f>YEAR(Weekly_Prices[[#This Row],[Date]])</f>
        <v>2024</v>
      </c>
      <c r="M1103" s="13">
        <f>MONTH(Weekly_Prices[[#This Row],[Date]])</f>
        <v>7</v>
      </c>
      <c r="N1103" s="3" t="str">
        <f>TEXT(Weekly_Prices[[#This Row],[Date]],"MMMM")</f>
        <v>July</v>
      </c>
      <c r="O1103" s="3" t="str">
        <f>YEAR(Weekly_Prices[[#This Row],[Date]])&amp;"-"&amp;TEXT(WEEKNUM(Weekly_Prices[[#This Row],[Date]],2),"00")</f>
        <v>2024-29</v>
      </c>
    </row>
    <row r="1104" spans="1:15" x14ac:dyDescent="0.35">
      <c r="A1104" s="2">
        <v>45495</v>
      </c>
      <c r="B1104" s="8">
        <v>144.68757200000002</v>
      </c>
      <c r="C1104" s="4">
        <f t="shared" si="68"/>
        <v>8.7605000000024802E-2</v>
      </c>
      <c r="D1104" s="4">
        <f t="shared" si="66"/>
        <v>1.729928000000001</v>
      </c>
      <c r="E1104" s="3">
        <v>52.95</v>
      </c>
      <c r="F1104" s="3">
        <v>20</v>
      </c>
      <c r="G1104" s="9">
        <v>150.59186200000002</v>
      </c>
      <c r="H1104" s="4">
        <f t="shared" si="69"/>
        <v>2.9435000000006539E-2</v>
      </c>
      <c r="I1104" s="4">
        <f t="shared" si="67"/>
        <v>5.4618590000000324</v>
      </c>
      <c r="J1104" s="3">
        <v>52.95</v>
      </c>
      <c r="K1104" s="3">
        <v>20</v>
      </c>
      <c r="L1104" s="13">
        <f>YEAR(Weekly_Prices[[#This Row],[Date]])</f>
        <v>2024</v>
      </c>
      <c r="M1104" s="13">
        <f>MONTH(Weekly_Prices[[#This Row],[Date]])</f>
        <v>7</v>
      </c>
      <c r="N1104" s="3" t="str">
        <f>TEXT(Weekly_Prices[[#This Row],[Date]],"MMMM")</f>
        <v>July</v>
      </c>
      <c r="O1104" s="3" t="str">
        <f>YEAR(Weekly_Prices[[#This Row],[Date]])&amp;"-"&amp;TEXT(WEEKNUM(Weekly_Prices[[#This Row],[Date]],2),"00")</f>
        <v>2024-30</v>
      </c>
    </row>
    <row r="1105" spans="1:15" x14ac:dyDescent="0.35">
      <c r="A1105" s="2">
        <v>45502</v>
      </c>
      <c r="B1105" s="3">
        <v>144.191057</v>
      </c>
      <c r="C1105" s="4">
        <f t="shared" si="68"/>
        <v>-0.49651500000001647</v>
      </c>
      <c r="D1105" s="4">
        <f t="shared" si="66"/>
        <v>5.9692000000040935E-2</v>
      </c>
      <c r="E1105" s="3">
        <v>52.95</v>
      </c>
      <c r="F1105" s="3">
        <v>20</v>
      </c>
      <c r="G1105" s="3">
        <v>150.156567</v>
      </c>
      <c r="H1105" s="4">
        <f t="shared" si="69"/>
        <v>-0.43529500000002486</v>
      </c>
      <c r="I1105" s="4">
        <f t="shared" si="67"/>
        <v>4.207681000000008</v>
      </c>
      <c r="J1105" s="3">
        <v>52.95</v>
      </c>
      <c r="K1105" s="3">
        <v>20</v>
      </c>
      <c r="L1105" s="13">
        <f>YEAR(Weekly_Prices[[#This Row],[Date]])</f>
        <v>2024</v>
      </c>
      <c r="M1105" s="13">
        <f>MONTH(Weekly_Prices[[#This Row],[Date]])</f>
        <v>7</v>
      </c>
      <c r="N1105" s="3" t="str">
        <f>TEXT(Weekly_Prices[[#This Row],[Date]],"MMMM")</f>
        <v>July</v>
      </c>
      <c r="O1105" s="3" t="str">
        <f>YEAR(Weekly_Prices[[#This Row],[Date]])&amp;"-"&amp;TEXT(WEEKNUM(Weekly_Prices[[#This Row],[Date]],2),"00")</f>
        <v>2024-31</v>
      </c>
    </row>
    <row r="1106" spans="1:15" x14ac:dyDescent="0.35">
      <c r="A1106" s="2">
        <v>45509</v>
      </c>
      <c r="B1106" s="3">
        <v>143.42443</v>
      </c>
      <c r="C1106" s="4">
        <f t="shared" si="68"/>
        <v>-0.76662699999999973</v>
      </c>
      <c r="D1106" s="4">
        <f t="shared" si="66"/>
        <v>-2.7507529999999747</v>
      </c>
      <c r="E1106" s="3">
        <v>52.95</v>
      </c>
      <c r="F1106" s="3">
        <v>20</v>
      </c>
      <c r="G1106" s="3">
        <v>149.09860000000003</v>
      </c>
      <c r="H1106" s="4">
        <f t="shared" si="69"/>
        <v>-1.0579669999999624</v>
      </c>
      <c r="I1106" s="4">
        <f t="shared" si="67"/>
        <v>0.86907200000001694</v>
      </c>
      <c r="J1106" s="3">
        <v>52.95</v>
      </c>
      <c r="K1106" s="3">
        <v>20</v>
      </c>
      <c r="L1106" s="13">
        <f>YEAR(Weekly_Prices[[#This Row],[Date]])</f>
        <v>2024</v>
      </c>
      <c r="M1106" s="13">
        <f>MONTH(Weekly_Prices[[#This Row],[Date]])</f>
        <v>8</v>
      </c>
      <c r="N1106" s="3" t="str">
        <f>TEXT(Weekly_Prices[[#This Row],[Date]],"MMMM")</f>
        <v>August</v>
      </c>
      <c r="O1106" s="3" t="str">
        <f>YEAR(Weekly_Prices[[#This Row],[Date]])&amp;"-"&amp;TEXT(WEEKNUM(Weekly_Prices[[#This Row],[Date]],2),"00")</f>
        <v>2024-32</v>
      </c>
    </row>
    <row r="1107" spans="1:15" x14ac:dyDescent="0.35">
      <c r="A1107" s="2">
        <v>45516</v>
      </c>
      <c r="B1107" s="3">
        <v>142.91306100000003</v>
      </c>
      <c r="C1107" s="4">
        <f t="shared" si="68"/>
        <v>-0.51136899999997354</v>
      </c>
      <c r="D1107" s="4">
        <f t="shared" si="66"/>
        <v>-4.8597399999999595</v>
      </c>
      <c r="E1107" s="3">
        <v>52.95</v>
      </c>
      <c r="F1107" s="3">
        <v>20</v>
      </c>
      <c r="G1107" s="3">
        <v>148.47881599999999</v>
      </c>
      <c r="H1107" s="4">
        <f t="shared" si="69"/>
        <v>-0.6197840000000383</v>
      </c>
      <c r="I1107" s="4">
        <f t="shared" si="67"/>
        <v>-1.8949780000000089</v>
      </c>
      <c r="J1107" s="3">
        <v>52.95</v>
      </c>
      <c r="K1107" s="3">
        <v>20</v>
      </c>
      <c r="L1107" s="13">
        <f>YEAR(Weekly_Prices[[#This Row],[Date]])</f>
        <v>2024</v>
      </c>
      <c r="M1107" s="13">
        <f>MONTH(Weekly_Prices[[#This Row],[Date]])</f>
        <v>8</v>
      </c>
      <c r="N1107" s="3" t="str">
        <f>TEXT(Weekly_Prices[[#This Row],[Date]],"MMMM")</f>
        <v>August</v>
      </c>
      <c r="O1107" s="3" t="str">
        <f>YEAR(Weekly_Prices[[#This Row],[Date]])&amp;"-"&amp;TEXT(WEEKNUM(Weekly_Prices[[#This Row],[Date]],2),"00")</f>
        <v>2024-33</v>
      </c>
    </row>
    <row r="1108" spans="1:15" x14ac:dyDescent="0.35">
      <c r="A1108" s="2">
        <v>45523</v>
      </c>
      <c r="B1108" s="3">
        <v>141.95977600000001</v>
      </c>
      <c r="C1108" s="4">
        <f t="shared" si="68"/>
        <v>-0.95328500000002236</v>
      </c>
      <c r="D1108" s="4">
        <f t="shared" si="66"/>
        <v>-7.4437139999999999</v>
      </c>
      <c r="E1108" s="3">
        <v>52.95</v>
      </c>
      <c r="F1108" s="3">
        <v>20</v>
      </c>
      <c r="G1108" s="3">
        <v>147.424058</v>
      </c>
      <c r="H1108" s="4">
        <f t="shared" si="69"/>
        <v>-1.0547579999999925</v>
      </c>
      <c r="I1108" s="4">
        <f t="shared" si="67"/>
        <v>-4.7189250000000129</v>
      </c>
      <c r="J1108" s="3">
        <v>52.95</v>
      </c>
      <c r="K1108" s="3">
        <v>20</v>
      </c>
      <c r="L1108" s="13">
        <f>YEAR(Weekly_Prices[[#This Row],[Date]])</f>
        <v>2024</v>
      </c>
      <c r="M1108" s="13">
        <f>MONTH(Weekly_Prices[[#This Row],[Date]])</f>
        <v>8</v>
      </c>
      <c r="N1108" s="3" t="str">
        <f>TEXT(Weekly_Prices[[#This Row],[Date]],"MMMM")</f>
        <v>August</v>
      </c>
      <c r="O1108" s="3" t="str">
        <f>YEAR(Weekly_Prices[[#This Row],[Date]])&amp;"-"&amp;TEXT(WEEKNUM(Weekly_Prices[[#This Row],[Date]],2),"00")</f>
        <v>2024-34</v>
      </c>
    </row>
    <row r="1109" spans="1:15" x14ac:dyDescent="0.35">
      <c r="A1109" s="2">
        <v>45530</v>
      </c>
      <c r="B1109" s="10">
        <v>141.00969899999998</v>
      </c>
      <c r="C1109" s="4">
        <f t="shared" si="68"/>
        <v>-0.9500770000000216</v>
      </c>
      <c r="D1109" s="4">
        <f t="shared" si="66"/>
        <v>-9.7231890000000192</v>
      </c>
      <c r="E1109" s="3">
        <v>52.95</v>
      </c>
      <c r="F1109" s="3">
        <v>20</v>
      </c>
      <c r="G1109" s="10">
        <v>146.14681300000004</v>
      </c>
      <c r="H1109" s="4">
        <f t="shared" si="69"/>
        <v>-1.2772449999999651</v>
      </c>
      <c r="I1109" s="4">
        <f t="shared" si="67"/>
        <v>-7.3745189999999923</v>
      </c>
      <c r="J1109" s="3">
        <v>52.95</v>
      </c>
      <c r="K1109" s="3">
        <v>20</v>
      </c>
      <c r="L1109" s="13">
        <f>YEAR(Weekly_Prices[[#This Row],[Date]])</f>
        <v>2024</v>
      </c>
      <c r="M1109" s="13">
        <f>MONTH(Weekly_Prices[[#This Row],[Date]])</f>
        <v>8</v>
      </c>
      <c r="N1109" s="3" t="str">
        <f>TEXT(Weekly_Prices[[#This Row],[Date]],"MMMM")</f>
        <v>August</v>
      </c>
      <c r="O1109" s="3" t="str">
        <f>YEAR(Weekly_Prices[[#This Row],[Date]])&amp;"-"&amp;TEXT(WEEKNUM(Weekly_Prices[[#This Row],[Date]],2),"00")</f>
        <v>2024-35</v>
      </c>
    </row>
    <row r="1110" spans="1:15" x14ac:dyDescent="0.35">
      <c r="A1110" s="2">
        <v>45537</v>
      </c>
      <c r="B1110" s="11">
        <v>139.96133</v>
      </c>
      <c r="C1110" s="4">
        <f t="shared" si="68"/>
        <v>-1.0483689999999797</v>
      </c>
      <c r="D1110" s="4">
        <f t="shared" si="66"/>
        <v>-11.748302000000024</v>
      </c>
      <c r="E1110" s="3">
        <v>52.95</v>
      </c>
      <c r="F1110" s="3">
        <v>20</v>
      </c>
      <c r="G1110" s="11">
        <v>145.18855400000001</v>
      </c>
      <c r="H1110" s="4">
        <f t="shared" si="69"/>
        <v>-0.95825900000002662</v>
      </c>
      <c r="I1110" s="4">
        <f t="shared" si="67"/>
        <v>-9.4575159999999698</v>
      </c>
      <c r="J1110" s="3">
        <v>52.95</v>
      </c>
      <c r="K1110" s="3">
        <v>20</v>
      </c>
      <c r="L1110" s="13">
        <f>YEAR(Weekly_Prices[[#This Row],[Date]])</f>
        <v>2024</v>
      </c>
      <c r="M1110" s="13">
        <f>MONTH(Weekly_Prices[[#This Row],[Date]])</f>
        <v>9</v>
      </c>
      <c r="N1110" s="3" t="str">
        <f>TEXT(Weekly_Prices[[#This Row],[Date]],"MMMM")</f>
        <v>September</v>
      </c>
      <c r="O1110" s="3" t="str">
        <f>YEAR(Weekly_Prices[[#This Row],[Date]])&amp;"-"&amp;TEXT(WEEKNUM(Weekly_Prices[[#This Row],[Date]],2),"00")</f>
        <v>2024-36</v>
      </c>
    </row>
    <row r="1111" spans="1:15" x14ac:dyDescent="0.35">
      <c r="A1111" s="2">
        <v>45544</v>
      </c>
      <c r="B1111" s="11">
        <v>138.100517</v>
      </c>
      <c r="C1111" s="4">
        <f t="shared" si="68"/>
        <v>-1.8608130000000074</v>
      </c>
      <c r="D1111" s="4">
        <f t="shared" si="66"/>
        <v>-14.994537000000037</v>
      </c>
      <c r="E1111" s="3">
        <v>52.95</v>
      </c>
      <c r="F1111" s="3">
        <v>20</v>
      </c>
      <c r="G1111" s="11">
        <v>143.40070400000002</v>
      </c>
      <c r="H1111" s="4">
        <f t="shared" si="69"/>
        <v>-1.7878499999999917</v>
      </c>
      <c r="I1111" s="4">
        <f t="shared" si="67"/>
        <v>-12.746572999999984</v>
      </c>
      <c r="J1111" s="3">
        <v>52.95</v>
      </c>
      <c r="K1111" s="3">
        <v>20</v>
      </c>
      <c r="L1111" s="13">
        <f>YEAR(Weekly_Prices[[#This Row],[Date]])</f>
        <v>2024</v>
      </c>
      <c r="M1111" s="13">
        <f>MONTH(Weekly_Prices[[#This Row],[Date]])</f>
        <v>9</v>
      </c>
      <c r="N1111" s="3" t="str">
        <f>TEXT(Weekly_Prices[[#This Row],[Date]],"MMMM")</f>
        <v>September</v>
      </c>
      <c r="O1111" s="3" t="str">
        <f>YEAR(Weekly_Prices[[#This Row],[Date]])&amp;"-"&amp;TEXT(WEEKNUM(Weekly_Prices[[#This Row],[Date]],2),"00")</f>
        <v>2024-37</v>
      </c>
    </row>
    <row r="1112" spans="1:15" x14ac:dyDescent="0.35">
      <c r="A1112" s="2">
        <v>45551</v>
      </c>
      <c r="B1112" s="11">
        <v>136.485906</v>
      </c>
      <c r="C1112" s="4">
        <f t="shared" si="68"/>
        <v>-1.6146109999999965</v>
      </c>
      <c r="D1112" s="4">
        <f t="shared" si="66"/>
        <v>-17.577184999999986</v>
      </c>
      <c r="E1112" s="3">
        <v>52.95</v>
      </c>
      <c r="F1112" s="3">
        <v>20</v>
      </c>
      <c r="G1112" s="11">
        <v>141.60610999999997</v>
      </c>
      <c r="H1112" s="4">
        <f t="shared" si="69"/>
        <v>-1.7945940000000462</v>
      </c>
      <c r="I1112" s="4">
        <f t="shared" si="67"/>
        <v>-16.551898000000051</v>
      </c>
      <c r="J1112" s="3">
        <v>52.95</v>
      </c>
      <c r="K1112" s="3">
        <v>20</v>
      </c>
      <c r="L1112" s="13">
        <f>YEAR(Weekly_Prices[[#This Row],[Date]])</f>
        <v>2024</v>
      </c>
      <c r="M1112" s="13">
        <f>MONTH(Weekly_Prices[[#This Row],[Date]])</f>
        <v>9</v>
      </c>
      <c r="N1112" s="3" t="str">
        <f>TEXT(Weekly_Prices[[#This Row],[Date]],"MMMM")</f>
        <v>September</v>
      </c>
      <c r="O1112" s="3" t="str">
        <f>YEAR(Weekly_Prices[[#This Row],[Date]])&amp;"-"&amp;TEXT(WEEKNUM(Weekly_Prices[[#This Row],[Date]],2),"00")</f>
        <v>2024-38</v>
      </c>
    </row>
    <row r="1113" spans="1:15" x14ac:dyDescent="0.35">
      <c r="A1113" s="2">
        <v>45558</v>
      </c>
      <c r="B1113" s="11">
        <v>135.25935200000001</v>
      </c>
      <c r="C1113" s="4">
        <f t="shared" si="68"/>
        <v>-1.226553999999993</v>
      </c>
      <c r="D1113" s="4">
        <f t="shared" si="66"/>
        <v>-20.153397999999981</v>
      </c>
      <c r="E1113" s="3">
        <v>52.95</v>
      </c>
      <c r="F1113" s="3">
        <v>20</v>
      </c>
      <c r="G1113" s="11">
        <v>140.018216</v>
      </c>
      <c r="H1113" s="4">
        <f t="shared" si="69"/>
        <v>-1.5878939999999773</v>
      </c>
      <c r="I1113" s="4">
        <f t="shared" si="67"/>
        <v>-20.593322000000001</v>
      </c>
      <c r="J1113" s="3">
        <v>52.95</v>
      </c>
      <c r="K1113" s="3">
        <v>20</v>
      </c>
      <c r="L1113" s="13">
        <f>YEAR(Weekly_Prices[[#This Row],[Date]])</f>
        <v>2024</v>
      </c>
      <c r="M1113" s="13">
        <f>MONTH(Weekly_Prices[[#This Row],[Date]])</f>
        <v>9</v>
      </c>
      <c r="N1113" s="3" t="str">
        <f>TEXT(Weekly_Prices[[#This Row],[Date]],"MMMM")</f>
        <v>September</v>
      </c>
      <c r="O1113" s="3" t="str">
        <f>YEAR(Weekly_Prices[[#This Row],[Date]])&amp;"-"&amp;TEXT(WEEKNUM(Weekly_Prices[[#This Row],[Date]],2),"00")</f>
        <v>2024-39</v>
      </c>
    </row>
    <row r="1114" spans="1:15" x14ac:dyDescent="0.35">
      <c r="A1114" s="2">
        <v>45565</v>
      </c>
      <c r="B1114" s="11">
        <v>134.16621699999999</v>
      </c>
      <c r="C1114" s="4">
        <f t="shared" si="68"/>
        <v>-1.093135000000018</v>
      </c>
      <c r="D1114" s="4">
        <f t="shared" si="66"/>
        <v>-21.850836999999984</v>
      </c>
      <c r="E1114" s="3">
        <v>52.95</v>
      </c>
      <c r="F1114" s="3">
        <v>20</v>
      </c>
      <c r="G1114" s="11">
        <v>138.852994</v>
      </c>
      <c r="H1114" s="4">
        <f t="shared" si="69"/>
        <v>-1.165222</v>
      </c>
      <c r="I1114" s="4">
        <f t="shared" si="67"/>
        <v>-23.299690999999996</v>
      </c>
      <c r="J1114" s="3">
        <v>52.95</v>
      </c>
      <c r="K1114" s="3">
        <v>20</v>
      </c>
      <c r="L1114" s="13">
        <f>YEAR(Weekly_Prices[[#This Row],[Date]])</f>
        <v>2024</v>
      </c>
      <c r="M1114" s="13">
        <f>MONTH(Weekly_Prices[[#This Row],[Date]])</f>
        <v>9</v>
      </c>
      <c r="N1114" s="3" t="str">
        <f>TEXT(Weekly_Prices[[#This Row],[Date]],"MMMM")</f>
        <v>September</v>
      </c>
      <c r="O1114" s="3" t="str">
        <f>YEAR(Weekly_Prices[[#This Row],[Date]])&amp;"-"&amp;TEXT(WEEKNUM(Weekly_Prices[[#This Row],[Date]],2),"00")</f>
        <v>2024-40</v>
      </c>
    </row>
    <row r="1115" spans="1:15" x14ac:dyDescent="0.35">
      <c r="A1115" s="2">
        <v>45572</v>
      </c>
      <c r="B1115" s="11">
        <v>133.58621600000001</v>
      </c>
      <c r="C1115" s="4">
        <f t="shared" si="68"/>
        <v>-0.58000099999998156</v>
      </c>
      <c r="D1115" s="4">
        <f t="shared" si="66"/>
        <v>-22.356338999999991</v>
      </c>
      <c r="E1115" s="3">
        <v>52.95</v>
      </c>
      <c r="F1115" s="3">
        <v>20</v>
      </c>
      <c r="G1115" s="11">
        <v>138.46336599999998</v>
      </c>
      <c r="H1115" s="4">
        <f t="shared" si="69"/>
        <v>-0.38962800000001607</v>
      </c>
      <c r="I1115" s="4">
        <f t="shared" si="67"/>
        <v>-24.029634000000016</v>
      </c>
      <c r="J1115" s="3">
        <v>52.95</v>
      </c>
      <c r="K1115" s="3">
        <v>20</v>
      </c>
      <c r="L1115" s="13">
        <f>YEAR(Weekly_Prices[[#This Row],[Date]])</f>
        <v>2024</v>
      </c>
      <c r="M1115" s="13">
        <f>MONTH(Weekly_Prices[[#This Row],[Date]])</f>
        <v>10</v>
      </c>
      <c r="N1115" s="3" t="str">
        <f>TEXT(Weekly_Prices[[#This Row],[Date]],"MMMM")</f>
        <v>October</v>
      </c>
      <c r="O1115" s="3" t="str">
        <f>YEAR(Weekly_Prices[[#This Row],[Date]])&amp;"-"&amp;TEXT(WEEKNUM(Weekly_Prices[[#This Row],[Date]],2),"00")</f>
        <v>2024-41</v>
      </c>
    </row>
    <row r="1116" spans="1:15" x14ac:dyDescent="0.35">
      <c r="A1116" s="2">
        <v>45579</v>
      </c>
      <c r="B1116" s="11">
        <v>133.86126099999998</v>
      </c>
      <c r="C1116" s="4">
        <f t="shared" si="68"/>
        <v>0.27504499999997734</v>
      </c>
      <c r="D1116" s="4">
        <f t="shared" si="66"/>
        <v>-21.224067000000019</v>
      </c>
      <c r="E1116" s="3">
        <v>52.95</v>
      </c>
      <c r="F1116" s="3">
        <v>20</v>
      </c>
      <c r="G1116" s="11">
        <v>139.07519400000001</v>
      </c>
      <c r="H1116" s="4">
        <f t="shared" si="69"/>
        <v>0.61182800000003112</v>
      </c>
      <c r="I1116" s="4">
        <f t="shared" si="67"/>
        <v>-23.234343999999965</v>
      </c>
      <c r="J1116" s="3">
        <v>52.95</v>
      </c>
      <c r="K1116" s="3">
        <v>20</v>
      </c>
      <c r="L1116" s="13">
        <f>YEAR(Weekly_Prices[[#This Row],[Date]])</f>
        <v>2024</v>
      </c>
      <c r="M1116" s="13">
        <f>MONTH(Weekly_Prices[[#This Row],[Date]])</f>
        <v>10</v>
      </c>
      <c r="N1116" s="3" t="str">
        <f>TEXT(Weekly_Prices[[#This Row],[Date]],"MMMM")</f>
        <v>October</v>
      </c>
      <c r="O1116" s="3" t="str">
        <f>YEAR(Weekly_Prices[[#This Row],[Date]])&amp;"-"&amp;TEXT(WEEKNUM(Weekly_Prices[[#This Row],[Date]],2),"00")</f>
        <v>2024-42</v>
      </c>
    </row>
    <row r="1117" spans="1:15" x14ac:dyDescent="0.35">
      <c r="A1117" s="2">
        <v>45586</v>
      </c>
      <c r="B1117" s="11">
        <v>133.98826600000001</v>
      </c>
      <c r="C1117" s="4">
        <f t="shared" si="68"/>
        <v>0.12700500000002535</v>
      </c>
      <c r="D1117" s="4">
        <f t="shared" si="66"/>
        <v>-20.642579999999981</v>
      </c>
      <c r="E1117" s="3">
        <v>52.95</v>
      </c>
      <c r="F1117" s="3">
        <v>20</v>
      </c>
      <c r="G1117" s="11">
        <v>139.26096699999999</v>
      </c>
      <c r="H1117" s="4">
        <f t="shared" si="69"/>
        <v>0.18577299999998331</v>
      </c>
      <c r="I1117" s="4">
        <f t="shared" si="67"/>
        <v>-22.929970000000026</v>
      </c>
      <c r="J1117" s="3">
        <v>52.95</v>
      </c>
      <c r="K1117" s="3">
        <v>20</v>
      </c>
      <c r="L1117" s="13">
        <f>YEAR(Weekly_Prices[[#This Row],[Date]])</f>
        <v>2024</v>
      </c>
      <c r="M1117" s="13">
        <f>MONTH(Weekly_Prices[[#This Row],[Date]])</f>
        <v>10</v>
      </c>
      <c r="N1117" s="3" t="str">
        <f>TEXT(Weekly_Prices[[#This Row],[Date]],"MMMM")</f>
        <v>October</v>
      </c>
      <c r="O1117" s="3" t="str">
        <f>YEAR(Weekly_Prices[[#This Row],[Date]])&amp;"-"&amp;TEXT(WEEKNUM(Weekly_Prices[[#This Row],[Date]],2),"00")</f>
        <v>2024-43</v>
      </c>
    </row>
    <row r="1118" spans="1:15" x14ac:dyDescent="0.35">
      <c r="A1118" s="2">
        <v>45593</v>
      </c>
      <c r="B1118" s="11">
        <v>134.413331</v>
      </c>
      <c r="C1118" s="4">
        <f t="shared" si="68"/>
        <v>0.42506499999998937</v>
      </c>
      <c r="D1118" s="4">
        <f t="shared" si="66"/>
        <v>-19.560124999999999</v>
      </c>
      <c r="E1118" s="3">
        <v>52.95</v>
      </c>
      <c r="F1118" s="3">
        <v>20</v>
      </c>
      <c r="G1118" s="11">
        <v>139.709745</v>
      </c>
      <c r="H1118" s="4">
        <f t="shared" si="69"/>
        <v>0.44877800000000434</v>
      </c>
      <c r="I1118" s="4">
        <f t="shared" si="67"/>
        <v>-22.046530000000018</v>
      </c>
      <c r="J1118" s="3">
        <v>52.95</v>
      </c>
      <c r="K1118" s="3">
        <v>20</v>
      </c>
      <c r="L1118" s="13">
        <f>YEAR(Weekly_Prices[[#This Row],[Date]])</f>
        <v>2024</v>
      </c>
      <c r="M1118" s="13">
        <f>MONTH(Weekly_Prices[[#This Row],[Date]])</f>
        <v>10</v>
      </c>
      <c r="N1118" s="3" t="str">
        <f>TEXT(Weekly_Prices[[#This Row],[Date]],"MMMM")</f>
        <v>October</v>
      </c>
      <c r="O1118" s="3" t="str">
        <f>YEAR(Weekly_Prices[[#This Row],[Date]])&amp;"-"&amp;TEXT(WEEKNUM(Weekly_Prices[[#This Row],[Date]],2),"00")</f>
        <v>2024-44</v>
      </c>
    </row>
    <row r="1119" spans="1:15" x14ac:dyDescent="0.35">
      <c r="A1119" s="2">
        <v>45600</v>
      </c>
      <c r="B1119" s="11">
        <v>134.410302</v>
      </c>
      <c r="C1119" s="4">
        <f t="shared" si="68"/>
        <v>-3.02899999999795E-3</v>
      </c>
      <c r="D1119" s="4">
        <f t="shared" si="66"/>
        <v>-18.794464000000005</v>
      </c>
      <c r="E1119" s="3">
        <v>52.95</v>
      </c>
      <c r="F1119" s="3">
        <v>20</v>
      </c>
      <c r="G1119" s="11">
        <v>139.84395799999999</v>
      </c>
      <c r="H1119" s="4">
        <f t="shared" si="69"/>
        <v>0.13421299999998837</v>
      </c>
      <c r="I1119" s="4">
        <f t="shared" si="67"/>
        <v>-21.01598899999999</v>
      </c>
      <c r="J1119" s="3">
        <v>52.95</v>
      </c>
      <c r="K1119" s="3">
        <v>20</v>
      </c>
      <c r="L1119" s="13">
        <f>YEAR(Weekly_Prices[[#This Row],[Date]])</f>
        <v>2024</v>
      </c>
      <c r="M1119" s="13">
        <f>MONTH(Weekly_Prices[[#This Row],[Date]])</f>
        <v>11</v>
      </c>
      <c r="N1119" s="3" t="str">
        <f>TEXT(Weekly_Prices[[#This Row],[Date]],"MMMM")</f>
        <v>November</v>
      </c>
      <c r="O1119" s="3" t="str">
        <f>YEAR(Weekly_Prices[[#This Row],[Date]])&amp;"-"&amp;TEXT(WEEKNUM(Weekly_Prices[[#This Row],[Date]],2),"00")</f>
        <v>2024-45</v>
      </c>
    </row>
    <row r="1120" spans="1:15" x14ac:dyDescent="0.35">
      <c r="A1120" s="2">
        <v>45607</v>
      </c>
      <c r="B1120" s="11">
        <v>134.59466</v>
      </c>
      <c r="C1120" s="4">
        <f t="shared" si="68"/>
        <v>0.18435800000000313</v>
      </c>
      <c r="D1120" s="4">
        <f t="shared" si="66"/>
        <v>-17.795949000000007</v>
      </c>
      <c r="E1120" s="3">
        <v>52.95</v>
      </c>
      <c r="F1120" s="3">
        <v>20</v>
      </c>
      <c r="G1120" s="11">
        <v>140.13422300000002</v>
      </c>
      <c r="H1120" s="4">
        <f t="shared" si="69"/>
        <v>0.29026500000003352</v>
      </c>
      <c r="I1120" s="4">
        <f t="shared" si="67"/>
        <v>-20.252406000000008</v>
      </c>
      <c r="J1120" s="3">
        <v>52.95</v>
      </c>
      <c r="K1120" s="3">
        <v>20</v>
      </c>
      <c r="L1120" s="13">
        <f>YEAR(Weekly_Prices[[#This Row],[Date]])</f>
        <v>2024</v>
      </c>
      <c r="M1120" s="13">
        <f>MONTH(Weekly_Prices[[#This Row],[Date]])</f>
        <v>11</v>
      </c>
      <c r="N1120" s="3" t="str">
        <f>TEXT(Weekly_Prices[[#This Row],[Date]],"MMMM")</f>
        <v>November</v>
      </c>
      <c r="O1120" s="3" t="str">
        <f>YEAR(Weekly_Prices[[#This Row],[Date]])&amp;"-"&amp;TEXT(WEEKNUM(Weekly_Prices[[#This Row],[Date]],2),"00")</f>
        <v>2024-46</v>
      </c>
    </row>
    <row r="1121" spans="1:15" x14ac:dyDescent="0.35">
      <c r="A1121" s="2">
        <v>45614</v>
      </c>
      <c r="B1121" s="11">
        <v>134.848432</v>
      </c>
      <c r="C1121" s="4">
        <f t="shared" si="68"/>
        <v>0.25377199999999789</v>
      </c>
      <c r="D1121" s="4">
        <f t="shared" si="66"/>
        <v>-15.651865000000015</v>
      </c>
      <c r="E1121" s="3">
        <v>52.95</v>
      </c>
      <c r="F1121" s="3">
        <v>20</v>
      </c>
      <c r="G1121" s="11">
        <v>140.48737899999998</v>
      </c>
      <c r="H1121" s="4">
        <f t="shared" si="69"/>
        <v>0.35315599999995584</v>
      </c>
      <c r="I1121" s="4">
        <f t="shared" si="67"/>
        <v>-17.953745999999995</v>
      </c>
      <c r="J1121" s="3">
        <v>52.95</v>
      </c>
      <c r="K1121" s="3">
        <v>20</v>
      </c>
      <c r="L1121" s="13">
        <f>YEAR(Weekly_Prices[[#This Row],[Date]])</f>
        <v>2024</v>
      </c>
      <c r="M1121" s="13">
        <f>MONTH(Weekly_Prices[[#This Row],[Date]])</f>
        <v>11</v>
      </c>
      <c r="N1121" s="3" t="str">
        <f>TEXT(Weekly_Prices[[#This Row],[Date]],"MMMM")</f>
        <v>November</v>
      </c>
      <c r="O1121" s="3" t="str">
        <f>YEAR(Weekly_Prices[[#This Row],[Date]])&amp;"-"&amp;TEXT(WEEKNUM(Weekly_Prices[[#This Row],[Date]],2),"00")</f>
        <v>2024-47</v>
      </c>
    </row>
    <row r="1122" spans="1:15" x14ac:dyDescent="0.35">
      <c r="A1122" s="2">
        <v>45621</v>
      </c>
      <c r="B1122" s="11">
        <v>135.36596</v>
      </c>
      <c r="C1122" s="4">
        <f t="shared" si="68"/>
        <v>0.51752799999999866</v>
      </c>
      <c r="D1122" s="4">
        <f t="shared" si="66"/>
        <v>-12.626499999999993</v>
      </c>
      <c r="E1122" s="3">
        <v>52.95</v>
      </c>
      <c r="F1122" s="3">
        <v>20</v>
      </c>
      <c r="G1122" s="11">
        <v>141.40484000000001</v>
      </c>
      <c r="H1122" s="4">
        <f t="shared" si="69"/>
        <v>0.91746100000003139</v>
      </c>
      <c r="I1122" s="4">
        <f t="shared" si="67"/>
        <v>-14.778435999999971</v>
      </c>
      <c r="J1122" s="3">
        <v>52.95</v>
      </c>
      <c r="K1122" s="3">
        <v>20</v>
      </c>
      <c r="L1122" s="13">
        <f>YEAR(Weekly_Prices[[#This Row],[Date]])</f>
        <v>2024</v>
      </c>
      <c r="M1122" s="13">
        <f>MONTH(Weekly_Prices[[#This Row],[Date]])</f>
        <v>11</v>
      </c>
      <c r="N1122" s="3" t="str">
        <f>TEXT(Weekly_Prices[[#This Row],[Date]],"MMMM")</f>
        <v>November</v>
      </c>
      <c r="O1122" s="3" t="str">
        <f>YEAR(Weekly_Prices[[#This Row],[Date]])&amp;"-"&amp;TEXT(WEEKNUM(Weekly_Prices[[#This Row],[Date]],2),"00")</f>
        <v>2024-48</v>
      </c>
    </row>
    <row r="1123" spans="1:15" x14ac:dyDescent="0.35">
      <c r="A1123" s="2">
        <v>45628</v>
      </c>
      <c r="B1123" s="11">
        <v>135.92584099999999</v>
      </c>
      <c r="C1123" s="4">
        <f t="shared" si="68"/>
        <v>0.55988099999999008</v>
      </c>
      <c r="D1123" s="4">
        <f t="shared" si="66"/>
        <v>-9.7891290000000311</v>
      </c>
      <c r="E1123" s="3">
        <v>52.95</v>
      </c>
      <c r="F1123" s="3">
        <v>20</v>
      </c>
      <c r="G1123" s="11">
        <v>142.04014499999997</v>
      </c>
      <c r="H1123" s="4">
        <f t="shared" si="69"/>
        <v>0.63530499999995982</v>
      </c>
      <c r="I1123" s="4">
        <f t="shared" si="67"/>
        <v>-12.06443900000005</v>
      </c>
      <c r="J1123" s="3">
        <v>52.95</v>
      </c>
      <c r="K1123" s="3">
        <v>20</v>
      </c>
      <c r="L1123" s="13">
        <f>YEAR(Weekly_Prices[[#This Row],[Date]])</f>
        <v>2024</v>
      </c>
      <c r="M1123" s="13">
        <f>MONTH(Weekly_Prices[[#This Row],[Date]])</f>
        <v>12</v>
      </c>
      <c r="N1123" s="3" t="str">
        <f>TEXT(Weekly_Prices[[#This Row],[Date]],"MMMM")</f>
        <v>December</v>
      </c>
      <c r="O1123" s="3" t="str">
        <f>YEAR(Weekly_Prices[[#This Row],[Date]])&amp;"-"&amp;TEXT(WEEKNUM(Weekly_Prices[[#This Row],[Date]],2),"00")</f>
        <v>2024-49</v>
      </c>
    </row>
    <row r="1124" spans="1:15" x14ac:dyDescent="0.35">
      <c r="A1124" s="2">
        <v>45635</v>
      </c>
      <c r="B1124" s="11">
        <v>136.22645</v>
      </c>
      <c r="C1124" s="4">
        <f t="shared" si="68"/>
        <v>0.30060900000000856</v>
      </c>
      <c r="D1124" s="4">
        <f t="shared" si="66"/>
        <v>-7.5688870000000179</v>
      </c>
      <c r="E1124" s="3">
        <v>52.95</v>
      </c>
      <c r="F1124" s="3">
        <v>20</v>
      </c>
      <c r="G1124" s="11">
        <v>142.48728700000001</v>
      </c>
      <c r="H1124" s="4">
        <f t="shared" si="69"/>
        <v>0.44714200000004212</v>
      </c>
      <c r="I1124" s="4">
        <f t="shared" si="67"/>
        <v>-9.5184919999999806</v>
      </c>
      <c r="J1124" s="3">
        <v>52.95</v>
      </c>
      <c r="K1124" s="3">
        <v>20</v>
      </c>
      <c r="L1124" s="13">
        <f>YEAR(Weekly_Prices[[#This Row],[Date]])</f>
        <v>2024</v>
      </c>
      <c r="M1124" s="13">
        <f>MONTH(Weekly_Prices[[#This Row],[Date]])</f>
        <v>12</v>
      </c>
      <c r="N1124" s="3" t="str">
        <f>TEXT(Weekly_Prices[[#This Row],[Date]],"MMMM")</f>
        <v>December</v>
      </c>
      <c r="O1124" s="3" t="str">
        <f>YEAR(Weekly_Prices[[#This Row],[Date]])&amp;"-"&amp;TEXT(WEEKNUM(Weekly_Prices[[#This Row],[Date]],2),"00")</f>
        <v>2024-50</v>
      </c>
    </row>
    <row r="1125" spans="1:15" x14ac:dyDescent="0.35">
      <c r="A1125" s="2">
        <v>45642</v>
      </c>
      <c r="B1125" s="11">
        <v>136.39128099999999</v>
      </c>
      <c r="C1125" s="4">
        <f t="shared" si="68"/>
        <v>0.1648309999999924</v>
      </c>
      <c r="D1125" s="4">
        <f t="shared" si="66"/>
        <v>-5.1231460000000197</v>
      </c>
      <c r="E1125" s="3">
        <v>52.95</v>
      </c>
      <c r="F1125" s="3">
        <v>20</v>
      </c>
      <c r="G1125" s="11">
        <v>142.70911500000003</v>
      </c>
      <c r="H1125" s="4">
        <f t="shared" si="69"/>
        <v>0.22182800000001635</v>
      </c>
      <c r="I1125" s="4">
        <f t="shared" si="67"/>
        <v>-7.6693459999999618</v>
      </c>
      <c r="J1125" s="3">
        <v>52.95</v>
      </c>
      <c r="K1125" s="3">
        <v>20</v>
      </c>
      <c r="L1125" s="13">
        <f>YEAR(Weekly_Prices[[#This Row],[Date]])</f>
        <v>2024</v>
      </c>
      <c r="M1125" s="13">
        <f>MONTH(Weekly_Prices[[#This Row],[Date]])</f>
        <v>12</v>
      </c>
      <c r="N1125" s="3" t="str">
        <f>TEXT(Weekly_Prices[[#This Row],[Date]],"MMMM")</f>
        <v>December</v>
      </c>
      <c r="O1125" s="3" t="str">
        <f>YEAR(Weekly_Prices[[#This Row],[Date]])&amp;"-"&amp;TEXT(WEEKNUM(Weekly_Prices[[#This Row],[Date]],2),"00")</f>
        <v>2024-51</v>
      </c>
    </row>
    <row r="1126" spans="1:15" x14ac:dyDescent="0.35">
      <c r="A1126" s="2">
        <v>45649</v>
      </c>
      <c r="B1126" s="3">
        <v>136.385029</v>
      </c>
      <c r="C1126" s="4">
        <f t="shared" si="68"/>
        <v>-6.2519999999892661E-3</v>
      </c>
      <c r="D1126" s="4">
        <f t="shared" si="66"/>
        <v>-3.9403729999999939</v>
      </c>
      <c r="E1126" s="3">
        <v>52.95</v>
      </c>
      <c r="F1126" s="3">
        <v>20</v>
      </c>
      <c r="G1126" s="3">
        <v>142.848073</v>
      </c>
      <c r="H1126" s="4">
        <f t="shared" si="69"/>
        <v>0.13895799999997394</v>
      </c>
      <c r="I1126" s="4">
        <f t="shared" si="67"/>
        <v>-6.3877530000000036</v>
      </c>
      <c r="J1126" s="3">
        <v>52.95</v>
      </c>
      <c r="K1126" s="3">
        <v>20</v>
      </c>
      <c r="L1126" s="13">
        <f>YEAR(Weekly_Prices[[#This Row],[Date]])</f>
        <v>2024</v>
      </c>
      <c r="M1126" s="13">
        <f>MONTH(Weekly_Prices[[#This Row],[Date]])</f>
        <v>12</v>
      </c>
      <c r="N1126" s="3" t="str">
        <f>TEXT(Weekly_Prices[[#This Row],[Date]],"MMMM")</f>
        <v>December</v>
      </c>
      <c r="O1126" s="3" t="str">
        <f>YEAR(Weekly_Prices[[#This Row],[Date]])&amp;"-"&amp;TEXT(WEEKNUM(Weekly_Prices[[#This Row],[Date]],2),"00")</f>
        <v>2024-52</v>
      </c>
    </row>
    <row r="1127" spans="1:15" x14ac:dyDescent="0.35">
      <c r="A1127" s="2">
        <v>45656</v>
      </c>
      <c r="B1127" s="3">
        <v>136.491308</v>
      </c>
      <c r="C1127" s="4">
        <f t="shared" si="68"/>
        <v>0.10627900000000068</v>
      </c>
      <c r="D1127" s="4">
        <f t="shared" si="66"/>
        <v>-4.2874379999999803</v>
      </c>
      <c r="E1127" s="3">
        <v>52.95</v>
      </c>
      <c r="F1127" s="3">
        <v>20</v>
      </c>
      <c r="G1127" s="3">
        <v>142.98101699999998</v>
      </c>
      <c r="H1127" s="4">
        <f t="shared" si="69"/>
        <v>0.13294399999998063</v>
      </c>
      <c r="I1127" s="4">
        <f t="shared" si="67"/>
        <v>-5.6839170000000365</v>
      </c>
      <c r="J1127" s="3">
        <v>52.95</v>
      </c>
      <c r="K1127" s="3">
        <v>20</v>
      </c>
      <c r="L1127" s="13">
        <f>YEAR(Weekly_Prices[[#This Row],[Date]])</f>
        <v>2024</v>
      </c>
      <c r="M1127" s="13">
        <f>MONTH(Weekly_Prices[[#This Row],[Date]])</f>
        <v>12</v>
      </c>
      <c r="N1127" s="3" t="str">
        <f>TEXT(Weekly_Prices[[#This Row],[Date]],"MMMM")</f>
        <v>December</v>
      </c>
      <c r="O1127" s="3" t="str">
        <f>YEAR(Weekly_Prices[[#This Row],[Date]])&amp;"-"&amp;TEXT(WEEKNUM(Weekly_Prices[[#This Row],[Date]],2),"00")</f>
        <v>2024-53</v>
      </c>
    </row>
    <row r="1128" spans="1:15" x14ac:dyDescent="0.35">
      <c r="A1128" s="2">
        <v>45663</v>
      </c>
      <c r="B1128" s="3">
        <v>136.60324699999998</v>
      </c>
      <c r="C1128" s="4">
        <f t="shared" si="68"/>
        <v>0.11193899999997825</v>
      </c>
      <c r="D1128" s="4">
        <f t="shared" si="66"/>
        <v>-3.1159560000000113</v>
      </c>
      <c r="E1128" s="3">
        <v>52.95</v>
      </c>
      <c r="F1128" s="3">
        <v>20</v>
      </c>
      <c r="G1128" s="3">
        <v>143.295242</v>
      </c>
      <c r="H1128" s="4">
        <f t="shared" si="69"/>
        <v>0.31422500000002174</v>
      </c>
      <c r="I1128" s="4">
        <f t="shared" si="67"/>
        <v>-4.9171240000000012</v>
      </c>
      <c r="J1128" s="3">
        <v>52.95</v>
      </c>
      <c r="K1128" s="3">
        <v>20</v>
      </c>
      <c r="L1128" s="13">
        <f>YEAR(Weekly_Prices[[#This Row],[Date]])</f>
        <v>2025</v>
      </c>
      <c r="M1128" s="13">
        <f>MONTH(Weekly_Prices[[#This Row],[Date]])</f>
        <v>1</v>
      </c>
      <c r="N1128" s="3" t="str">
        <f>TEXT(Weekly_Prices[[#This Row],[Date]],"MMMM")</f>
        <v>January</v>
      </c>
      <c r="O1128" s="3" t="str">
        <f>YEAR(Weekly_Prices[[#This Row],[Date]])&amp;"-"&amp;TEXT(WEEKNUM(Weekly_Prices[[#This Row],[Date]],2),"00")</f>
        <v>2025-02</v>
      </c>
    </row>
    <row r="1129" spans="1:15" x14ac:dyDescent="0.35">
      <c r="A1129" s="2">
        <v>45670</v>
      </c>
      <c r="B1129" s="3">
        <v>136.509985</v>
      </c>
      <c r="C1129" s="4">
        <f t="shared" si="68"/>
        <v>-9.3261999999981526E-2</v>
      </c>
      <c r="D1129" s="4">
        <f t="shared" si="66"/>
        <v>-2.9757749999999703</v>
      </c>
      <c r="E1129" s="3">
        <v>52.95</v>
      </c>
      <c r="F1129" s="3">
        <v>20</v>
      </c>
      <c r="G1129" s="3">
        <v>143.32843099999999</v>
      </c>
      <c r="H1129" s="4">
        <f t="shared" si="69"/>
        <v>3.318899999999303E-2</v>
      </c>
      <c r="I1129" s="4">
        <f t="shared" si="67"/>
        <v>-4.6005280000000255</v>
      </c>
      <c r="J1129" s="3">
        <v>52.95</v>
      </c>
      <c r="K1129" s="3">
        <v>20</v>
      </c>
      <c r="L1129" s="13">
        <f>YEAR(Weekly_Prices[[#This Row],[Date]])</f>
        <v>2025</v>
      </c>
      <c r="M1129" s="13">
        <f>MONTH(Weekly_Prices[[#This Row],[Date]])</f>
        <v>1</v>
      </c>
      <c r="N1129" s="3" t="str">
        <f>TEXT(Weekly_Prices[[#This Row],[Date]],"MMMM")</f>
        <v>January</v>
      </c>
      <c r="O1129" s="3" t="str">
        <f>YEAR(Weekly_Prices[[#This Row],[Date]])&amp;"-"&amp;TEXT(WEEKNUM(Weekly_Prices[[#This Row],[Date]],2),"00")</f>
        <v>2025-03</v>
      </c>
    </row>
    <row r="1130" spans="1:15" x14ac:dyDescent="0.35">
      <c r="A1130" s="2">
        <v>45677</v>
      </c>
      <c r="B1130" s="3">
        <v>136.96904999999998</v>
      </c>
      <c r="C1130" s="4">
        <f t="shared" si="68"/>
        <v>0.45906499999998118</v>
      </c>
      <c r="D1130" s="4">
        <f t="shared" si="66"/>
        <v>-2.4188080000000127</v>
      </c>
      <c r="E1130" s="3">
        <v>52.95</v>
      </c>
      <c r="F1130" s="3">
        <v>20</v>
      </c>
      <c r="G1130" s="3">
        <v>144.26750099999998</v>
      </c>
      <c r="H1130" s="4">
        <f t="shared" si="69"/>
        <v>0.93906999999998675</v>
      </c>
      <c r="I1130" s="4">
        <f t="shared" si="67"/>
        <v>-3.690827000000013</v>
      </c>
      <c r="J1130" s="3">
        <v>52.95</v>
      </c>
      <c r="K1130" s="3">
        <v>20</v>
      </c>
      <c r="L1130" s="13">
        <f>YEAR(Weekly_Prices[[#This Row],[Date]])</f>
        <v>2025</v>
      </c>
      <c r="M1130" s="13">
        <f>MONTH(Weekly_Prices[[#This Row],[Date]])</f>
        <v>1</v>
      </c>
      <c r="N1130" s="3" t="str">
        <f>TEXT(Weekly_Prices[[#This Row],[Date]],"MMMM")</f>
        <v>January</v>
      </c>
      <c r="O1130" s="3" t="str">
        <f>YEAR(Weekly_Prices[[#This Row],[Date]])&amp;"-"&amp;TEXT(WEEKNUM(Weekly_Prices[[#This Row],[Date]],2),"00")</f>
        <v>2025-04</v>
      </c>
    </row>
    <row r="1131" spans="1:15" x14ac:dyDescent="0.35">
      <c r="A1131" s="2">
        <v>45684</v>
      </c>
      <c r="B1131" s="3">
        <v>138.36296499999997</v>
      </c>
      <c r="C1131" s="4">
        <f t="shared" si="68"/>
        <v>1.3939149999999927</v>
      </c>
      <c r="D1131" s="4">
        <f t="shared" si="66"/>
        <v>-1.5456890000000101</v>
      </c>
      <c r="E1131" s="3">
        <v>52.95</v>
      </c>
      <c r="F1131" s="3">
        <v>20</v>
      </c>
      <c r="G1131" s="3">
        <v>145.574793</v>
      </c>
      <c r="H1131" s="4">
        <f t="shared" si="69"/>
        <v>1.3072920000000181</v>
      </c>
      <c r="I1131" s="4">
        <f t="shared" si="67"/>
        <v>-2.9817669999999907</v>
      </c>
      <c r="J1131" s="3">
        <v>52.95</v>
      </c>
      <c r="K1131" s="3">
        <v>20</v>
      </c>
      <c r="L1131" s="13">
        <f>YEAR(Weekly_Prices[[#This Row],[Date]])</f>
        <v>2025</v>
      </c>
      <c r="M1131" s="13">
        <f>MONTH(Weekly_Prices[[#This Row],[Date]])</f>
        <v>1</v>
      </c>
      <c r="N1131" s="3" t="str">
        <f>TEXT(Weekly_Prices[[#This Row],[Date]],"MMMM")</f>
        <v>January</v>
      </c>
      <c r="O1131" s="3" t="str">
        <f>YEAR(Weekly_Prices[[#This Row],[Date]])&amp;"-"&amp;TEXT(WEEKNUM(Weekly_Prices[[#This Row],[Date]],2),"00")</f>
        <v>2025-05</v>
      </c>
    </row>
    <row r="1132" spans="1:15" x14ac:dyDescent="0.35">
      <c r="A1132" s="2">
        <v>45691</v>
      </c>
      <c r="B1132" s="3">
        <v>138.741411</v>
      </c>
      <c r="C1132" s="4">
        <f t="shared" si="68"/>
        <v>0.37844600000002515</v>
      </c>
      <c r="D1132" s="4">
        <f t="shared" si="66"/>
        <v>-1.8052319999999895</v>
      </c>
      <c r="E1132" s="3">
        <v>52.95</v>
      </c>
      <c r="F1132" s="3">
        <v>20</v>
      </c>
      <c r="G1132" s="3">
        <v>146.13087400000001</v>
      </c>
      <c r="H1132" s="4">
        <f t="shared" si="69"/>
        <v>0.55608100000000604</v>
      </c>
      <c r="I1132" s="4">
        <f t="shared" si="67"/>
        <v>-3.2238279999999975</v>
      </c>
      <c r="J1132" s="3">
        <v>52.95</v>
      </c>
      <c r="K1132" s="3">
        <v>20</v>
      </c>
      <c r="L1132" s="13">
        <f>YEAR(Weekly_Prices[[#This Row],[Date]])</f>
        <v>2025</v>
      </c>
      <c r="M1132" s="13">
        <f>MONTH(Weekly_Prices[[#This Row],[Date]])</f>
        <v>2</v>
      </c>
      <c r="N1132" s="3" t="str">
        <f>TEXT(Weekly_Prices[[#This Row],[Date]],"MMMM")</f>
        <v>February</v>
      </c>
      <c r="O1132" s="3" t="str">
        <f>YEAR(Weekly_Prices[[#This Row],[Date]])&amp;"-"&amp;TEXT(WEEKNUM(Weekly_Prices[[#This Row],[Date]],2),"00")</f>
        <v>2025-06</v>
      </c>
    </row>
    <row r="1133" spans="1:15" x14ac:dyDescent="0.35">
      <c r="A1133" s="2">
        <v>45698</v>
      </c>
      <c r="B1133" s="3">
        <v>139.021659</v>
      </c>
      <c r="C1133" s="4">
        <f t="shared" si="68"/>
        <v>0.28024800000000027</v>
      </c>
      <c r="D1133" s="4">
        <f t="shared" si="66"/>
        <v>-2.2547699999999793</v>
      </c>
      <c r="E1133" s="3">
        <v>52.95</v>
      </c>
      <c r="F1133" s="3">
        <v>20</v>
      </c>
      <c r="G1133" s="3">
        <v>146.29333200000002</v>
      </c>
      <c r="H1133" s="4">
        <f t="shared" si="69"/>
        <v>0.16245800000001509</v>
      </c>
      <c r="I1133" s="4">
        <f t="shared" si="67"/>
        <v>-3.9830269999999643</v>
      </c>
      <c r="J1133" s="3">
        <v>52.95</v>
      </c>
      <c r="K1133" s="3">
        <v>20</v>
      </c>
      <c r="L1133" s="13">
        <f>YEAR(Weekly_Prices[[#This Row],[Date]])</f>
        <v>2025</v>
      </c>
      <c r="M1133" s="13">
        <f>MONTH(Weekly_Prices[[#This Row],[Date]])</f>
        <v>2</v>
      </c>
      <c r="N1133" s="3" t="str">
        <f>TEXT(Weekly_Prices[[#This Row],[Date]],"MMMM")</f>
        <v>February</v>
      </c>
      <c r="O1133" s="3" t="str">
        <f>YEAR(Weekly_Prices[[#This Row],[Date]])&amp;"-"&amp;TEXT(WEEKNUM(Weekly_Prices[[#This Row],[Date]],2),"00")</f>
        <v>2025-07</v>
      </c>
    </row>
    <row r="1134" spans="1:15" x14ac:dyDescent="0.35">
      <c r="A1134" s="2">
        <v>45705</v>
      </c>
      <c r="B1134" s="3">
        <v>139.217579</v>
      </c>
      <c r="C1134" s="4">
        <f t="shared" si="68"/>
        <v>0.19592000000000098</v>
      </c>
      <c r="D1134" s="4">
        <f t="shared" si="66"/>
        <v>-3.6416930000000036</v>
      </c>
      <c r="E1134" s="3">
        <v>52.95</v>
      </c>
      <c r="F1134" s="3">
        <v>20</v>
      </c>
      <c r="G1134" s="3">
        <v>146.44771800000001</v>
      </c>
      <c r="H1134" s="4">
        <f t="shared" si="69"/>
        <v>0.15438599999998814</v>
      </c>
      <c r="I1134" s="4">
        <f t="shared" si="67"/>
        <v>-5.631842000000006</v>
      </c>
      <c r="J1134" s="3">
        <v>52.95</v>
      </c>
      <c r="K1134" s="3">
        <v>20</v>
      </c>
      <c r="L1134" s="13">
        <f>YEAR(Weekly_Prices[[#This Row],[Date]])</f>
        <v>2025</v>
      </c>
      <c r="M1134" s="13">
        <f>MONTH(Weekly_Prices[[#This Row],[Date]])</f>
        <v>2</v>
      </c>
      <c r="N1134" s="3" t="str">
        <f>TEXT(Weekly_Prices[[#This Row],[Date]],"MMMM")</f>
        <v>February</v>
      </c>
      <c r="O1134" s="3" t="str">
        <f>YEAR(Weekly_Prices[[#This Row],[Date]])&amp;"-"&amp;TEXT(WEEKNUM(Weekly_Prices[[#This Row],[Date]],2),"00")</f>
        <v>2025-08</v>
      </c>
    </row>
    <row r="1135" spans="1:15" x14ac:dyDescent="0.35">
      <c r="A1135" s="2">
        <v>45712</v>
      </c>
      <c r="B1135" s="3">
        <v>139.62223799999998</v>
      </c>
      <c r="C1135" s="4">
        <f t="shared" si="68"/>
        <v>0.40465899999998101</v>
      </c>
      <c r="D1135" s="4">
        <f t="shared" si="66"/>
        <v>-4.3388620000000344</v>
      </c>
      <c r="E1135" s="3">
        <v>52.95</v>
      </c>
      <c r="F1135" s="3">
        <v>20</v>
      </c>
      <c r="G1135" s="3">
        <v>146.82192700000002</v>
      </c>
      <c r="H1135" s="4">
        <f t="shared" si="69"/>
        <v>0.37420900000000756</v>
      </c>
      <c r="I1135" s="4">
        <f t="shared" si="67"/>
        <v>-6.4688199999999938</v>
      </c>
      <c r="J1135" s="3">
        <v>52.95</v>
      </c>
      <c r="K1135" s="3">
        <v>20</v>
      </c>
      <c r="L1135" s="13">
        <f>YEAR(Weekly_Prices[[#This Row],[Date]])</f>
        <v>2025</v>
      </c>
      <c r="M1135" s="13">
        <f>MONTH(Weekly_Prices[[#This Row],[Date]])</f>
        <v>2</v>
      </c>
      <c r="N1135" s="3" t="str">
        <f>TEXT(Weekly_Prices[[#This Row],[Date]],"MMMM")</f>
        <v>February</v>
      </c>
      <c r="O1135" s="3" t="str">
        <f>YEAR(Weekly_Prices[[#This Row],[Date]])&amp;"-"&amp;TEXT(WEEKNUM(Weekly_Prices[[#This Row],[Date]],2),"00")</f>
        <v>2025-09</v>
      </c>
    </row>
    <row r="1136" spans="1:15" x14ac:dyDescent="0.35">
      <c r="A1136" s="2">
        <v>45719</v>
      </c>
      <c r="B1136" s="3">
        <v>139.612483</v>
      </c>
      <c r="C1136" s="4">
        <f t="shared" si="68"/>
        <v>-9.754999999984193E-3</v>
      </c>
      <c r="D1136" s="4">
        <f t="shared" si="66"/>
        <v>-5.1152769999999919</v>
      </c>
      <c r="E1136" s="3">
        <v>52.95</v>
      </c>
      <c r="F1136" s="3">
        <v>20</v>
      </c>
      <c r="G1136" s="3">
        <v>146.884027</v>
      </c>
      <c r="H1136" s="4">
        <f t="shared" si="69"/>
        <v>6.2099999999986721E-2</v>
      </c>
      <c r="I1136" s="4">
        <f t="shared" si="67"/>
        <v>-7.6419889999999953</v>
      </c>
      <c r="J1136" s="3">
        <v>52.95</v>
      </c>
      <c r="K1136" s="3">
        <v>20</v>
      </c>
      <c r="L1136" s="13">
        <f>YEAR(Weekly_Prices[[#This Row],[Date]])</f>
        <v>2025</v>
      </c>
      <c r="M1136" s="13">
        <f>MONTH(Weekly_Prices[[#This Row],[Date]])</f>
        <v>3</v>
      </c>
      <c r="N1136" s="3" t="str">
        <f>TEXT(Weekly_Prices[[#This Row],[Date]],"MMMM")</f>
        <v>March</v>
      </c>
      <c r="O1136" s="3" t="str">
        <f>YEAR(Weekly_Prices[[#This Row],[Date]])&amp;"-"&amp;TEXT(WEEKNUM(Weekly_Prices[[#This Row],[Date]],2),"00")</f>
        <v>2025-10</v>
      </c>
    </row>
    <row r="1137" spans="1:15" x14ac:dyDescent="0.35">
      <c r="A1137" s="2">
        <v>45726</v>
      </c>
      <c r="B1137" s="3">
        <v>139.41696999999999</v>
      </c>
      <c r="C1137" s="4">
        <f t="shared" si="68"/>
        <v>-0.19551300000000538</v>
      </c>
      <c r="D1137" s="4">
        <f t="shared" si="66"/>
        <v>-5.2823110000000213</v>
      </c>
      <c r="E1137" s="3">
        <v>52.95</v>
      </c>
      <c r="F1137" s="3">
        <v>20</v>
      </c>
      <c r="G1137" s="3">
        <v>146.57529</v>
      </c>
      <c r="H1137" s="4">
        <f t="shared" si="69"/>
        <v>-0.30873700000000781</v>
      </c>
      <c r="I1137" s="4">
        <f t="shared" si="67"/>
        <v>-7.7173880000000281</v>
      </c>
      <c r="J1137" s="3">
        <v>52.95</v>
      </c>
      <c r="K1137" s="3">
        <v>20</v>
      </c>
      <c r="L1137" s="13">
        <f>YEAR(Weekly_Prices[[#This Row],[Date]])</f>
        <v>2025</v>
      </c>
      <c r="M1137" s="13">
        <f>MONTH(Weekly_Prices[[#This Row],[Date]])</f>
        <v>3</v>
      </c>
      <c r="N1137" s="3" t="str">
        <f>TEXT(Weekly_Prices[[#This Row],[Date]],"MMMM")</f>
        <v>March</v>
      </c>
      <c r="O1137" s="3" t="str">
        <f>YEAR(Weekly_Prices[[#This Row],[Date]])&amp;"-"&amp;TEXT(WEEKNUM(Weekly_Prices[[#This Row],[Date]],2),"00")</f>
        <v>2025-11</v>
      </c>
    </row>
    <row r="1138" spans="1:15" x14ac:dyDescent="0.35">
      <c r="A1138" s="2">
        <v>45733</v>
      </c>
      <c r="B1138" s="3">
        <v>137.971654</v>
      </c>
      <c r="C1138" s="4">
        <f t="shared" si="68"/>
        <v>-1.4453159999999912</v>
      </c>
      <c r="D1138" s="4">
        <f t="shared" si="66"/>
        <v>-6.7620179999999834</v>
      </c>
      <c r="E1138" s="3">
        <v>52.95</v>
      </c>
      <c r="F1138" s="3">
        <v>20</v>
      </c>
      <c r="G1138" s="3">
        <v>145.38482700000003</v>
      </c>
      <c r="H1138" s="4">
        <f t="shared" si="69"/>
        <v>-1.1904629999999656</v>
      </c>
      <c r="I1138" s="4">
        <f t="shared" si="67"/>
        <v>-8.4207479999999464</v>
      </c>
      <c r="J1138" s="3">
        <v>52.95</v>
      </c>
      <c r="K1138" s="3">
        <v>20</v>
      </c>
      <c r="L1138" s="13">
        <f>YEAR(Weekly_Prices[[#This Row],[Date]])</f>
        <v>2025</v>
      </c>
      <c r="M1138" s="13">
        <f>MONTH(Weekly_Prices[[#This Row],[Date]])</f>
        <v>3</v>
      </c>
      <c r="N1138" s="3" t="str">
        <f>TEXT(Weekly_Prices[[#This Row],[Date]],"MMMM")</f>
        <v>March</v>
      </c>
      <c r="O1138" s="3" t="str">
        <f>YEAR(Weekly_Prices[[#This Row],[Date]])&amp;"-"&amp;TEXT(WEEKNUM(Weekly_Prices[[#This Row],[Date]],2),"00")</f>
        <v>2025-12</v>
      </c>
    </row>
    <row r="1139" spans="1:15" x14ac:dyDescent="0.35">
      <c r="A1139" s="2">
        <v>45740</v>
      </c>
      <c r="B1139" s="3">
        <v>135.607957</v>
      </c>
      <c r="C1139" s="4">
        <f t="shared" si="68"/>
        <v>-2.3636970000000019</v>
      </c>
      <c r="D1139" s="4">
        <f t="shared" si="66"/>
        <v>-9.4499149999999759</v>
      </c>
      <c r="E1139" s="3">
        <v>52.95</v>
      </c>
      <c r="F1139" s="3">
        <v>20</v>
      </c>
      <c r="G1139" s="3">
        <v>143.07308</v>
      </c>
      <c r="H1139" s="4">
        <f t="shared" si="69"/>
        <v>-2.3117470000000253</v>
      </c>
      <c r="I1139" s="4">
        <f t="shared" si="67"/>
        <v>-10.823144999999982</v>
      </c>
      <c r="J1139" s="3">
        <v>52.95</v>
      </c>
      <c r="K1139" s="3">
        <v>20</v>
      </c>
      <c r="L1139" s="13">
        <f>YEAR(Weekly_Prices[[#This Row],[Date]])</f>
        <v>2025</v>
      </c>
      <c r="M1139" s="13">
        <f>MONTH(Weekly_Prices[[#This Row],[Date]])</f>
        <v>3</v>
      </c>
      <c r="N1139" s="3" t="str">
        <f>TEXT(Weekly_Prices[[#This Row],[Date]],"MMMM")</f>
        <v>March</v>
      </c>
      <c r="O1139" s="3" t="str">
        <f>YEAR(Weekly_Prices[[#This Row],[Date]])&amp;"-"&amp;TEXT(WEEKNUM(Weekly_Prices[[#This Row],[Date]],2),"00")</f>
        <v>2025-13</v>
      </c>
    </row>
    <row r="1140" spans="1:15" x14ac:dyDescent="0.35">
      <c r="A1140" s="2">
        <v>45747</v>
      </c>
      <c r="B1140" s="3">
        <v>134.907432</v>
      </c>
      <c r="C1140" s="4">
        <f t="shared" si="68"/>
        <v>-0.70052499999999895</v>
      </c>
      <c r="D1140" s="4">
        <f t="shared" si="66"/>
        <v>-11.345143000000007</v>
      </c>
      <c r="E1140" s="3">
        <v>52.95</v>
      </c>
      <c r="F1140" s="3">
        <v>20</v>
      </c>
      <c r="G1140" s="3">
        <v>142.255009</v>
      </c>
      <c r="H1140" s="4">
        <f t="shared" si="69"/>
        <v>-0.81807100000000332</v>
      </c>
      <c r="I1140" s="4">
        <f t="shared" si="67"/>
        <v>-13.747337000000016</v>
      </c>
      <c r="J1140" s="3">
        <v>52.95</v>
      </c>
      <c r="K1140" s="3">
        <v>20</v>
      </c>
      <c r="L1140" s="13">
        <f>YEAR(Weekly_Prices[[#This Row],[Date]])</f>
        <v>2025</v>
      </c>
      <c r="M1140" s="13">
        <f>MONTH(Weekly_Prices[[#This Row],[Date]])</f>
        <v>3</v>
      </c>
      <c r="N1140" s="3" t="str">
        <f>TEXT(Weekly_Prices[[#This Row],[Date]],"MMMM")</f>
        <v>March</v>
      </c>
      <c r="O1140" s="3" t="str">
        <f>YEAR(Weekly_Prices[[#This Row],[Date]])&amp;"-"&amp;TEXT(WEEKNUM(Weekly_Prices[[#This Row],[Date]],2),"00")</f>
        <v>2025-14</v>
      </c>
    </row>
    <row r="1141" spans="1:15" x14ac:dyDescent="0.35">
      <c r="A1141" s="2">
        <v>45754</v>
      </c>
      <c r="B1141" s="3">
        <v>135.24951899999999</v>
      </c>
      <c r="C1141" s="4">
        <f t="shared" si="68"/>
        <v>0.34208699999999226</v>
      </c>
      <c r="D1141" s="4">
        <f t="shared" si="66"/>
        <v>-11.665024000000017</v>
      </c>
      <c r="E1141" s="3">
        <v>52.95</v>
      </c>
      <c r="F1141" s="3">
        <v>20</v>
      </c>
      <c r="G1141" s="3">
        <v>142.54169199999998</v>
      </c>
      <c r="H1141" s="4">
        <f t="shared" si="69"/>
        <v>0.28668299999998226</v>
      </c>
      <c r="I1141" s="4">
        <f t="shared" si="67"/>
        <v>-13.750371999999999</v>
      </c>
      <c r="J1141" s="3">
        <v>52.95</v>
      </c>
      <c r="K1141" s="3">
        <v>20</v>
      </c>
      <c r="L1141" s="13">
        <f>YEAR(Weekly_Prices[[#This Row],[Date]])</f>
        <v>2025</v>
      </c>
      <c r="M1141" s="13">
        <f>MONTH(Weekly_Prices[[#This Row],[Date]])</f>
        <v>4</v>
      </c>
      <c r="N1141" s="3" t="str">
        <f>TEXT(Weekly_Prices[[#This Row],[Date]],"MMMM")</f>
        <v>April</v>
      </c>
      <c r="O1141" s="3" t="str">
        <f>YEAR(Weekly_Prices[[#This Row],[Date]])&amp;"-"&amp;TEXT(WEEKNUM(Weekly_Prices[[#This Row],[Date]],2),"00")</f>
        <v>2025-15</v>
      </c>
    </row>
    <row r="1142" spans="1:15" x14ac:dyDescent="0.35">
      <c r="A1142" s="2">
        <v>45761</v>
      </c>
      <c r="B1142" s="3">
        <v>134.847714</v>
      </c>
      <c r="C1142" s="4">
        <f t="shared" si="68"/>
        <v>-0.40180499999999597</v>
      </c>
      <c r="D1142" s="4">
        <f t="shared" si="66"/>
        <v>-13.638784000000015</v>
      </c>
      <c r="E1142" s="3">
        <v>52.95</v>
      </c>
      <c r="F1142" s="3">
        <v>20</v>
      </c>
      <c r="G1142" s="3">
        <v>141.97461799999999</v>
      </c>
      <c r="H1142" s="4">
        <f t="shared" si="69"/>
        <v>-0.56707399999999097</v>
      </c>
      <c r="I1142" s="4">
        <f t="shared" si="67"/>
        <v>-15.484390000000019</v>
      </c>
      <c r="J1142" s="3">
        <v>52.95</v>
      </c>
      <c r="K1142" s="3">
        <v>20</v>
      </c>
      <c r="L1142" s="13">
        <f>YEAR(Weekly_Prices[[#This Row],[Date]])</f>
        <v>2025</v>
      </c>
      <c r="M1142" s="13">
        <f>MONTH(Weekly_Prices[[#This Row],[Date]])</f>
        <v>4</v>
      </c>
      <c r="N1142" s="3" t="str">
        <f>TEXT(Weekly_Prices[[#This Row],[Date]],"MMMM")</f>
        <v>April</v>
      </c>
      <c r="O1142" s="3" t="str">
        <f>YEAR(Weekly_Prices[[#This Row],[Date]])&amp;"-"&amp;TEXT(WEEKNUM(Weekly_Prices[[#This Row],[Date]],2),"00")</f>
        <v>2025-16</v>
      </c>
    </row>
    <row r="1143" spans="1:15" x14ac:dyDescent="0.35">
      <c r="A1143" s="2">
        <v>45768</v>
      </c>
      <c r="B1143" s="3">
        <v>134.26116099999999</v>
      </c>
      <c r="C1143" s="4">
        <f t="shared" si="68"/>
        <v>-0.58655300000000921</v>
      </c>
      <c r="D1143" s="4">
        <f t="shared" ref="D1143:D1206" si="70">B1143-B1091</f>
        <v>-14.953057999999999</v>
      </c>
      <c r="E1143" s="3">
        <v>52.95</v>
      </c>
      <c r="F1143" s="3">
        <v>20</v>
      </c>
      <c r="G1143" s="3">
        <v>141.44217399999999</v>
      </c>
      <c r="H1143" s="4">
        <f t="shared" si="69"/>
        <v>-0.53244399999999814</v>
      </c>
      <c r="I1143" s="4">
        <f t="shared" ref="I1143:I1206" si="71">G1143-G1091</f>
        <v>-16.54038700000001</v>
      </c>
      <c r="J1143" s="3">
        <v>52.95</v>
      </c>
      <c r="K1143" s="3">
        <v>20</v>
      </c>
      <c r="L1143" s="13">
        <f>YEAR(Weekly_Prices[[#This Row],[Date]])</f>
        <v>2025</v>
      </c>
      <c r="M1143" s="13">
        <f>MONTH(Weekly_Prices[[#This Row],[Date]])</f>
        <v>4</v>
      </c>
      <c r="N1143" s="3" t="str">
        <f>TEXT(Weekly_Prices[[#This Row],[Date]],"MMMM")</f>
        <v>April</v>
      </c>
      <c r="O1143" s="3" t="str">
        <f>YEAR(Weekly_Prices[[#This Row],[Date]])&amp;"-"&amp;TEXT(WEEKNUM(Weekly_Prices[[#This Row],[Date]],2),"00")</f>
        <v>2025-17</v>
      </c>
    </row>
    <row r="1144" spans="1:15" x14ac:dyDescent="0.35">
      <c r="A1144" s="2">
        <v>45775</v>
      </c>
      <c r="B1144" s="3">
        <v>133.8357</v>
      </c>
      <c r="C1144" s="4">
        <f t="shared" si="68"/>
        <v>-0.42546099999998432</v>
      </c>
      <c r="D1144" s="4">
        <f t="shared" si="70"/>
        <v>-15.659178999999966</v>
      </c>
      <c r="E1144" s="3">
        <v>52.95</v>
      </c>
      <c r="F1144" s="3">
        <v>20</v>
      </c>
      <c r="G1144" s="3">
        <v>140.81097600000001</v>
      </c>
      <c r="H1144" s="4">
        <f t="shared" si="69"/>
        <v>-0.63119799999998349</v>
      </c>
      <c r="I1144" s="4">
        <f t="shared" si="71"/>
        <v>-17.166416999999996</v>
      </c>
      <c r="J1144" s="3">
        <v>52.95</v>
      </c>
      <c r="K1144" s="3">
        <v>20</v>
      </c>
      <c r="L1144" s="13">
        <f>YEAR(Weekly_Prices[[#This Row],[Date]])</f>
        <v>2025</v>
      </c>
      <c r="M1144" s="13">
        <f>MONTH(Weekly_Prices[[#This Row],[Date]])</f>
        <v>4</v>
      </c>
      <c r="N1144" s="3" t="str">
        <f>TEXT(Weekly_Prices[[#This Row],[Date]],"MMMM")</f>
        <v>April</v>
      </c>
      <c r="O1144" s="3" t="str">
        <f>YEAR(Weekly_Prices[[#This Row],[Date]])&amp;"-"&amp;TEXT(WEEKNUM(Weekly_Prices[[#This Row],[Date]],2),"00")</f>
        <v>2025-18</v>
      </c>
    </row>
    <row r="1145" spans="1:15" x14ac:dyDescent="0.35">
      <c r="A1145" s="2">
        <v>45782</v>
      </c>
      <c r="B1145" s="3">
        <v>133.18171299999997</v>
      </c>
      <c r="C1145" s="4">
        <f t="shared" si="68"/>
        <v>-0.65398700000002918</v>
      </c>
      <c r="D1145" s="4">
        <f t="shared" si="70"/>
        <v>-16.362372000000022</v>
      </c>
      <c r="E1145" s="3">
        <v>52.95</v>
      </c>
      <c r="F1145" s="3">
        <v>20</v>
      </c>
      <c r="G1145" s="3">
        <v>140.05547999999999</v>
      </c>
      <c r="H1145" s="4">
        <f t="shared" si="69"/>
        <v>-0.75549600000002215</v>
      </c>
      <c r="I1145" s="4">
        <f t="shared" si="71"/>
        <v>-17.582463000000018</v>
      </c>
      <c r="J1145" s="3">
        <v>52.95</v>
      </c>
      <c r="K1145" s="3">
        <v>20</v>
      </c>
      <c r="L1145" s="13">
        <f>YEAR(Weekly_Prices[[#This Row],[Date]])</f>
        <v>2025</v>
      </c>
      <c r="M1145" s="13">
        <f>MONTH(Weekly_Prices[[#This Row],[Date]])</f>
        <v>5</v>
      </c>
      <c r="N1145" s="3" t="str">
        <f>TEXT(Weekly_Prices[[#This Row],[Date]],"MMMM")</f>
        <v>May</v>
      </c>
      <c r="O1145" s="3" t="str">
        <f>YEAR(Weekly_Prices[[#This Row],[Date]])&amp;"-"&amp;TEXT(WEEKNUM(Weekly_Prices[[#This Row],[Date]],2),"00")</f>
        <v>2025-19</v>
      </c>
    </row>
    <row r="1146" spans="1:15" x14ac:dyDescent="0.35">
      <c r="A1146" s="2">
        <v>45789</v>
      </c>
      <c r="B1146" s="3">
        <v>132.31878399999999</v>
      </c>
      <c r="C1146" s="4">
        <f t="shared" si="68"/>
        <v>-0.86292899999997985</v>
      </c>
      <c r="D1146" s="4">
        <f t="shared" si="70"/>
        <v>-16.913164999999992</v>
      </c>
      <c r="E1146" s="3">
        <v>52.95</v>
      </c>
      <c r="F1146" s="3">
        <v>20</v>
      </c>
      <c r="G1146" s="3">
        <v>139.19787699999998</v>
      </c>
      <c r="H1146" s="4">
        <f t="shared" si="69"/>
        <v>-0.85760300000001166</v>
      </c>
      <c r="I1146" s="4">
        <f t="shared" si="71"/>
        <v>-17.882800000000003</v>
      </c>
      <c r="J1146" s="3">
        <v>52.95</v>
      </c>
      <c r="K1146" s="3">
        <v>20</v>
      </c>
      <c r="L1146" s="13">
        <f>YEAR(Weekly_Prices[[#This Row],[Date]])</f>
        <v>2025</v>
      </c>
      <c r="M1146" s="13">
        <f>MONTH(Weekly_Prices[[#This Row],[Date]])</f>
        <v>5</v>
      </c>
      <c r="N1146" s="3" t="str">
        <f>TEXT(Weekly_Prices[[#This Row],[Date]],"MMMM")</f>
        <v>May</v>
      </c>
      <c r="O1146" s="3" t="str">
        <f>YEAR(Weekly_Prices[[#This Row],[Date]])&amp;"-"&amp;TEXT(WEEKNUM(Weekly_Prices[[#This Row],[Date]],2),"00")</f>
        <v>2025-20</v>
      </c>
    </row>
    <row r="1147" spans="1:15" x14ac:dyDescent="0.35">
      <c r="A1147" s="2">
        <v>45796</v>
      </c>
      <c r="B1147" s="3">
        <v>132.074648</v>
      </c>
      <c r="C1147" s="4">
        <f t="shared" si="68"/>
        <v>-0.24413599999999747</v>
      </c>
      <c r="D1147" s="4">
        <f t="shared" si="70"/>
        <v>-16.757780999999994</v>
      </c>
      <c r="E1147" s="3">
        <v>52.95</v>
      </c>
      <c r="F1147" s="3">
        <v>20</v>
      </c>
      <c r="G1147" s="3">
        <v>138.57350100000002</v>
      </c>
      <c r="H1147" s="4">
        <f t="shared" si="69"/>
        <v>-0.62437599999995541</v>
      </c>
      <c r="I1147" s="4">
        <f t="shared" si="71"/>
        <v>-17.637786999999975</v>
      </c>
      <c r="J1147" s="3">
        <v>52.95</v>
      </c>
      <c r="K1147" s="3">
        <v>20</v>
      </c>
      <c r="L1147" s="13">
        <f>YEAR(Weekly_Prices[[#This Row],[Date]])</f>
        <v>2025</v>
      </c>
      <c r="M1147" s="13">
        <f>MONTH(Weekly_Prices[[#This Row],[Date]])</f>
        <v>5</v>
      </c>
      <c r="N1147" s="3" t="str">
        <f>TEXT(Weekly_Prices[[#This Row],[Date]],"MMMM")</f>
        <v>May</v>
      </c>
      <c r="O1147" s="3" t="str">
        <f>YEAR(Weekly_Prices[[#This Row],[Date]])&amp;"-"&amp;TEXT(WEEKNUM(Weekly_Prices[[#This Row],[Date]],2),"00")</f>
        <v>2025-21</v>
      </c>
    </row>
    <row r="1148" spans="1:15" x14ac:dyDescent="0.35">
      <c r="A1148" s="2">
        <v>45803</v>
      </c>
      <c r="B1148" s="3">
        <v>131.98617000000002</v>
      </c>
      <c r="C1148" s="4">
        <f t="shared" si="68"/>
        <v>-8.8477999999980739E-2</v>
      </c>
      <c r="D1148" s="4">
        <f t="shared" si="70"/>
        <v>-15.659751</v>
      </c>
      <c r="E1148" s="3">
        <v>52.95</v>
      </c>
      <c r="F1148" s="3">
        <v>20</v>
      </c>
      <c r="G1148" s="3">
        <v>138.367391</v>
      </c>
      <c r="H1148" s="4">
        <f t="shared" si="69"/>
        <v>-0.20611000000002377</v>
      </c>
      <c r="I1148" s="4">
        <f t="shared" si="71"/>
        <v>-15.937048000000004</v>
      </c>
      <c r="J1148" s="3">
        <v>52.95</v>
      </c>
      <c r="K1148" s="3">
        <v>20</v>
      </c>
      <c r="L1148" s="13">
        <f>YEAR(Weekly_Prices[[#This Row],[Date]])</f>
        <v>2025</v>
      </c>
      <c r="M1148" s="13">
        <f>MONTH(Weekly_Prices[[#This Row],[Date]])</f>
        <v>5</v>
      </c>
      <c r="N1148" s="3" t="str">
        <f>TEXT(Weekly_Prices[[#This Row],[Date]],"MMMM")</f>
        <v>May</v>
      </c>
      <c r="O1148" s="3" t="str">
        <f>YEAR(Weekly_Prices[[#This Row],[Date]])&amp;"-"&amp;TEXT(WEEKNUM(Weekly_Prices[[#This Row],[Date]],2),"00")</f>
        <v>2025-22</v>
      </c>
    </row>
    <row r="1149" spans="1:15" x14ac:dyDescent="0.35">
      <c r="A1149" s="2">
        <v>45810</v>
      </c>
      <c r="B1149" s="3">
        <v>131.45446399999997</v>
      </c>
      <c r="C1149" s="4">
        <f t="shared" si="68"/>
        <v>-0.53170600000004242</v>
      </c>
      <c r="D1149" s="4">
        <f t="shared" si="70"/>
        <v>-15.81109600000002</v>
      </c>
      <c r="E1149" s="3">
        <v>52.95</v>
      </c>
      <c r="F1149" s="3">
        <v>20</v>
      </c>
      <c r="G1149" s="3">
        <v>138.08744300000001</v>
      </c>
      <c r="H1149" s="4">
        <f t="shared" si="69"/>
        <v>-0.27994799999999032</v>
      </c>
      <c r="I1149" s="4">
        <f t="shared" si="71"/>
        <v>-15.174323000000015</v>
      </c>
      <c r="J1149" s="3">
        <v>52.95</v>
      </c>
      <c r="K1149" s="3">
        <v>20</v>
      </c>
      <c r="L1149" s="13">
        <f>YEAR(Weekly_Prices[[#This Row],[Date]])</f>
        <v>2025</v>
      </c>
      <c r="M1149" s="13">
        <f>MONTH(Weekly_Prices[[#This Row],[Date]])</f>
        <v>6</v>
      </c>
      <c r="N1149" s="3" t="str">
        <f>TEXT(Weekly_Prices[[#This Row],[Date]],"MMMM")</f>
        <v>June</v>
      </c>
      <c r="O1149" s="3" t="str">
        <f>YEAR(Weekly_Prices[[#This Row],[Date]])&amp;"-"&amp;TEXT(WEEKNUM(Weekly_Prices[[#This Row],[Date]],2),"00")</f>
        <v>2025-23</v>
      </c>
    </row>
    <row r="1150" spans="1:15" x14ac:dyDescent="0.35">
      <c r="A1150" s="2">
        <v>45817</v>
      </c>
      <c r="B1150" s="3">
        <v>131.347556</v>
      </c>
      <c r="C1150" s="4">
        <f t="shared" si="68"/>
        <v>-0.1069079999999758</v>
      </c>
      <c r="D1150" s="4">
        <f t="shared" si="70"/>
        <v>-14.903388000000007</v>
      </c>
      <c r="E1150" s="3">
        <v>52.95</v>
      </c>
      <c r="F1150" s="3">
        <v>20</v>
      </c>
      <c r="G1150" s="3">
        <v>137.53903200000002</v>
      </c>
      <c r="H1150" s="4">
        <f t="shared" si="69"/>
        <v>-0.54841099999998733</v>
      </c>
      <c r="I1150" s="4">
        <f t="shared" si="71"/>
        <v>-14.452602999999982</v>
      </c>
      <c r="J1150" s="3">
        <v>52.95</v>
      </c>
      <c r="K1150" s="3">
        <v>20</v>
      </c>
      <c r="L1150" s="13">
        <f>YEAR(Weekly_Prices[[#This Row],[Date]])</f>
        <v>2025</v>
      </c>
      <c r="M1150" s="13">
        <f>MONTH(Weekly_Prices[[#This Row],[Date]])</f>
        <v>6</v>
      </c>
      <c r="N1150" s="3" t="str">
        <f>TEXT(Weekly_Prices[[#This Row],[Date]],"MMMM")</f>
        <v>June</v>
      </c>
      <c r="O1150" s="3" t="str">
        <f>YEAR(Weekly_Prices[[#This Row],[Date]])&amp;"-"&amp;TEXT(WEEKNUM(Weekly_Prices[[#This Row],[Date]],2),"00")</f>
        <v>2025-24</v>
      </c>
    </row>
    <row r="1151" spans="1:15" x14ac:dyDescent="0.35">
      <c r="A1151" s="2">
        <v>45824</v>
      </c>
      <c r="B1151" s="3">
        <v>131.39140800000001</v>
      </c>
      <c r="C1151" s="4">
        <f t="shared" si="68"/>
        <v>4.3852000000015323E-2</v>
      </c>
      <c r="D1151" s="4">
        <f t="shared" si="70"/>
        <v>-13.702643999999992</v>
      </c>
      <c r="E1151" s="3">
        <v>52.95</v>
      </c>
      <c r="F1151" s="3">
        <v>20</v>
      </c>
      <c r="G1151" s="3">
        <v>137.542314</v>
      </c>
      <c r="H1151" s="4">
        <f t="shared" si="69"/>
        <v>3.281999999984464E-3</v>
      </c>
      <c r="I1151" s="4">
        <f t="shared" si="71"/>
        <v>-13.161507999999969</v>
      </c>
      <c r="J1151" s="3">
        <v>52.95</v>
      </c>
      <c r="K1151" s="3">
        <v>20</v>
      </c>
      <c r="L1151" s="13">
        <f>YEAR(Weekly_Prices[[#This Row],[Date]])</f>
        <v>2025</v>
      </c>
      <c r="M1151" s="13">
        <f>MONTH(Weekly_Prices[[#This Row],[Date]])</f>
        <v>6</v>
      </c>
      <c r="N1151" s="3" t="str">
        <f>TEXT(Weekly_Prices[[#This Row],[Date]],"MMMM")</f>
        <v>June</v>
      </c>
      <c r="O1151" s="3" t="str">
        <f>YEAR(Weekly_Prices[[#This Row],[Date]])&amp;"-"&amp;TEXT(WEEKNUM(Weekly_Prices[[#This Row],[Date]],2),"00")</f>
        <v>2025-25</v>
      </c>
    </row>
    <row r="1152" spans="1:15" x14ac:dyDescent="0.35">
      <c r="A1152" s="2">
        <v>45831</v>
      </c>
      <c r="B1152" s="3">
        <v>132.329373</v>
      </c>
      <c r="C1152" s="4">
        <f t="shared" si="68"/>
        <v>0.93796499999999128</v>
      </c>
      <c r="D1152" s="4">
        <f t="shared" si="70"/>
        <v>-12.105509999999981</v>
      </c>
      <c r="E1152" s="3">
        <v>52.95</v>
      </c>
      <c r="F1152" s="3">
        <v>20</v>
      </c>
      <c r="G1152" s="3">
        <v>139.02959200000001</v>
      </c>
      <c r="H1152" s="4">
        <f t="shared" si="69"/>
        <v>1.4872780000000034</v>
      </c>
      <c r="I1152" s="4">
        <f t="shared" si="71"/>
        <v>-11.087763999999964</v>
      </c>
      <c r="J1152" s="3">
        <v>52.95</v>
      </c>
      <c r="K1152" s="3">
        <v>20</v>
      </c>
      <c r="L1152" s="13">
        <f>YEAR(Weekly_Prices[[#This Row],[Date]])</f>
        <v>2025</v>
      </c>
      <c r="M1152" s="13">
        <f>MONTH(Weekly_Prices[[#This Row],[Date]])</f>
        <v>6</v>
      </c>
      <c r="N1152" s="3" t="str">
        <f>TEXT(Weekly_Prices[[#This Row],[Date]],"MMMM")</f>
        <v>June</v>
      </c>
      <c r="O1152" s="3" t="str">
        <f>YEAR(Weekly_Prices[[#This Row],[Date]])&amp;"-"&amp;TEXT(WEEKNUM(Weekly_Prices[[#This Row],[Date]],2),"00")</f>
        <v>2025-26</v>
      </c>
    </row>
    <row r="1153" spans="1:15" x14ac:dyDescent="0.35">
      <c r="A1153" s="2">
        <v>45838</v>
      </c>
      <c r="B1153" s="3">
        <v>132.95441300000002</v>
      </c>
      <c r="C1153" s="4">
        <f t="shared" si="68"/>
        <v>0.6250400000000127</v>
      </c>
      <c r="D1153" s="4">
        <f t="shared" si="70"/>
        <v>-11.323533999999995</v>
      </c>
      <c r="E1153" s="3">
        <v>52.95</v>
      </c>
      <c r="F1153" s="3">
        <v>20</v>
      </c>
      <c r="G1153" s="3">
        <v>140.26409099999998</v>
      </c>
      <c r="H1153" s="4">
        <f t="shared" si="69"/>
        <v>1.2344989999999711</v>
      </c>
      <c r="I1153" s="4">
        <f t="shared" si="71"/>
        <v>-9.7955260000000237</v>
      </c>
      <c r="J1153" s="3">
        <v>52.95</v>
      </c>
      <c r="K1153" s="3">
        <v>20</v>
      </c>
      <c r="L1153" s="13">
        <f>YEAR(Weekly_Prices[[#This Row],[Date]])</f>
        <v>2025</v>
      </c>
      <c r="M1153" s="13">
        <f>MONTH(Weekly_Prices[[#This Row],[Date]])</f>
        <v>6</v>
      </c>
      <c r="N1153" s="3" t="str">
        <f>TEXT(Weekly_Prices[[#This Row],[Date]],"MMMM")</f>
        <v>June</v>
      </c>
      <c r="O1153" s="3" t="str">
        <f>YEAR(Weekly_Prices[[#This Row],[Date]])&amp;"-"&amp;TEXT(WEEKNUM(Weekly_Prices[[#This Row],[Date]],2),"00")</f>
        <v>2025-27</v>
      </c>
    </row>
    <row r="1154" spans="1:15" x14ac:dyDescent="0.35">
      <c r="A1154" s="2">
        <v>45845</v>
      </c>
      <c r="B1154" s="3">
        <v>133.18821600000001</v>
      </c>
      <c r="C1154" s="4">
        <f t="shared" si="68"/>
        <v>0.23380299999999465</v>
      </c>
      <c r="D1154" s="4">
        <f t="shared" si="70"/>
        <v>-11.257021000000009</v>
      </c>
      <c r="E1154" s="3">
        <v>52.95</v>
      </c>
      <c r="F1154" s="3">
        <v>20</v>
      </c>
      <c r="G1154" s="3">
        <v>140.57684799999998</v>
      </c>
      <c r="H1154" s="4">
        <f t="shared" si="69"/>
        <v>0.31275700000000484</v>
      </c>
      <c r="I1154" s="4">
        <f t="shared" si="71"/>
        <v>-9.8167970000000082</v>
      </c>
      <c r="J1154" s="3">
        <v>52.95</v>
      </c>
      <c r="K1154" s="3">
        <v>20</v>
      </c>
      <c r="L1154" s="13">
        <f>YEAR(Weekly_Prices[[#This Row],[Date]])</f>
        <v>2025</v>
      </c>
      <c r="M1154" s="13">
        <f>MONTH(Weekly_Prices[[#This Row],[Date]])</f>
        <v>7</v>
      </c>
      <c r="N1154" s="3" t="str">
        <f>TEXT(Weekly_Prices[[#This Row],[Date]],"MMMM")</f>
        <v>July</v>
      </c>
      <c r="O1154" s="3" t="str">
        <f>YEAR(Weekly_Prices[[#This Row],[Date]])&amp;"-"&amp;TEXT(WEEKNUM(Weekly_Prices[[#This Row],[Date]],2),"00")</f>
        <v>2025-28</v>
      </c>
    </row>
    <row r="1155" spans="1:15" x14ac:dyDescent="0.35">
      <c r="A1155" s="2">
        <v>45852</v>
      </c>
      <c r="B1155" s="3">
        <v>133.945447</v>
      </c>
      <c r="C1155" s="4">
        <f t="shared" ref="C1155:C1210" si="72">B1155-B1154</f>
        <v>0.75723099999999022</v>
      </c>
      <c r="D1155" s="4">
        <f t="shared" si="70"/>
        <v>-10.654519999999991</v>
      </c>
      <c r="E1155" s="3">
        <v>52.95</v>
      </c>
      <c r="F1155" s="3">
        <v>20</v>
      </c>
      <c r="G1155" s="3">
        <v>141.10385300000002</v>
      </c>
      <c r="H1155" s="4">
        <f t="shared" ref="H1155:H1210" si="73">G1155-G1154</f>
        <v>0.52700500000003103</v>
      </c>
      <c r="I1155" s="4">
        <f t="shared" si="71"/>
        <v>-9.4585739999999987</v>
      </c>
      <c r="J1155" s="3">
        <v>52.95</v>
      </c>
      <c r="K1155" s="3">
        <v>20</v>
      </c>
      <c r="L1155" s="13">
        <f>YEAR(Weekly_Prices[[#This Row],[Date]])</f>
        <v>2025</v>
      </c>
      <c r="M1155" s="13">
        <f>MONTH(Weekly_Prices[[#This Row],[Date]])</f>
        <v>7</v>
      </c>
      <c r="N1155" s="3" t="str">
        <f>TEXT(Weekly_Prices[[#This Row],[Date]],"MMMM")</f>
        <v>July</v>
      </c>
      <c r="O1155" s="3" t="str">
        <f>YEAR(Weekly_Prices[[#This Row],[Date]])&amp;"-"&amp;TEXT(WEEKNUM(Weekly_Prices[[#This Row],[Date]],2),"00")</f>
        <v>2025-29</v>
      </c>
    </row>
    <row r="1156" spans="1:15" x14ac:dyDescent="0.35">
      <c r="A1156" s="2">
        <v>45859</v>
      </c>
      <c r="B1156" s="3">
        <v>134.09445300000002</v>
      </c>
      <c r="C1156" s="4">
        <f t="shared" si="72"/>
        <v>0.14900600000001418</v>
      </c>
      <c r="D1156" s="4">
        <f t="shared" si="70"/>
        <v>-10.593119000000002</v>
      </c>
      <c r="E1156" s="3">
        <v>52.95</v>
      </c>
      <c r="F1156" s="3">
        <v>20</v>
      </c>
      <c r="G1156" s="3">
        <v>141.850977</v>
      </c>
      <c r="H1156" s="4">
        <f t="shared" si="73"/>
        <v>0.74712399999998524</v>
      </c>
      <c r="I1156" s="4">
        <f t="shared" si="71"/>
        <v>-8.74088500000002</v>
      </c>
      <c r="J1156" s="3">
        <v>52.95</v>
      </c>
      <c r="K1156" s="3">
        <v>20</v>
      </c>
      <c r="L1156" s="13">
        <f>YEAR(Weekly_Prices[[#This Row],[Date]])</f>
        <v>2025</v>
      </c>
      <c r="M1156" s="13">
        <f>MONTH(Weekly_Prices[[#This Row],[Date]])</f>
        <v>7</v>
      </c>
      <c r="N1156" s="3" t="str">
        <f>TEXT(Weekly_Prices[[#This Row],[Date]],"MMMM")</f>
        <v>July</v>
      </c>
      <c r="O1156" s="3" t="str">
        <f>YEAR(Weekly_Prices[[#This Row],[Date]])&amp;"-"&amp;TEXT(WEEKNUM(Weekly_Prices[[#This Row],[Date]],2),"00")</f>
        <v>2025-30</v>
      </c>
    </row>
    <row r="1157" spans="1:15" x14ac:dyDescent="0.35">
      <c r="A1157" s="2">
        <v>45866</v>
      </c>
      <c r="B1157" s="3">
        <v>134.243922</v>
      </c>
      <c r="C1157" s="4">
        <f t="shared" si="72"/>
        <v>0.14946899999998209</v>
      </c>
      <c r="D1157" s="4">
        <f t="shared" si="70"/>
        <v>-9.9471350000000029</v>
      </c>
      <c r="E1157" s="3">
        <v>52.95</v>
      </c>
      <c r="F1157" s="3">
        <v>20</v>
      </c>
      <c r="G1157" s="3">
        <v>142.00014199999998</v>
      </c>
      <c r="H1157" s="4">
        <f t="shared" si="73"/>
        <v>0.14916499999998223</v>
      </c>
      <c r="I1157" s="4">
        <f t="shared" si="71"/>
        <v>-8.1564250000000129</v>
      </c>
      <c r="J1157" s="3">
        <v>52.95</v>
      </c>
      <c r="K1157" s="3">
        <v>20</v>
      </c>
      <c r="L1157" s="13">
        <f>YEAR(Weekly_Prices[[#This Row],[Date]])</f>
        <v>2025</v>
      </c>
      <c r="M1157" s="13">
        <f>MONTH(Weekly_Prices[[#This Row],[Date]])</f>
        <v>7</v>
      </c>
      <c r="N1157" s="3" t="str">
        <f>TEXT(Weekly_Prices[[#This Row],[Date]],"MMMM")</f>
        <v>July</v>
      </c>
      <c r="O1157" s="3" t="str">
        <f>YEAR(Weekly_Prices[[#This Row],[Date]])&amp;"-"&amp;TEXT(WEEKNUM(Weekly_Prices[[#This Row],[Date]],2),"00")</f>
        <v>2025-31</v>
      </c>
    </row>
    <row r="1158" spans="1:15" x14ac:dyDescent="0.35">
      <c r="A1158" s="2">
        <v>45873</v>
      </c>
      <c r="B1158" s="3">
        <v>134.29653199999998</v>
      </c>
      <c r="C1158" s="4">
        <f t="shared" si="72"/>
        <v>5.2609999999987167E-2</v>
      </c>
      <c r="D1158" s="4">
        <f t="shared" si="70"/>
        <v>-9.1278980000000161</v>
      </c>
      <c r="E1158" s="3">
        <v>52.95</v>
      </c>
      <c r="F1158" s="3">
        <v>20</v>
      </c>
      <c r="G1158" s="3">
        <v>142.130449</v>
      </c>
      <c r="H1158" s="4">
        <f t="shared" si="73"/>
        <v>0.13030700000001616</v>
      </c>
      <c r="I1158" s="4">
        <f t="shared" si="71"/>
        <v>-6.9681510000000344</v>
      </c>
      <c r="J1158" s="3">
        <v>52.95</v>
      </c>
      <c r="K1158" s="3">
        <v>20</v>
      </c>
      <c r="L1158" s="13">
        <f>YEAR(Weekly_Prices[[#This Row],[Date]])</f>
        <v>2025</v>
      </c>
      <c r="M1158" s="13">
        <f>MONTH(Weekly_Prices[[#This Row],[Date]])</f>
        <v>8</v>
      </c>
      <c r="N1158" s="3" t="str">
        <f>TEXT(Weekly_Prices[[#This Row],[Date]],"MMMM")</f>
        <v>August</v>
      </c>
      <c r="O1158" s="3" t="str">
        <f>YEAR(Weekly_Prices[[#This Row],[Date]])&amp;"-"&amp;TEXT(WEEKNUM(Weekly_Prices[[#This Row],[Date]],2),"00")</f>
        <v>2025-32</v>
      </c>
    </row>
    <row r="1159" spans="1:15" x14ac:dyDescent="0.35">
      <c r="A1159" s="2">
        <v>45880</v>
      </c>
      <c r="B1159" s="3">
        <v>134.38629299999999</v>
      </c>
      <c r="C1159" s="4">
        <f t="shared" si="72"/>
        <v>8.9761000000009972E-2</v>
      </c>
      <c r="D1159" s="4">
        <f t="shared" si="70"/>
        <v>-8.5267680000000325</v>
      </c>
      <c r="E1159" s="3">
        <v>52.95</v>
      </c>
      <c r="F1159" s="3">
        <v>20</v>
      </c>
      <c r="G1159" s="3">
        <v>142.48968600000001</v>
      </c>
      <c r="H1159" s="4">
        <f t="shared" si="73"/>
        <v>0.35923700000000736</v>
      </c>
      <c r="I1159" s="4">
        <f t="shared" si="71"/>
        <v>-5.9891299999999887</v>
      </c>
      <c r="J1159" s="3">
        <v>52.95</v>
      </c>
      <c r="K1159" s="3">
        <v>20</v>
      </c>
      <c r="L1159" s="13">
        <f>YEAR(Weekly_Prices[[#This Row],[Date]])</f>
        <v>2025</v>
      </c>
      <c r="M1159" s="13">
        <f>MONTH(Weekly_Prices[[#This Row],[Date]])</f>
        <v>8</v>
      </c>
      <c r="N1159" s="3" t="str">
        <f>TEXT(Weekly_Prices[[#This Row],[Date]],"MMMM")</f>
        <v>August</v>
      </c>
      <c r="O1159" s="3" t="str">
        <f>YEAR(Weekly_Prices[[#This Row],[Date]])&amp;"-"&amp;TEXT(WEEKNUM(Weekly_Prices[[#This Row],[Date]],2),"00")</f>
        <v>2025-33</v>
      </c>
    </row>
    <row r="1160" spans="1:15" x14ac:dyDescent="0.35">
      <c r="A1160" s="2">
        <v>45887</v>
      </c>
      <c r="B1160" s="3">
        <v>134.30053199999998</v>
      </c>
      <c r="C1160" s="4">
        <f t="shared" si="72"/>
        <v>-8.5761000000019294E-2</v>
      </c>
      <c r="D1160" s="4">
        <f t="shared" si="70"/>
        <v>-7.6592440000000295</v>
      </c>
      <c r="E1160" s="3">
        <v>52.95</v>
      </c>
      <c r="F1160" s="3">
        <v>20</v>
      </c>
      <c r="G1160" s="3">
        <v>142.16559099999998</v>
      </c>
      <c r="H1160" s="4">
        <f t="shared" si="73"/>
        <v>-0.32409500000002822</v>
      </c>
      <c r="I1160" s="4">
        <f t="shared" si="71"/>
        <v>-5.2584670000000244</v>
      </c>
      <c r="J1160" s="3">
        <v>52.95</v>
      </c>
      <c r="K1160" s="3">
        <v>20</v>
      </c>
      <c r="L1160" s="13">
        <f>YEAR(Weekly_Prices[[#This Row],[Date]])</f>
        <v>2025</v>
      </c>
      <c r="M1160" s="13">
        <f>MONTH(Weekly_Prices[[#This Row],[Date]])</f>
        <v>8</v>
      </c>
      <c r="N1160" s="3" t="str">
        <f>TEXT(Weekly_Prices[[#This Row],[Date]],"MMMM")</f>
        <v>August</v>
      </c>
      <c r="O1160" s="3" t="str">
        <f>YEAR(Weekly_Prices[[#This Row],[Date]])&amp;"-"&amp;TEXT(WEEKNUM(Weekly_Prices[[#This Row],[Date]],2),"00")</f>
        <v>2025-34</v>
      </c>
    </row>
    <row r="1161" spans="1:15" x14ac:dyDescent="0.35">
      <c r="A1161" s="2">
        <v>45894</v>
      </c>
      <c r="B1161" s="3">
        <v>133.91452700000002</v>
      </c>
      <c r="C1161" s="4">
        <f t="shared" si="72"/>
        <v>-0.38600499999995463</v>
      </c>
      <c r="D1161" s="4">
        <f t="shared" si="70"/>
        <v>-7.0951719999999625</v>
      </c>
      <c r="E1161" s="3">
        <v>52.95</v>
      </c>
      <c r="F1161" s="3">
        <v>20</v>
      </c>
      <c r="G1161" s="3">
        <v>141.917306</v>
      </c>
      <c r="H1161" s="4">
        <f t="shared" si="73"/>
        <v>-0.24828499999998144</v>
      </c>
      <c r="I1161" s="4">
        <f t="shared" si="71"/>
        <v>-4.2295070000000408</v>
      </c>
      <c r="J1161" s="3">
        <v>52.95</v>
      </c>
      <c r="K1161" s="3">
        <v>20</v>
      </c>
      <c r="L1161" s="13">
        <f>YEAR(Weekly_Prices[[#This Row],[Date]])</f>
        <v>2025</v>
      </c>
      <c r="M1161" s="13">
        <f>MONTH(Weekly_Prices[[#This Row],[Date]])</f>
        <v>8</v>
      </c>
      <c r="N1161" s="3" t="str">
        <f>TEXT(Weekly_Prices[[#This Row],[Date]],"MMMM")</f>
        <v>August</v>
      </c>
      <c r="O1161" s="3" t="str">
        <f>YEAR(Weekly_Prices[[#This Row],[Date]])&amp;"-"&amp;TEXT(WEEKNUM(Weekly_Prices[[#This Row],[Date]],2),"00")</f>
        <v>2025-35</v>
      </c>
    </row>
    <row r="1162" spans="1:15" x14ac:dyDescent="0.35">
      <c r="A1162" s="2">
        <v>45901</v>
      </c>
      <c r="B1162" s="3">
        <v>133.860963</v>
      </c>
      <c r="C1162" s="4">
        <f t="shared" si="72"/>
        <v>-5.3564000000022816E-2</v>
      </c>
      <c r="D1162" s="4">
        <f t="shared" si="70"/>
        <v>-6.1003670000000056</v>
      </c>
      <c r="E1162" s="3">
        <v>52.95</v>
      </c>
      <c r="F1162" s="3">
        <v>20</v>
      </c>
      <c r="G1162" s="3">
        <v>141.65410799999998</v>
      </c>
      <c r="H1162" s="4">
        <f t="shared" si="73"/>
        <v>-0.26319800000001692</v>
      </c>
      <c r="I1162" s="4">
        <f t="shared" si="71"/>
        <v>-3.5344460000000311</v>
      </c>
      <c r="J1162" s="3">
        <v>52.95</v>
      </c>
      <c r="K1162" s="3">
        <v>20</v>
      </c>
      <c r="L1162" s="13">
        <f>YEAR(Weekly_Prices[[#This Row],[Date]])</f>
        <v>2025</v>
      </c>
      <c r="M1162" s="13">
        <f>MONTH(Weekly_Prices[[#This Row],[Date]])</f>
        <v>9</v>
      </c>
      <c r="N1162" s="3" t="str">
        <f>TEXT(Weekly_Prices[[#This Row],[Date]],"MMMM")</f>
        <v>September</v>
      </c>
      <c r="O1162" s="3" t="str">
        <f>YEAR(Weekly_Prices[[#This Row],[Date]])&amp;"-"&amp;TEXT(WEEKNUM(Weekly_Prices[[#This Row],[Date]],2),"00")</f>
        <v>2025-36</v>
      </c>
    </row>
    <row r="1163" spans="1:15" x14ac:dyDescent="0.35">
      <c r="A1163" s="2">
        <v>45908</v>
      </c>
      <c r="B1163" s="3">
        <v>133.724233</v>
      </c>
      <c r="C1163" s="4">
        <f t="shared" si="72"/>
        <v>-0.13673000000000002</v>
      </c>
      <c r="D1163" s="4">
        <f t="shared" si="70"/>
        <v>-4.3762839999999983</v>
      </c>
      <c r="E1163" s="3">
        <v>52.95</v>
      </c>
      <c r="F1163" s="3">
        <v>20</v>
      </c>
      <c r="G1163" s="3">
        <v>141.58071000000001</v>
      </c>
      <c r="H1163" s="4">
        <f t="shared" si="73"/>
        <v>-7.3397999999968988E-2</v>
      </c>
      <c r="I1163" s="4">
        <f t="shared" si="71"/>
        <v>-1.8199940000000083</v>
      </c>
      <c r="J1163" s="3">
        <v>52.95</v>
      </c>
      <c r="K1163" s="3">
        <v>20</v>
      </c>
      <c r="L1163" s="13">
        <f>YEAR(Weekly_Prices[[#This Row],[Date]])</f>
        <v>2025</v>
      </c>
      <c r="M1163" s="13">
        <f>MONTH(Weekly_Prices[[#This Row],[Date]])</f>
        <v>9</v>
      </c>
      <c r="N1163" s="3" t="str">
        <f>TEXT(Weekly_Prices[[#This Row],[Date]],"MMMM")</f>
        <v>September</v>
      </c>
      <c r="O1163" s="3" t="str">
        <f>YEAR(Weekly_Prices[[#This Row],[Date]])&amp;"-"&amp;TEXT(WEEKNUM(Weekly_Prices[[#This Row],[Date]],2),"00")</f>
        <v>2025-37</v>
      </c>
    </row>
    <row r="1164" spans="1:15" x14ac:dyDescent="0.35">
      <c r="A1164" s="2">
        <v>45915</v>
      </c>
      <c r="B1164" s="3">
        <v>133.812353</v>
      </c>
      <c r="C1164" s="4">
        <f t="shared" si="72"/>
        <v>8.8120000000003529E-2</v>
      </c>
      <c r="D1164" s="4">
        <f t="shared" si="70"/>
        <v>-2.6735529999999983</v>
      </c>
      <c r="E1164" s="3">
        <v>52.95</v>
      </c>
      <c r="F1164" s="3">
        <v>20</v>
      </c>
      <c r="G1164" s="3">
        <v>141.68569500000001</v>
      </c>
      <c r="H1164" s="4">
        <f t="shared" si="73"/>
        <v>0.10498499999999922</v>
      </c>
      <c r="I1164" s="4">
        <f t="shared" si="71"/>
        <v>7.9585000000037098E-2</v>
      </c>
      <c r="J1164" s="3">
        <v>52.95</v>
      </c>
      <c r="K1164" s="3">
        <v>20</v>
      </c>
      <c r="L1164" s="13">
        <f>YEAR(Weekly_Prices[[#This Row],[Date]])</f>
        <v>2025</v>
      </c>
      <c r="M1164" s="13">
        <f>MONTH(Weekly_Prices[[#This Row],[Date]])</f>
        <v>9</v>
      </c>
      <c r="N1164" s="3" t="str">
        <f>TEXT(Weekly_Prices[[#This Row],[Date]],"MMMM")</f>
        <v>September</v>
      </c>
      <c r="O1164" s="3" t="str">
        <f>YEAR(Weekly_Prices[[#This Row],[Date]])&amp;"-"&amp;TEXT(WEEKNUM(Weekly_Prices[[#This Row],[Date]],2),"00")</f>
        <v>2025-38</v>
      </c>
    </row>
    <row r="1165" spans="1:15" x14ac:dyDescent="0.35">
      <c r="A1165" s="2">
        <v>45922</v>
      </c>
      <c r="B1165" s="3">
        <v>134.14521299999998</v>
      </c>
      <c r="C1165" s="4">
        <f t="shared" si="72"/>
        <v>0.33285999999998239</v>
      </c>
      <c r="D1165" s="4">
        <f t="shared" si="70"/>
        <v>-1.1141390000000229</v>
      </c>
      <c r="E1165" s="3">
        <v>52.95</v>
      </c>
      <c r="F1165" s="3">
        <v>20</v>
      </c>
      <c r="G1165" s="3">
        <v>142.024261</v>
      </c>
      <c r="H1165" s="4">
        <f t="shared" si="73"/>
        <v>0.33856599999998593</v>
      </c>
      <c r="I1165" s="4">
        <f t="shared" si="71"/>
        <v>2.0060450000000003</v>
      </c>
      <c r="J1165" s="3">
        <v>52.95</v>
      </c>
      <c r="K1165" s="3">
        <v>20</v>
      </c>
      <c r="L1165" s="13">
        <f>YEAR(Weekly_Prices[[#This Row],[Date]])</f>
        <v>2025</v>
      </c>
      <c r="M1165" s="13">
        <f>MONTH(Weekly_Prices[[#This Row],[Date]])</f>
        <v>9</v>
      </c>
      <c r="N1165" s="3" t="str">
        <f>TEXT(Weekly_Prices[[#This Row],[Date]],"MMMM")</f>
        <v>September</v>
      </c>
      <c r="O1165" s="3" t="str">
        <f>YEAR(Weekly_Prices[[#This Row],[Date]])&amp;"-"&amp;TEXT(WEEKNUM(Weekly_Prices[[#This Row],[Date]],2),"00")</f>
        <v>2025-39</v>
      </c>
    </row>
    <row r="1166" spans="1:15" x14ac:dyDescent="0.35">
      <c r="A1166" s="2">
        <v>45929</v>
      </c>
      <c r="B1166" s="3">
        <v>134.36203600000002</v>
      </c>
      <c r="C1166" s="4">
        <f t="shared" si="72"/>
        <v>0.21682300000003352</v>
      </c>
      <c r="D1166" s="4">
        <f t="shared" si="70"/>
        <v>0.19581900000002861</v>
      </c>
      <c r="E1166" s="3">
        <v>52.95</v>
      </c>
      <c r="F1166" s="3">
        <v>20</v>
      </c>
      <c r="G1166" s="3">
        <v>142.23597000000001</v>
      </c>
      <c r="H1166" s="4">
        <f t="shared" si="73"/>
        <v>0.21170900000001325</v>
      </c>
      <c r="I1166" s="4">
        <f t="shared" si="71"/>
        <v>3.3829760000000135</v>
      </c>
      <c r="J1166" s="3">
        <v>52.95</v>
      </c>
      <c r="K1166" s="3">
        <v>20</v>
      </c>
      <c r="L1166" s="13">
        <f>YEAR(Weekly_Prices[[#This Row],[Date]])</f>
        <v>2025</v>
      </c>
      <c r="M1166" s="13">
        <f>MONTH(Weekly_Prices[[#This Row],[Date]])</f>
        <v>9</v>
      </c>
      <c r="N1166" s="3" t="str">
        <f>TEXT(Weekly_Prices[[#This Row],[Date]],"MMMM")</f>
        <v>September</v>
      </c>
      <c r="O1166" s="3" t="str">
        <f>YEAR(Weekly_Prices[[#This Row],[Date]])&amp;"-"&amp;TEXT(WEEKNUM(Weekly_Prices[[#This Row],[Date]],2),"00")</f>
        <v>2025-40</v>
      </c>
    </row>
    <row r="1167" spans="1:15" x14ac:dyDescent="0.35">
      <c r="A1167" s="2">
        <v>45936</v>
      </c>
      <c r="B1167" s="3">
        <v>134.76431600000001</v>
      </c>
      <c r="C1167" s="4">
        <f t="shared" si="72"/>
        <v>0.40227999999999042</v>
      </c>
      <c r="D1167" s="4">
        <f t="shared" si="70"/>
        <v>1.1781000000000006</v>
      </c>
      <c r="E1167" s="3">
        <v>52.95</v>
      </c>
      <c r="F1167" s="3">
        <v>20</v>
      </c>
      <c r="G1167" s="3">
        <v>142.917157</v>
      </c>
      <c r="H1167" s="4">
        <f t="shared" si="73"/>
        <v>0.68118699999999421</v>
      </c>
      <c r="I1167" s="4">
        <f t="shared" si="71"/>
        <v>4.4537910000000238</v>
      </c>
      <c r="J1167" s="3">
        <v>52.95</v>
      </c>
      <c r="K1167" s="3">
        <v>20</v>
      </c>
      <c r="L1167" s="13">
        <f>YEAR(Weekly_Prices[[#This Row],[Date]])</f>
        <v>2025</v>
      </c>
      <c r="M1167" s="13">
        <f>MONTH(Weekly_Prices[[#This Row],[Date]])</f>
        <v>10</v>
      </c>
      <c r="N1167" s="3" t="str">
        <f>TEXT(Weekly_Prices[[#This Row],[Date]],"MMMM")</f>
        <v>October</v>
      </c>
      <c r="O1167" s="3" t="str">
        <f>YEAR(Weekly_Prices[[#This Row],[Date]])&amp;"-"&amp;TEXT(WEEKNUM(Weekly_Prices[[#This Row],[Date]],2),"00")</f>
        <v>2025-41</v>
      </c>
    </row>
    <row r="1168" spans="1:15" x14ac:dyDescent="0.35">
      <c r="A1168" s="2">
        <v>45943</v>
      </c>
      <c r="B1168" s="3">
        <v>134.81126799999998</v>
      </c>
      <c r="C1168" s="4">
        <f t="shared" si="72"/>
        <v>4.6951999999976124E-2</v>
      </c>
      <c r="D1168" s="4">
        <f t="shared" si="70"/>
        <v>0.95000699999999938</v>
      </c>
      <c r="E1168" s="3">
        <v>52.95</v>
      </c>
      <c r="F1168" s="3">
        <v>20</v>
      </c>
      <c r="G1168" s="3">
        <v>142.98682199999999</v>
      </c>
      <c r="H1168" s="4">
        <f t="shared" si="73"/>
        <v>6.9664999999986321E-2</v>
      </c>
      <c r="I1168" s="4">
        <f t="shared" si="71"/>
        <v>3.911627999999979</v>
      </c>
      <c r="J1168" s="3">
        <v>52.95</v>
      </c>
      <c r="K1168" s="3">
        <v>20</v>
      </c>
      <c r="L1168" s="13">
        <f>YEAR(Weekly_Prices[[#This Row],[Date]])</f>
        <v>2025</v>
      </c>
      <c r="M1168" s="13">
        <f>MONTH(Weekly_Prices[[#This Row],[Date]])</f>
        <v>10</v>
      </c>
      <c r="N1168" s="3" t="str">
        <f>TEXT(Weekly_Prices[[#This Row],[Date]],"MMMM")</f>
        <v>October</v>
      </c>
      <c r="O1168" s="3" t="str">
        <f>YEAR(Weekly_Prices[[#This Row],[Date]])&amp;"-"&amp;TEXT(WEEKNUM(Weekly_Prices[[#This Row],[Date]],2),"00")</f>
        <v>2025-42</v>
      </c>
    </row>
    <row r="1169" spans="1:15" x14ac:dyDescent="0.35">
      <c r="A1169" s="2">
        <v>45950</v>
      </c>
      <c r="B1169" s="3">
        <v>134.69223</v>
      </c>
      <c r="C1169" s="4">
        <f t="shared" si="72"/>
        <v>-0.1190379999999891</v>
      </c>
      <c r="D1169" s="4">
        <f t="shared" si="70"/>
        <v>0.70396399999998494</v>
      </c>
      <c r="E1169" s="3">
        <v>52.95</v>
      </c>
      <c r="F1169" s="3">
        <v>20</v>
      </c>
      <c r="G1169" s="3">
        <v>142.81489199999999</v>
      </c>
      <c r="H1169" s="4">
        <f t="shared" si="73"/>
        <v>-0.17193000000000325</v>
      </c>
      <c r="I1169" s="4">
        <f t="shared" si="71"/>
        <v>3.5539249999999925</v>
      </c>
      <c r="J1169" s="3">
        <v>52.95</v>
      </c>
      <c r="K1169" s="3">
        <v>20</v>
      </c>
      <c r="L1169" s="13">
        <f>YEAR(Weekly_Prices[[#This Row],[Date]])</f>
        <v>2025</v>
      </c>
      <c r="M1169" s="13">
        <f>MONTH(Weekly_Prices[[#This Row],[Date]])</f>
        <v>10</v>
      </c>
      <c r="N1169" s="3" t="str">
        <f>TEXT(Weekly_Prices[[#This Row],[Date]],"MMMM")</f>
        <v>October</v>
      </c>
      <c r="O1169" s="3" t="str">
        <f>YEAR(Weekly_Prices[[#This Row],[Date]])&amp;"-"&amp;TEXT(WEEKNUM(Weekly_Prices[[#This Row],[Date]],2),"00")</f>
        <v>2025-43</v>
      </c>
    </row>
    <row r="1170" spans="1:15" x14ac:dyDescent="0.35">
      <c r="A1170" s="2">
        <v>45957</v>
      </c>
      <c r="B1170" s="3">
        <v>134.40487300000001</v>
      </c>
      <c r="C1170" s="4">
        <f t="shared" si="72"/>
        <v>-0.28735699999998587</v>
      </c>
      <c r="D1170" s="4">
        <f t="shared" si="70"/>
        <v>-8.4579999999903066E-3</v>
      </c>
      <c r="E1170" s="3">
        <v>52.95</v>
      </c>
      <c r="F1170" s="3">
        <v>20</v>
      </c>
      <c r="G1170" s="3">
        <v>142.37860900000001</v>
      </c>
      <c r="H1170" s="4">
        <f t="shared" si="73"/>
        <v>-0.43628299999997466</v>
      </c>
      <c r="I1170" s="4">
        <f t="shared" si="71"/>
        <v>2.6688640000000134</v>
      </c>
      <c r="J1170" s="3">
        <v>52.95</v>
      </c>
      <c r="K1170" s="3">
        <v>20</v>
      </c>
      <c r="L1170" s="13">
        <f>YEAR(Weekly_Prices[[#This Row],[Date]])</f>
        <v>2025</v>
      </c>
      <c r="M1170" s="13">
        <f>MONTH(Weekly_Prices[[#This Row],[Date]])</f>
        <v>10</v>
      </c>
      <c r="N1170" s="3" t="str">
        <f>TEXT(Weekly_Prices[[#This Row],[Date]],"MMMM")</f>
        <v>October</v>
      </c>
      <c r="O1170" s="3" t="str">
        <f>YEAR(Weekly_Prices[[#This Row],[Date]])&amp;"-"&amp;TEXT(WEEKNUM(Weekly_Prices[[#This Row],[Date]],2),"00")</f>
        <v>2025-44</v>
      </c>
    </row>
    <row r="1171" spans="1:15" x14ac:dyDescent="0.35">
      <c r="A1171" s="2">
        <v>45964</v>
      </c>
      <c r="B1171" s="3">
        <v>134.38128799999998</v>
      </c>
      <c r="C1171" s="4">
        <f t="shared" si="72"/>
        <v>-2.3585000000025502E-2</v>
      </c>
      <c r="D1171" s="4">
        <f t="shared" si="70"/>
        <v>-2.9014000000017859E-2</v>
      </c>
      <c r="E1171" s="3">
        <v>52.95</v>
      </c>
      <c r="F1171" s="3">
        <v>20</v>
      </c>
      <c r="G1171" s="3">
        <v>142.60810999999998</v>
      </c>
      <c r="H1171" s="4">
        <f t="shared" si="73"/>
        <v>0.22950099999997065</v>
      </c>
      <c r="I1171" s="4">
        <f t="shared" si="71"/>
        <v>2.7641519999999957</v>
      </c>
      <c r="J1171" s="3">
        <v>52.95</v>
      </c>
      <c r="K1171" s="3">
        <v>20</v>
      </c>
      <c r="L1171" s="13">
        <f>YEAR(Weekly_Prices[[#This Row],[Date]])</f>
        <v>2025</v>
      </c>
      <c r="M1171" s="13">
        <f>MONTH(Weekly_Prices[[#This Row],[Date]])</f>
        <v>11</v>
      </c>
      <c r="N1171" s="3" t="str">
        <f>TEXT(Weekly_Prices[[#This Row],[Date]],"MMMM")</f>
        <v>November</v>
      </c>
      <c r="O1171" s="3" t="str">
        <f>YEAR(Weekly_Prices[[#This Row],[Date]])&amp;"-"&amp;TEXT(WEEKNUM(Weekly_Prices[[#This Row],[Date]],2),"00")</f>
        <v>2025-45</v>
      </c>
    </row>
    <row r="1172" spans="1:15" x14ac:dyDescent="0.35">
      <c r="A1172" s="2">
        <v>45971</v>
      </c>
      <c r="B1172" s="3">
        <v>134.64813899999999</v>
      </c>
      <c r="C1172" s="4">
        <f t="shared" si="72"/>
        <v>0.26685100000000261</v>
      </c>
      <c r="D1172" s="4">
        <f t="shared" si="70"/>
        <v>5.3478999999981625E-2</v>
      </c>
      <c r="E1172" s="3">
        <v>52.95</v>
      </c>
      <c r="F1172" s="3">
        <v>20</v>
      </c>
      <c r="G1172" s="3">
        <v>143.30982399999999</v>
      </c>
      <c r="H1172" s="4">
        <f t="shared" si="73"/>
        <v>0.70171400000000972</v>
      </c>
      <c r="I1172" s="4">
        <f t="shared" si="71"/>
        <v>3.1756009999999719</v>
      </c>
      <c r="J1172" s="3">
        <v>52.95</v>
      </c>
      <c r="K1172" s="3">
        <v>20</v>
      </c>
      <c r="L1172" s="13">
        <f>YEAR(Weekly_Prices[[#This Row],[Date]])</f>
        <v>2025</v>
      </c>
      <c r="M1172" s="13">
        <f>MONTH(Weekly_Prices[[#This Row],[Date]])</f>
        <v>11</v>
      </c>
      <c r="N1172" s="3" t="str">
        <f>TEXT(Weekly_Prices[[#This Row],[Date]],"MMMM")</f>
        <v>November</v>
      </c>
      <c r="O1172" s="3" t="str">
        <f>YEAR(Weekly_Prices[[#This Row],[Date]])&amp;"-"&amp;TEXT(WEEKNUM(Weekly_Prices[[#This Row],[Date]],2),"00")</f>
        <v>2025-46</v>
      </c>
    </row>
    <row r="1173" spans="1:15" x14ac:dyDescent="0.35">
      <c r="A1173" s="2">
        <v>45978</v>
      </c>
      <c r="B1173" s="3">
        <v>135.07288800000001</v>
      </c>
      <c r="C1173" s="4">
        <f t="shared" si="72"/>
        <v>0.42474900000001981</v>
      </c>
      <c r="D1173" s="4">
        <f t="shared" si="70"/>
        <v>0.22445600000000354</v>
      </c>
      <c r="E1173" s="3">
        <v>52.95</v>
      </c>
      <c r="F1173" s="3">
        <v>20</v>
      </c>
      <c r="G1173" s="3">
        <v>143.97318100000001</v>
      </c>
      <c r="H1173" s="4">
        <f t="shared" si="73"/>
        <v>0.66335700000001907</v>
      </c>
      <c r="I1173" s="4">
        <f t="shared" si="71"/>
        <v>3.4858020000000352</v>
      </c>
      <c r="J1173" s="3">
        <v>52.95</v>
      </c>
      <c r="K1173" s="3">
        <v>20</v>
      </c>
      <c r="L1173" s="13">
        <f>YEAR(Weekly_Prices[[#This Row],[Date]])</f>
        <v>2025</v>
      </c>
      <c r="M1173" s="13">
        <f>MONTH(Weekly_Prices[[#This Row],[Date]])</f>
        <v>11</v>
      </c>
      <c r="N1173" s="3" t="str">
        <f>TEXT(Weekly_Prices[[#This Row],[Date]],"MMMM")</f>
        <v>November</v>
      </c>
      <c r="O1173" s="3" t="str">
        <f>YEAR(Weekly_Prices[[#This Row],[Date]])&amp;"-"&amp;TEXT(WEEKNUM(Weekly_Prices[[#This Row],[Date]],2),"00")</f>
        <v>2025-47</v>
      </c>
    </row>
    <row r="1174" spans="1:15" x14ac:dyDescent="0.35">
      <c r="A1174" s="2">
        <v>45985</v>
      </c>
      <c r="B1174" s="3">
        <v>136.07401099999998</v>
      </c>
      <c r="C1174" s="4">
        <f t="shared" si="72"/>
        <v>1.0011229999999784</v>
      </c>
      <c r="D1174" s="4">
        <f t="shared" si="70"/>
        <v>0.70805099999998333</v>
      </c>
      <c r="E1174" s="3">
        <v>52.95</v>
      </c>
      <c r="F1174" s="3">
        <v>20</v>
      </c>
      <c r="G1174" s="3">
        <v>145.39935000000003</v>
      </c>
      <c r="H1174" s="4">
        <f t="shared" si="73"/>
        <v>1.4261690000000158</v>
      </c>
      <c r="I1174" s="4">
        <f t="shared" si="71"/>
        <v>3.9945100000000195</v>
      </c>
      <c r="J1174" s="3">
        <v>52.95</v>
      </c>
      <c r="K1174" s="3">
        <v>20</v>
      </c>
      <c r="L1174" s="13">
        <f>YEAR(Weekly_Prices[[#This Row],[Date]])</f>
        <v>2025</v>
      </c>
      <c r="M1174" s="13">
        <f>MONTH(Weekly_Prices[[#This Row],[Date]])</f>
        <v>11</v>
      </c>
      <c r="N1174" s="3" t="str">
        <f>TEXT(Weekly_Prices[[#This Row],[Date]],"MMMM")</f>
        <v>November</v>
      </c>
      <c r="O1174" s="3" t="str">
        <f>YEAR(Weekly_Prices[[#This Row],[Date]])&amp;"-"&amp;TEXT(WEEKNUM(Weekly_Prices[[#This Row],[Date]],2),"00")</f>
        <v>2025-48</v>
      </c>
    </row>
    <row r="1175" spans="1:15" x14ac:dyDescent="0.35">
      <c r="A1175" s="2">
        <v>45992</v>
      </c>
      <c r="B1175" s="3">
        <v>136.61131399999999</v>
      </c>
      <c r="C1175" s="4">
        <f t="shared" si="72"/>
        <v>0.53730300000000852</v>
      </c>
      <c r="D1175" s="4">
        <f t="shared" si="70"/>
        <v>0.68547300000000178</v>
      </c>
      <c r="E1175" s="3">
        <v>52.95</v>
      </c>
      <c r="F1175" s="3">
        <v>20</v>
      </c>
      <c r="G1175" s="3">
        <v>146.19905800000001</v>
      </c>
      <c r="H1175" s="4">
        <f t="shared" si="73"/>
        <v>0.79970799999998121</v>
      </c>
      <c r="I1175" s="4">
        <f t="shared" si="71"/>
        <v>4.1589130000000409</v>
      </c>
      <c r="J1175" s="3">
        <v>52.95</v>
      </c>
      <c r="K1175" s="3">
        <v>20</v>
      </c>
      <c r="L1175" s="13">
        <f>YEAR(Weekly_Prices[[#This Row],[Date]])</f>
        <v>2025</v>
      </c>
      <c r="M1175" s="13">
        <f>MONTH(Weekly_Prices[[#This Row],[Date]])</f>
        <v>12</v>
      </c>
      <c r="N1175" s="3" t="str">
        <f>TEXT(Weekly_Prices[[#This Row],[Date]],"MMMM")</f>
        <v>December</v>
      </c>
      <c r="O1175" s="3" t="str">
        <f>YEAR(Weekly_Prices[[#This Row],[Date]])&amp;"-"&amp;TEXT(WEEKNUM(Weekly_Prices[[#This Row],[Date]],2),"00")</f>
        <v>2025-49</v>
      </c>
    </row>
    <row r="1176" spans="1:15" x14ac:dyDescent="0.35">
      <c r="A1176" s="2">
        <v>45999</v>
      </c>
      <c r="B1176" s="3">
        <v>136.67733200000001</v>
      </c>
      <c r="C1176" s="4">
        <f t="shared" si="72"/>
        <v>6.6018000000013899E-2</v>
      </c>
      <c r="D1176" s="4">
        <f t="shared" si="70"/>
        <v>0.45088200000000711</v>
      </c>
      <c r="E1176" s="3">
        <v>52.95</v>
      </c>
      <c r="F1176" s="3">
        <v>20</v>
      </c>
      <c r="G1176" s="3">
        <v>146.23381900000001</v>
      </c>
      <c r="H1176" s="4">
        <f t="shared" si="73"/>
        <v>3.476100000000315E-2</v>
      </c>
      <c r="I1176" s="4">
        <f t="shared" si="71"/>
        <v>3.746532000000002</v>
      </c>
      <c r="J1176" s="3">
        <v>52.95</v>
      </c>
      <c r="K1176" s="3">
        <v>20</v>
      </c>
      <c r="L1176" s="13">
        <f>YEAR(Weekly_Prices[[#This Row],[Date]])</f>
        <v>2025</v>
      </c>
      <c r="M1176" s="13">
        <f>MONTH(Weekly_Prices[[#This Row],[Date]])</f>
        <v>12</v>
      </c>
      <c r="N1176" s="3" t="str">
        <f>TEXT(Weekly_Prices[[#This Row],[Date]],"MMMM")</f>
        <v>December</v>
      </c>
      <c r="O1176" s="3" t="str">
        <f>YEAR(Weekly_Prices[[#This Row],[Date]])&amp;"-"&amp;TEXT(WEEKNUM(Weekly_Prices[[#This Row],[Date]],2),"00")</f>
        <v>2025-50</v>
      </c>
    </row>
    <row r="1177" spans="1:15" x14ac:dyDescent="0.35">
      <c r="A1177" s="2">
        <v>46006</v>
      </c>
      <c r="B1177" s="3">
        <v>136.83113299999999</v>
      </c>
      <c r="C1177" s="4">
        <f t="shared" si="72"/>
        <v>0.1538009999999872</v>
      </c>
      <c r="D1177" s="4">
        <f t="shared" si="70"/>
        <v>0.43985200000000191</v>
      </c>
      <c r="E1177" s="3">
        <v>52.95</v>
      </c>
      <c r="F1177" s="3">
        <v>20</v>
      </c>
      <c r="G1177" s="3">
        <v>146.14285699999999</v>
      </c>
      <c r="H1177" s="4">
        <f t="shared" si="73"/>
        <v>-9.0962000000018861E-2</v>
      </c>
      <c r="I1177" s="4">
        <f t="shared" si="71"/>
        <v>3.4337419999999668</v>
      </c>
      <c r="J1177" s="3">
        <v>52.95</v>
      </c>
      <c r="K1177" s="3">
        <v>20</v>
      </c>
      <c r="L1177" s="13">
        <f>YEAR(Weekly_Prices[[#This Row],[Date]])</f>
        <v>2025</v>
      </c>
      <c r="M1177" s="13">
        <f>MONTH(Weekly_Prices[[#This Row],[Date]])</f>
        <v>12</v>
      </c>
      <c r="N1177" s="3" t="str">
        <f>TEXT(Weekly_Prices[[#This Row],[Date]],"MMMM")</f>
        <v>December</v>
      </c>
      <c r="O1177" s="3" t="str">
        <f>YEAR(Weekly_Prices[[#This Row],[Date]])&amp;"-"&amp;TEXT(WEEKNUM(Weekly_Prices[[#This Row],[Date]],2),"00")</f>
        <v>2025-51</v>
      </c>
    </row>
    <row r="1178" spans="1:15" x14ac:dyDescent="0.35">
      <c r="A1178" s="2">
        <v>46013</v>
      </c>
      <c r="B1178" s="3">
        <v>136.22822000000002</v>
      </c>
      <c r="C1178" s="4">
        <f t="shared" si="72"/>
        <v>-0.6029129999999725</v>
      </c>
      <c r="D1178" s="4">
        <f t="shared" si="70"/>
        <v>-0.15680899999998132</v>
      </c>
      <c r="E1178" s="3">
        <v>52.95</v>
      </c>
      <c r="F1178" s="3">
        <v>20</v>
      </c>
      <c r="G1178" s="3">
        <v>145.44801899999999</v>
      </c>
      <c r="H1178" s="4">
        <f t="shared" si="73"/>
        <v>-0.69483800000000429</v>
      </c>
      <c r="I1178" s="4">
        <f t="shared" si="71"/>
        <v>2.5999459999999885</v>
      </c>
      <c r="J1178" s="3">
        <v>52.95</v>
      </c>
      <c r="K1178" s="3">
        <v>20</v>
      </c>
      <c r="L1178" s="13">
        <f>YEAR(Weekly_Prices[[#This Row],[Date]])</f>
        <v>2025</v>
      </c>
      <c r="M1178" s="13">
        <f>MONTH(Weekly_Prices[[#This Row],[Date]])</f>
        <v>12</v>
      </c>
      <c r="N1178" s="3" t="str">
        <f>TEXT(Weekly_Prices[[#This Row],[Date]],"MMMM")</f>
        <v>December</v>
      </c>
      <c r="O1178" s="3" t="str">
        <f>YEAR(Weekly_Prices[[#This Row],[Date]])&amp;"-"&amp;TEXT(WEEKNUM(Weekly_Prices[[#This Row],[Date]],2),"00")</f>
        <v>2025-52</v>
      </c>
    </row>
    <row r="1179" spans="1:15" x14ac:dyDescent="0.35">
      <c r="A1179" s="2">
        <v>46020</v>
      </c>
      <c r="B1179" s="3">
        <v>135.338199</v>
      </c>
      <c r="C1179" s="4">
        <f t="shared" si="72"/>
        <v>-0.8900210000000186</v>
      </c>
      <c r="D1179" s="4">
        <f t="shared" si="70"/>
        <v>-1.1531090000000006</v>
      </c>
      <c r="E1179" s="3">
        <v>52.95</v>
      </c>
      <c r="F1179" s="3">
        <v>20</v>
      </c>
      <c r="G1179" s="3">
        <v>144.58739800000001</v>
      </c>
      <c r="H1179" s="4">
        <f t="shared" si="73"/>
        <v>-0.86062099999998054</v>
      </c>
      <c r="I1179" s="4">
        <f t="shared" si="71"/>
        <v>1.6063810000000274</v>
      </c>
      <c r="J1179" s="3">
        <v>52.95</v>
      </c>
      <c r="K1179" s="3">
        <v>20</v>
      </c>
      <c r="L1179" s="13">
        <f>YEAR(Weekly_Prices[[#This Row],[Date]])</f>
        <v>2025</v>
      </c>
      <c r="M1179" s="13">
        <f>MONTH(Weekly_Prices[[#This Row],[Date]])</f>
        <v>12</v>
      </c>
      <c r="N1179" s="3" t="str">
        <f>TEXT(Weekly_Prices[[#This Row],[Date]],"MMMM")</f>
        <v>December</v>
      </c>
      <c r="O1179" s="3" t="str">
        <f>YEAR(Weekly_Prices[[#This Row],[Date]])&amp;"-"&amp;TEXT(WEEKNUM(Weekly_Prices[[#This Row],[Date]],2),"00")</f>
        <v>2025-53</v>
      </c>
    </row>
    <row r="1180" spans="1:15" x14ac:dyDescent="0.35">
      <c r="A1180" s="2">
        <v>46027</v>
      </c>
      <c r="B1180" s="3">
        <v>134.89606800000001</v>
      </c>
      <c r="C1180" s="4">
        <f t="shared" si="72"/>
        <v>-0.44213099999998917</v>
      </c>
      <c r="D1180" s="4">
        <f t="shared" si="70"/>
        <v>-1.707178999999968</v>
      </c>
      <c r="E1180" s="3">
        <v>52.95</v>
      </c>
      <c r="F1180" s="3">
        <v>20</v>
      </c>
      <c r="G1180" s="3">
        <v>144.18756299999998</v>
      </c>
      <c r="H1180" s="4">
        <f t="shared" si="73"/>
        <v>-0.39983500000002437</v>
      </c>
      <c r="I1180" s="4">
        <f t="shared" si="71"/>
        <v>0.89232099999998127</v>
      </c>
      <c r="J1180" s="3">
        <v>52.95</v>
      </c>
      <c r="K1180" s="3">
        <v>20</v>
      </c>
      <c r="L1180" s="13">
        <f>YEAR(Weekly_Prices[[#This Row],[Date]])</f>
        <v>2026</v>
      </c>
      <c r="M1180" s="13">
        <f>MONTH(Weekly_Prices[[#This Row],[Date]])</f>
        <v>1</v>
      </c>
      <c r="N1180" s="3" t="str">
        <f>TEXT(Weekly_Prices[[#This Row],[Date]],"MMMM")</f>
        <v>January</v>
      </c>
      <c r="O1180" s="3" t="str">
        <f>YEAR(Weekly_Prices[[#This Row],[Date]])&amp;"-"&amp;TEXT(WEEKNUM(Weekly_Prices[[#This Row],[Date]],2),"00")</f>
        <v>2026-02</v>
      </c>
    </row>
    <row r="1181" spans="1:15" x14ac:dyDescent="0.35">
      <c r="A1181" s="2">
        <v>46034</v>
      </c>
      <c r="B1181" s="3">
        <v>133.43266399999999</v>
      </c>
      <c r="C1181" s="4">
        <f t="shared" si="72"/>
        <v>-1.4634040000000255</v>
      </c>
      <c r="D1181" s="4">
        <f t="shared" si="70"/>
        <v>-3.077321000000012</v>
      </c>
      <c r="E1181" s="3">
        <v>52.95</v>
      </c>
      <c r="F1181" s="3">
        <v>20</v>
      </c>
      <c r="G1181" s="3">
        <v>142.62878900000001</v>
      </c>
      <c r="H1181" s="4">
        <f t="shared" si="73"/>
        <v>-1.5587739999999712</v>
      </c>
      <c r="I1181" s="4">
        <f t="shared" si="71"/>
        <v>-0.699641999999983</v>
      </c>
      <c r="J1181" s="3">
        <v>52.95</v>
      </c>
      <c r="K1181" s="3">
        <v>20</v>
      </c>
      <c r="L1181" s="13">
        <f>YEAR(Weekly_Prices[[#This Row],[Date]])</f>
        <v>2026</v>
      </c>
      <c r="M1181" s="13">
        <f>MONTH(Weekly_Prices[[#This Row],[Date]])</f>
        <v>1</v>
      </c>
      <c r="N1181" s="3" t="str">
        <f>TEXT(Weekly_Prices[[#This Row],[Date]],"MMMM")</f>
        <v>January</v>
      </c>
      <c r="O1181" s="3" t="str">
        <f>YEAR(Weekly_Prices[[#This Row],[Date]])&amp;"-"&amp;TEXT(WEEKNUM(Weekly_Prices[[#This Row],[Date]],2),"00")</f>
        <v>2026-03</v>
      </c>
    </row>
    <row r="1182" spans="1:15" x14ac:dyDescent="0.35">
      <c r="A1182" s="2">
        <v>46041</v>
      </c>
      <c r="B1182" s="3">
        <v>132.639636</v>
      </c>
      <c r="C1182" s="4">
        <f t="shared" si="72"/>
        <v>-0.79302799999999252</v>
      </c>
      <c r="D1182" s="4">
        <f t="shared" si="70"/>
        <v>-4.3294139999999857</v>
      </c>
      <c r="E1182" s="3">
        <v>52.95</v>
      </c>
      <c r="F1182" s="3">
        <v>20</v>
      </c>
      <c r="G1182" s="3">
        <v>141.81531200000001</v>
      </c>
      <c r="H1182" s="4">
        <f t="shared" si="73"/>
        <v>-0.813477000000006</v>
      </c>
      <c r="I1182" s="4">
        <f t="shared" si="71"/>
        <v>-2.4521889999999757</v>
      </c>
      <c r="J1182" s="3">
        <v>52.95</v>
      </c>
      <c r="K1182" s="3">
        <v>20</v>
      </c>
      <c r="L1182" s="13">
        <f>YEAR(Weekly_Prices[[#This Row],[Date]])</f>
        <v>2026</v>
      </c>
      <c r="M1182" s="13">
        <f>MONTH(Weekly_Prices[[#This Row],[Date]])</f>
        <v>1</v>
      </c>
      <c r="N1182" s="3" t="str">
        <f>TEXT(Weekly_Prices[[#This Row],[Date]],"MMMM")</f>
        <v>January</v>
      </c>
      <c r="O1182" s="3" t="str">
        <f>YEAR(Weekly_Prices[[#This Row],[Date]])&amp;"-"&amp;TEXT(WEEKNUM(Weekly_Prices[[#This Row],[Date]],2),"00")</f>
        <v>2026-04</v>
      </c>
    </row>
    <row r="1183" spans="1:15" x14ac:dyDescent="0.35">
      <c r="A1183" s="2">
        <v>46048</v>
      </c>
      <c r="B1183" s="3">
        <v>131.99566799999999</v>
      </c>
      <c r="C1183" s="4">
        <f t="shared" si="72"/>
        <v>-0.64396800000000098</v>
      </c>
      <c r="D1183" s="4">
        <f t="shared" si="70"/>
        <v>-6.3672969999999793</v>
      </c>
      <c r="E1183" s="3">
        <v>52.95</v>
      </c>
      <c r="F1183" s="3">
        <v>20</v>
      </c>
      <c r="G1183" s="3">
        <v>141.25736000000001</v>
      </c>
      <c r="H1183" s="4">
        <f t="shared" si="73"/>
        <v>-0.55795200000000023</v>
      </c>
      <c r="I1183" s="4">
        <f t="shared" si="71"/>
        <v>-4.3174329999999941</v>
      </c>
      <c r="J1183" s="3">
        <v>52.95</v>
      </c>
      <c r="K1183" s="3">
        <v>20</v>
      </c>
      <c r="L1183" s="13">
        <f>YEAR(Weekly_Prices[[#This Row],[Date]])</f>
        <v>2026</v>
      </c>
      <c r="M1183" s="13">
        <f>MONTH(Weekly_Prices[[#This Row],[Date]])</f>
        <v>1</v>
      </c>
      <c r="N1183" s="3" t="str">
        <f>TEXT(Weekly_Prices[[#This Row],[Date]],"MMMM")</f>
        <v>January</v>
      </c>
      <c r="O1183" s="3" t="str">
        <f>YEAR(Weekly_Prices[[#This Row],[Date]])&amp;"-"&amp;TEXT(WEEKNUM(Weekly_Prices[[#This Row],[Date]],2),"00")</f>
        <v>2026-05</v>
      </c>
    </row>
    <row r="1184" spans="1:15" x14ac:dyDescent="0.35">
      <c r="A1184" s="2">
        <v>46055</v>
      </c>
      <c r="B1184" s="3">
        <v>131.62345400000001</v>
      </c>
      <c r="C1184" s="4">
        <f t="shared" si="72"/>
        <v>-0.37221399999998539</v>
      </c>
      <c r="D1184" s="4">
        <f t="shared" si="70"/>
        <v>-7.1179569999999899</v>
      </c>
      <c r="E1184" s="3">
        <v>52.95</v>
      </c>
      <c r="F1184" s="3">
        <v>20</v>
      </c>
      <c r="G1184" s="3">
        <v>140.81647099999998</v>
      </c>
      <c r="H1184" s="4">
        <f t="shared" si="73"/>
        <v>-0.44088900000002695</v>
      </c>
      <c r="I1184" s="4">
        <f t="shared" si="71"/>
        <v>-5.3144030000000271</v>
      </c>
      <c r="J1184" s="3">
        <v>52.95</v>
      </c>
      <c r="K1184" s="3">
        <v>20</v>
      </c>
      <c r="L1184" s="13">
        <f>YEAR(Weekly_Prices[[#This Row],[Date]])</f>
        <v>2026</v>
      </c>
      <c r="M1184" s="13">
        <f>MONTH(Weekly_Prices[[#This Row],[Date]])</f>
        <v>2</v>
      </c>
      <c r="N1184" s="3" t="str">
        <f>TEXT(Weekly_Prices[[#This Row],[Date]],"MMMM")</f>
        <v>February</v>
      </c>
      <c r="O1184" s="3" t="str">
        <f>YEAR(Weekly_Prices[[#This Row],[Date]])&amp;"-"&amp;TEXT(WEEKNUM(Weekly_Prices[[#This Row],[Date]],2),"00")</f>
        <v>2026-06</v>
      </c>
    </row>
    <row r="1185" spans="1:15" x14ac:dyDescent="0.35">
      <c r="A1185" s="2">
        <v>46062</v>
      </c>
      <c r="B1185" s="3">
        <v>131.46178999999998</v>
      </c>
      <c r="C1185" s="4">
        <f t="shared" si="72"/>
        <v>-0.16166400000003023</v>
      </c>
      <c r="D1185" s="4">
        <f t="shared" si="70"/>
        <v>-7.5598690000000204</v>
      </c>
      <c r="E1185" s="3">
        <v>52.95</v>
      </c>
      <c r="F1185" s="3">
        <v>20</v>
      </c>
      <c r="G1185" s="3">
        <v>140.72389400000003</v>
      </c>
      <c r="H1185" s="4">
        <f t="shared" si="73"/>
        <v>-9.2576999999948839E-2</v>
      </c>
      <c r="I1185" s="4">
        <f t="shared" si="71"/>
        <v>-5.569437999999991</v>
      </c>
      <c r="J1185" s="3">
        <v>52.95</v>
      </c>
      <c r="K1185" s="3">
        <v>20</v>
      </c>
      <c r="L1185" s="13">
        <f>YEAR(Weekly_Prices[[#This Row],[Date]])</f>
        <v>2026</v>
      </c>
      <c r="M1185" s="13">
        <f>MONTH(Weekly_Prices[[#This Row],[Date]])</f>
        <v>2</v>
      </c>
      <c r="N1185" s="3" t="str">
        <f>TEXT(Weekly_Prices[[#This Row],[Date]],"MMMM")</f>
        <v>February</v>
      </c>
      <c r="O1185" s="3" t="str">
        <f>YEAR(Weekly_Prices[[#This Row],[Date]])&amp;"-"&amp;TEXT(WEEKNUM(Weekly_Prices[[#This Row],[Date]],2),"00")</f>
        <v>2026-07</v>
      </c>
    </row>
    <row r="1186" spans="1:15" x14ac:dyDescent="0.35">
      <c r="A1186" s="2">
        <v>46069</v>
      </c>
      <c r="B1186" s="3">
        <v>131.597407</v>
      </c>
      <c r="C1186" s="4">
        <f t="shared" si="72"/>
        <v>0.13561700000002475</v>
      </c>
      <c r="D1186" s="4">
        <f t="shared" si="70"/>
        <v>-7.6201719999999966</v>
      </c>
      <c r="E1186" s="3">
        <v>52.95</v>
      </c>
      <c r="F1186" s="3">
        <v>20</v>
      </c>
      <c r="G1186" s="3">
        <v>141.45736099999999</v>
      </c>
      <c r="H1186" s="4">
        <f t="shared" si="73"/>
        <v>0.7334669999999619</v>
      </c>
      <c r="I1186" s="4">
        <f t="shared" si="71"/>
        <v>-4.9903570000000173</v>
      </c>
      <c r="J1186" s="3">
        <v>52.95</v>
      </c>
      <c r="K1186" s="3">
        <v>20</v>
      </c>
      <c r="L1186" s="13">
        <f>YEAR(Weekly_Prices[[#This Row],[Date]])</f>
        <v>2026</v>
      </c>
      <c r="M1186" s="13">
        <f>MONTH(Weekly_Prices[[#This Row],[Date]])</f>
        <v>2</v>
      </c>
      <c r="N1186" s="3" t="str">
        <f>TEXT(Weekly_Prices[[#This Row],[Date]],"MMMM")</f>
        <v>February</v>
      </c>
      <c r="O1186" s="3" t="str">
        <f>YEAR(Weekly_Prices[[#This Row],[Date]])&amp;"-"&amp;TEXT(WEEKNUM(Weekly_Prices[[#This Row],[Date]],2),"00")</f>
        <v>2026-08</v>
      </c>
    </row>
    <row r="1187" spans="1:15" x14ac:dyDescent="0.35">
      <c r="A1187" s="2">
        <v>46076</v>
      </c>
      <c r="B1187" s="3">
        <v>131.70702400000002</v>
      </c>
      <c r="C1187" s="4">
        <f t="shared" si="72"/>
        <v>0.10961700000001429</v>
      </c>
      <c r="D1187" s="4">
        <f t="shared" si="70"/>
        <v>-7.9152139999999633</v>
      </c>
      <c r="E1187" s="3">
        <v>52.95</v>
      </c>
      <c r="F1187" s="3">
        <v>20</v>
      </c>
      <c r="G1187" s="3">
        <v>141.455443</v>
      </c>
      <c r="H1187" s="4">
        <f t="shared" si="73"/>
        <v>-1.9179999999892061E-3</v>
      </c>
      <c r="I1187" s="4">
        <f t="shared" si="71"/>
        <v>-5.366484000000014</v>
      </c>
      <c r="J1187" s="3">
        <v>52.95</v>
      </c>
      <c r="K1187" s="3">
        <v>20</v>
      </c>
      <c r="L1187" s="13">
        <f>YEAR(Weekly_Prices[[#This Row],[Date]])</f>
        <v>2026</v>
      </c>
      <c r="M1187" s="13">
        <f>MONTH(Weekly_Prices[[#This Row],[Date]])</f>
        <v>2</v>
      </c>
      <c r="N1187" s="3" t="str">
        <f>TEXT(Weekly_Prices[[#This Row],[Date]],"MMMM")</f>
        <v>February</v>
      </c>
      <c r="O1187" s="3" t="str">
        <f>YEAR(Weekly_Prices[[#This Row],[Date]])&amp;"-"&amp;TEXT(WEEKNUM(Weekly_Prices[[#This Row],[Date]],2),"00")</f>
        <v>2026-09</v>
      </c>
    </row>
    <row r="1188" spans="1:15" x14ac:dyDescent="0.35">
      <c r="A1188" s="2">
        <v>46083</v>
      </c>
      <c r="B1188" s="3">
        <v>132.13817599999999</v>
      </c>
      <c r="C1188" s="4">
        <f t="shared" si="72"/>
        <v>0.43115199999996889</v>
      </c>
      <c r="D1188" s="4">
        <f t="shared" si="70"/>
        <v>-7.4743070000000102</v>
      </c>
      <c r="E1188" s="3">
        <v>52.95</v>
      </c>
      <c r="F1188" s="3">
        <v>20</v>
      </c>
      <c r="G1188" s="3">
        <v>142.14869900000002</v>
      </c>
      <c r="H1188" s="4">
        <f t="shared" si="73"/>
        <v>0.69325600000001941</v>
      </c>
      <c r="I1188" s="4">
        <f t="shared" si="71"/>
        <v>-4.7353279999999813</v>
      </c>
      <c r="J1188" s="3">
        <v>52.95</v>
      </c>
      <c r="K1188" s="3">
        <v>20</v>
      </c>
      <c r="L1188" s="13">
        <f>YEAR(Weekly_Prices[[#This Row],[Date]])</f>
        <v>2026</v>
      </c>
      <c r="M1188" s="13">
        <f>MONTH(Weekly_Prices[[#This Row],[Date]])</f>
        <v>3</v>
      </c>
      <c r="N1188" s="3" t="str">
        <f>TEXT(Weekly_Prices[[#This Row],[Date]],"MMMM")</f>
        <v>March</v>
      </c>
      <c r="O1188" s="3" t="str">
        <f>YEAR(Weekly_Prices[[#This Row],[Date]])&amp;"-"&amp;TEXT(WEEKNUM(Weekly_Prices[[#This Row],[Date]],2),"00")</f>
        <v>2026-10</v>
      </c>
    </row>
    <row r="1189" spans="1:15" x14ac:dyDescent="0.35">
      <c r="A1189" s="2">
        <v>46090</v>
      </c>
      <c r="B1189" s="3">
        <v>135.667125</v>
      </c>
      <c r="C1189" s="4">
        <f t="shared" si="72"/>
        <v>3.5289490000000114</v>
      </c>
      <c r="D1189" s="4">
        <f t="shared" si="70"/>
        <v>-3.7498449999999934</v>
      </c>
      <c r="E1189" s="3">
        <v>52.95</v>
      </c>
      <c r="F1189" s="3">
        <v>20</v>
      </c>
      <c r="G1189" s="3">
        <v>149.01496200000003</v>
      </c>
      <c r="H1189" s="4">
        <f t="shared" si="73"/>
        <v>6.8662630000000036</v>
      </c>
      <c r="I1189" s="4">
        <f t="shared" si="71"/>
        <v>2.43967200000003</v>
      </c>
      <c r="J1189" s="3">
        <v>52.95</v>
      </c>
      <c r="K1189" s="3">
        <v>20</v>
      </c>
      <c r="L1189" s="13">
        <f>YEAR(Weekly_Prices[[#This Row],[Date]])</f>
        <v>2026</v>
      </c>
      <c r="M1189" s="13">
        <f>MONTH(Weekly_Prices[[#This Row],[Date]])</f>
        <v>3</v>
      </c>
      <c r="N1189" s="3" t="str">
        <f>TEXT(Weekly_Prices[[#This Row],[Date]],"MMMM")</f>
        <v>March</v>
      </c>
      <c r="O1189" s="3" t="str">
        <f>YEAR(Weekly_Prices[[#This Row],[Date]])&amp;"-"&amp;TEXT(WEEKNUM(Weekly_Prices[[#This Row],[Date]],2),"00")</f>
        <v>2026-11</v>
      </c>
    </row>
    <row r="1190" spans="1:15" x14ac:dyDescent="0.35">
      <c r="A1190" s="2">
        <v>46097</v>
      </c>
      <c r="B1190" s="3">
        <v>140.275083</v>
      </c>
      <c r="C1190" s="4">
        <f t="shared" si="72"/>
        <v>4.6079579999999964</v>
      </c>
      <c r="D1190" s="4">
        <f t="shared" si="70"/>
        <v>2.3034289999999942</v>
      </c>
      <c r="E1190" s="3">
        <v>52.95</v>
      </c>
      <c r="F1190" s="3">
        <v>20</v>
      </c>
      <c r="G1190" s="3">
        <v>158.78076900000002</v>
      </c>
      <c r="H1190" s="4">
        <f t="shared" si="73"/>
        <v>9.7658069999999952</v>
      </c>
      <c r="I1190" s="4">
        <f t="shared" si="71"/>
        <v>13.395941999999991</v>
      </c>
      <c r="J1190" s="3">
        <v>52.95</v>
      </c>
      <c r="K1190" s="3">
        <v>20</v>
      </c>
      <c r="L1190" s="13">
        <f>YEAR(Weekly_Prices[[#This Row],[Date]])</f>
        <v>2026</v>
      </c>
      <c r="M1190" s="13">
        <f>MONTH(Weekly_Prices[[#This Row],[Date]])</f>
        <v>3</v>
      </c>
      <c r="N1190" s="3" t="str">
        <f>TEXT(Weekly_Prices[[#This Row],[Date]],"MMMM")</f>
        <v>March</v>
      </c>
      <c r="O1190" s="3" t="str">
        <f>YEAR(Weekly_Prices[[#This Row],[Date]])&amp;"-"&amp;TEXT(WEEKNUM(Weekly_Prices[[#This Row],[Date]],2),"00")</f>
        <v>2026-12</v>
      </c>
    </row>
    <row r="1191" spans="1:15" x14ac:dyDescent="0.35">
      <c r="A1191" s="2">
        <v>46104</v>
      </c>
      <c r="B1191" s="3">
        <v>144.16244899999998</v>
      </c>
      <c r="C1191" s="4">
        <f t="shared" si="72"/>
        <v>3.8873659999999859</v>
      </c>
      <c r="D1191" s="4">
        <f t="shared" si="70"/>
        <v>8.554491999999982</v>
      </c>
      <c r="E1191" s="3">
        <v>52.95</v>
      </c>
      <c r="F1191" s="3">
        <v>20</v>
      </c>
      <c r="G1191" s="3">
        <v>166.877734</v>
      </c>
      <c r="H1191" s="4">
        <f t="shared" si="73"/>
        <v>8.0969649999999831</v>
      </c>
      <c r="I1191" s="4">
        <f t="shared" si="71"/>
        <v>23.804653999999999</v>
      </c>
      <c r="J1191" s="3">
        <v>52.95</v>
      </c>
      <c r="K1191" s="3">
        <v>20</v>
      </c>
      <c r="L1191" s="13">
        <f>YEAR(Weekly_Prices[[#This Row],[Date]])</f>
        <v>2026</v>
      </c>
      <c r="M1191" s="13">
        <f>MONTH(Weekly_Prices[[#This Row],[Date]])</f>
        <v>3</v>
      </c>
      <c r="N1191" s="3" t="str">
        <f>TEXT(Weekly_Prices[[#This Row],[Date]],"MMMM")</f>
        <v>March</v>
      </c>
      <c r="O1191" s="3" t="str">
        <f>YEAR(Weekly_Prices[[#This Row],[Date]])&amp;"-"&amp;TEXT(WEEKNUM(Weekly_Prices[[#This Row],[Date]],2),"00")</f>
        <v>2026-13</v>
      </c>
    </row>
    <row r="1192" spans="1:15" x14ac:dyDescent="0.35">
      <c r="A1192" s="2">
        <v>46111</v>
      </c>
      <c r="B1192" s="3">
        <v>148.781409</v>
      </c>
      <c r="C1192" s="4">
        <f t="shared" si="72"/>
        <v>4.6189600000000155</v>
      </c>
      <c r="D1192" s="4">
        <f t="shared" si="70"/>
        <v>13.873976999999996</v>
      </c>
      <c r="E1192" s="3">
        <v>52.95</v>
      </c>
      <c r="F1192" s="3">
        <v>20</v>
      </c>
      <c r="G1192" s="3">
        <v>176.52186600000002</v>
      </c>
      <c r="H1192" s="4">
        <f t="shared" si="73"/>
        <v>9.6441320000000132</v>
      </c>
      <c r="I1192" s="4">
        <f t="shared" si="71"/>
        <v>34.266857000000016</v>
      </c>
      <c r="J1192" s="3">
        <v>52.95</v>
      </c>
      <c r="K1192" s="3">
        <v>20</v>
      </c>
      <c r="L1192" s="13">
        <f>YEAR(Weekly_Prices[[#This Row],[Date]])</f>
        <v>2026</v>
      </c>
      <c r="M1192" s="13">
        <f>MONTH(Weekly_Prices[[#This Row],[Date]])</f>
        <v>3</v>
      </c>
      <c r="N1192" s="3" t="str">
        <f>TEXT(Weekly_Prices[[#This Row],[Date]],"MMMM")</f>
        <v>March</v>
      </c>
      <c r="O1192" s="3" t="str">
        <f>YEAR(Weekly_Prices[[#This Row],[Date]])&amp;"-"&amp;TEXT(WEEKNUM(Weekly_Prices[[#This Row],[Date]],2),"00")</f>
        <v>2026-14</v>
      </c>
    </row>
    <row r="1193" spans="1:15" x14ac:dyDescent="0.35">
      <c r="A1193" s="2">
        <v>46118</v>
      </c>
      <c r="B1193" s="3">
        <v>154.65179699999999</v>
      </c>
      <c r="C1193" s="4">
        <f t="shared" si="72"/>
        <v>5.8703879999999913</v>
      </c>
      <c r="D1193" s="4">
        <f t="shared" si="70"/>
        <v>19.402277999999995</v>
      </c>
      <c r="E1193" s="3">
        <v>52.95</v>
      </c>
      <c r="F1193" s="3">
        <v>20</v>
      </c>
      <c r="G1193" s="3">
        <v>186.74589200000003</v>
      </c>
      <c r="H1193" s="4">
        <f t="shared" si="73"/>
        <v>10.224026000000009</v>
      </c>
      <c r="I1193" s="4">
        <f t="shared" si="71"/>
        <v>44.204200000000043</v>
      </c>
      <c r="J1193" s="3">
        <v>52.95</v>
      </c>
      <c r="K1193" s="3">
        <v>20</v>
      </c>
      <c r="L1193" s="13">
        <f>YEAR(Weekly_Prices[[#This Row],[Date]])</f>
        <v>2026</v>
      </c>
      <c r="M1193" s="13">
        <f>MONTH(Weekly_Prices[[#This Row],[Date]])</f>
        <v>4</v>
      </c>
      <c r="N1193" s="3" t="str">
        <f>TEXT(Weekly_Prices[[#This Row],[Date]],"MMMM")</f>
        <v>April</v>
      </c>
      <c r="O1193" s="3" t="str">
        <f>YEAR(Weekly_Prices[[#This Row],[Date]])&amp;"-"&amp;TEXT(WEEKNUM(Weekly_Prices[[#This Row],[Date]],2),"00")</f>
        <v>2026-15</v>
      </c>
    </row>
    <row r="1194" spans="1:15" x14ac:dyDescent="0.35">
      <c r="A1194" s="2">
        <v>46125</v>
      </c>
      <c r="B1194" s="3">
        <v>158.17279600000001</v>
      </c>
      <c r="C1194" s="4">
        <f t="shared" si="72"/>
        <v>3.5209990000000175</v>
      </c>
      <c r="D1194" s="4">
        <f t="shared" si="70"/>
        <v>23.325082000000009</v>
      </c>
      <c r="E1194" s="3">
        <v>52.95</v>
      </c>
      <c r="F1194" s="3">
        <v>20</v>
      </c>
      <c r="G1194" s="3">
        <v>192.13534799999999</v>
      </c>
      <c r="H1194" s="4">
        <f t="shared" si="73"/>
        <v>5.3894559999999672</v>
      </c>
      <c r="I1194" s="4">
        <f t="shared" si="71"/>
        <v>50.160730000000001</v>
      </c>
      <c r="J1194" s="3">
        <v>52.95</v>
      </c>
      <c r="K1194" s="3">
        <v>20</v>
      </c>
      <c r="L1194" s="13">
        <f>YEAR(Weekly_Prices[[#This Row],[Date]])</f>
        <v>2026</v>
      </c>
      <c r="M1194" s="13">
        <f>MONTH(Weekly_Prices[[#This Row],[Date]])</f>
        <v>4</v>
      </c>
      <c r="N1194" s="3" t="str">
        <f>TEXT(Weekly_Prices[[#This Row],[Date]],"MMMM")</f>
        <v>April</v>
      </c>
      <c r="O1194" s="3" t="str">
        <f>YEAR(Weekly_Prices[[#This Row],[Date]])&amp;"-"&amp;TEXT(WEEKNUM(Weekly_Prices[[#This Row],[Date]],2),"00")</f>
        <v>2026-16</v>
      </c>
    </row>
    <row r="1195" spans="1:15" x14ac:dyDescent="0.35">
      <c r="A1195" s="2">
        <v>46132</v>
      </c>
      <c r="B1195" s="3">
        <v>157.624481</v>
      </c>
      <c r="C1195" s="4">
        <f t="shared" si="72"/>
        <v>-0.54831500000000233</v>
      </c>
      <c r="D1195" s="4">
        <f t="shared" si="70"/>
        <v>23.363320000000016</v>
      </c>
      <c r="E1195" s="3">
        <v>52.95</v>
      </c>
      <c r="F1195" s="3">
        <v>20</v>
      </c>
      <c r="G1195" s="3">
        <v>191.237031</v>
      </c>
      <c r="H1195" s="4">
        <f t="shared" si="73"/>
        <v>-0.89831699999999159</v>
      </c>
      <c r="I1195" s="4">
        <f t="shared" si="71"/>
        <v>49.794857000000007</v>
      </c>
      <c r="J1195" s="3">
        <v>52.95</v>
      </c>
      <c r="K1195" s="3">
        <v>20</v>
      </c>
      <c r="L1195" s="13">
        <f>YEAR(Weekly_Prices[[#This Row],[Date]])</f>
        <v>2026</v>
      </c>
      <c r="M1195" s="13">
        <f>MONTH(Weekly_Prices[[#This Row],[Date]])</f>
        <v>4</v>
      </c>
      <c r="N1195" s="3" t="str">
        <f>TEXT(Weekly_Prices[[#This Row],[Date]],"MMMM")</f>
        <v>April</v>
      </c>
      <c r="O1195" s="3" t="str">
        <f>YEAR(Weekly_Prices[[#This Row],[Date]])&amp;"-"&amp;TEXT(WEEKNUM(Weekly_Prices[[#This Row],[Date]],2),"00")</f>
        <v>2026-17</v>
      </c>
    </row>
    <row r="1196" spans="1:15" x14ac:dyDescent="0.35">
      <c r="A1196" s="2">
        <v>46139</v>
      </c>
      <c r="B1196" s="3">
        <v>156.99114800000004</v>
      </c>
      <c r="C1196" s="4">
        <f t="shared" si="72"/>
        <v>-0.63333299999996484</v>
      </c>
      <c r="D1196" s="4">
        <f t="shared" si="70"/>
        <v>23.155448000000035</v>
      </c>
      <c r="E1196" s="3">
        <v>52.95</v>
      </c>
      <c r="F1196" s="3">
        <v>20</v>
      </c>
      <c r="G1196" s="3">
        <v>189.81097900000003</v>
      </c>
      <c r="H1196" s="4">
        <f t="shared" si="73"/>
        <v>-1.4260519999999701</v>
      </c>
      <c r="I1196" s="4">
        <f t="shared" si="71"/>
        <v>49.000003000000021</v>
      </c>
      <c r="J1196" s="3">
        <v>52.95</v>
      </c>
      <c r="K1196" s="3">
        <v>20</v>
      </c>
      <c r="L1196" s="13">
        <f>YEAR(Weekly_Prices[[#This Row],[Date]])</f>
        <v>2026</v>
      </c>
      <c r="M1196" s="13">
        <f>MONTH(Weekly_Prices[[#This Row],[Date]])</f>
        <v>4</v>
      </c>
      <c r="N1196" s="3" t="str">
        <f>TEXT(Weekly_Prices[[#This Row],[Date]],"MMMM")</f>
        <v>April</v>
      </c>
      <c r="O1196" s="3" t="str">
        <f>YEAR(Weekly_Prices[[#This Row],[Date]])&amp;"-"&amp;TEXT(WEEKNUM(Weekly_Prices[[#This Row],[Date]],2),"00")</f>
        <v>2026-18</v>
      </c>
    </row>
    <row r="1197" spans="1:15" x14ac:dyDescent="0.35">
      <c r="A1197" s="2">
        <v>46146</v>
      </c>
      <c r="B1197" s="3">
        <v>156.81544799999998</v>
      </c>
      <c r="C1197" s="4">
        <f t="shared" si="72"/>
        <v>-0.17570000000006303</v>
      </c>
      <c r="D1197" s="4">
        <f t="shared" si="70"/>
        <v>23.633735000000001</v>
      </c>
      <c r="E1197" s="3">
        <v>52.95</v>
      </c>
      <c r="F1197" s="3">
        <v>20</v>
      </c>
      <c r="G1197" s="3">
        <v>188.79284200000001</v>
      </c>
      <c r="H1197" s="4">
        <f t="shared" si="73"/>
        <v>-1.0181370000000243</v>
      </c>
      <c r="I1197" s="4">
        <f t="shared" si="71"/>
        <v>48.737362000000019</v>
      </c>
      <c r="J1197" s="3">
        <v>52.95</v>
      </c>
      <c r="K1197" s="3">
        <v>20</v>
      </c>
      <c r="L1197" s="13">
        <f>YEAR(Weekly_Prices[[#This Row],[Date]])</f>
        <v>2026</v>
      </c>
      <c r="M1197" s="13">
        <f>MONTH(Weekly_Prices[[#This Row],[Date]])</f>
        <v>5</v>
      </c>
      <c r="N1197" s="3" t="str">
        <f>TEXT(Weekly_Prices[[#This Row],[Date]],"MMMM")</f>
        <v>May</v>
      </c>
      <c r="O1197" s="3" t="str">
        <f>YEAR(Weekly_Prices[[#This Row],[Date]])&amp;"-"&amp;TEXT(WEEKNUM(Weekly_Prices[[#This Row],[Date]],2),"00")</f>
        <v>2026-19</v>
      </c>
    </row>
    <row r="1198" spans="1:15" x14ac:dyDescent="0.35">
      <c r="A1198" s="2">
        <v>46153</v>
      </c>
      <c r="B1198" s="3">
        <v>156.80991900000001</v>
      </c>
      <c r="C1198" s="4">
        <f t="shared" si="72"/>
        <v>-5.5289999999672546E-3</v>
      </c>
      <c r="D1198" s="4">
        <f t="shared" si="70"/>
        <v>24.491135000000014</v>
      </c>
      <c r="E1198" s="3">
        <v>52.95</v>
      </c>
      <c r="F1198" s="3">
        <v>20</v>
      </c>
      <c r="G1198" s="3">
        <v>188.141614</v>
      </c>
      <c r="H1198" s="4">
        <f t="shared" si="73"/>
        <v>-0.65122800000000325</v>
      </c>
      <c r="I1198" s="4">
        <f t="shared" si="71"/>
        <v>48.943737000000027</v>
      </c>
      <c r="J1198" s="3">
        <v>52.95</v>
      </c>
      <c r="K1198" s="3">
        <v>20</v>
      </c>
      <c r="L1198" s="13">
        <f>YEAR(Weekly_Prices[[#This Row],[Date]])</f>
        <v>2026</v>
      </c>
      <c r="M1198" s="13">
        <f>MONTH(Weekly_Prices[[#This Row],[Date]])</f>
        <v>5</v>
      </c>
      <c r="N1198" s="3" t="str">
        <f>TEXT(Weekly_Prices[[#This Row],[Date]],"MMMM")</f>
        <v>May</v>
      </c>
      <c r="O1198" s="3" t="str">
        <f>YEAR(Weekly_Prices[[#This Row],[Date]])&amp;"-"&amp;TEXT(WEEKNUM(Weekly_Prices[[#This Row],[Date]],2),"00")</f>
        <v>2026-20</v>
      </c>
    </row>
    <row r="1199" spans="1:15" x14ac:dyDescent="0.35">
      <c r="A1199" s="2">
        <v>46160</v>
      </c>
      <c r="B1199" s="3">
        <v>157.39308400000002</v>
      </c>
      <c r="C1199" s="4">
        <f t="shared" si="72"/>
        <v>0.58316500000000815</v>
      </c>
      <c r="D1199" s="4">
        <f t="shared" si="70"/>
        <v>25.31843600000002</v>
      </c>
      <c r="E1199" s="3">
        <v>52.95</v>
      </c>
      <c r="F1199" s="3">
        <v>20</v>
      </c>
      <c r="G1199" s="3">
        <v>186.56378000000001</v>
      </c>
      <c r="H1199" s="4">
        <f t="shared" si="73"/>
        <v>-1.5778339999999957</v>
      </c>
      <c r="I1199" s="4">
        <f t="shared" si="71"/>
        <v>47.990278999999987</v>
      </c>
      <c r="J1199" s="3">
        <v>52.95</v>
      </c>
      <c r="K1199" s="3">
        <v>20</v>
      </c>
      <c r="L1199" s="13">
        <f>YEAR(Weekly_Prices[[#This Row],[Date]])</f>
        <v>2026</v>
      </c>
      <c r="M1199" s="13">
        <f>MONTH(Weekly_Prices[[#This Row],[Date]])</f>
        <v>5</v>
      </c>
      <c r="N1199" s="3" t="str">
        <f>TEXT(Weekly_Prices[[#This Row],[Date]],"MMMM")</f>
        <v>May</v>
      </c>
      <c r="O1199" s="3" t="str">
        <f>YEAR(Weekly_Prices[[#This Row],[Date]])&amp;"-"&amp;TEXT(WEEKNUM(Weekly_Prices[[#This Row],[Date]],2),"00")</f>
        <v>2026-21</v>
      </c>
    </row>
    <row r="1200" spans="1:15" x14ac:dyDescent="0.35">
      <c r="A1200" s="2">
        <v>46167</v>
      </c>
      <c r="B1200" s="3">
        <v>158.780822</v>
      </c>
      <c r="C1200" s="4">
        <f t="shared" si="72"/>
        <v>1.3877379999999846</v>
      </c>
      <c r="D1200" s="4">
        <f t="shared" si="70"/>
        <v>26.794651999999985</v>
      </c>
      <c r="E1200" s="3">
        <v>52.95</v>
      </c>
      <c r="F1200" s="3">
        <v>20</v>
      </c>
      <c r="G1200" s="3">
        <v>185.06502800000001</v>
      </c>
      <c r="H1200" s="4">
        <f t="shared" si="73"/>
        <v>-1.4987519999999961</v>
      </c>
      <c r="I1200" s="4">
        <f t="shared" si="71"/>
        <v>46.697637000000014</v>
      </c>
      <c r="J1200" s="3">
        <v>52.95</v>
      </c>
      <c r="K1200" s="3">
        <v>20</v>
      </c>
      <c r="L1200" s="13">
        <f>YEAR(Weekly_Prices[[#This Row],[Date]])</f>
        <v>2026</v>
      </c>
      <c r="M1200" s="13">
        <f>MONTH(Weekly_Prices[[#This Row],[Date]])</f>
        <v>5</v>
      </c>
      <c r="N1200" s="3" t="str">
        <f>TEXT(Weekly_Prices[[#This Row],[Date]],"MMMM")</f>
        <v>May</v>
      </c>
      <c r="O1200" s="3" t="str">
        <f>YEAR(Weekly_Prices[[#This Row],[Date]])&amp;"-"&amp;TEXT(WEEKNUM(Weekly_Prices[[#This Row],[Date]],2),"00")</f>
        <v>2026-22</v>
      </c>
    </row>
    <row r="1201" spans="1:15" x14ac:dyDescent="0.35">
      <c r="A1201" s="2">
        <v>46174</v>
      </c>
      <c r="B1201" s="3">
        <v>158.735591</v>
      </c>
      <c r="C1201" s="4">
        <f t="shared" si="72"/>
        <v>-4.5231000000001131E-2</v>
      </c>
      <c r="D1201" s="4">
        <f t="shared" si="70"/>
        <v>27.281127000000026</v>
      </c>
      <c r="E1201" s="3">
        <v>52.95</v>
      </c>
      <c r="F1201" s="3">
        <v>20</v>
      </c>
      <c r="G1201" s="3">
        <v>184.10922200000002</v>
      </c>
      <c r="H1201" s="4">
        <f t="shared" si="73"/>
        <v>-0.95580599999999549</v>
      </c>
      <c r="I1201" s="4">
        <f t="shared" si="71"/>
        <v>46.021779000000009</v>
      </c>
      <c r="J1201" s="3">
        <v>52.95</v>
      </c>
      <c r="K1201" s="3">
        <v>20</v>
      </c>
      <c r="L1201" s="13">
        <f>YEAR(Weekly_Prices[[#This Row],[Date]])</f>
        <v>2026</v>
      </c>
      <c r="M1201" s="13">
        <f>MONTH(Weekly_Prices[[#This Row],[Date]])</f>
        <v>6</v>
      </c>
      <c r="N1201" s="3" t="str">
        <f>TEXT(Weekly_Prices[[#This Row],[Date]],"MMMM")</f>
        <v>June</v>
      </c>
      <c r="O1201" s="3" t="str">
        <f>YEAR(Weekly_Prices[[#This Row],[Date]])&amp;"-"&amp;TEXT(WEEKNUM(Weekly_Prices[[#This Row],[Date]],2),"00")</f>
        <v>2026-23</v>
      </c>
    </row>
    <row r="1202" spans="1:15" x14ac:dyDescent="0.35">
      <c r="A1202" s="2">
        <v>46181</v>
      </c>
      <c r="B1202" s="3">
        <v>157.950931</v>
      </c>
      <c r="C1202" s="4">
        <f t="shared" si="72"/>
        <v>-0.78466000000000236</v>
      </c>
      <c r="D1202" s="4">
        <f t="shared" si="70"/>
        <v>26.603375</v>
      </c>
      <c r="E1202" s="3">
        <v>52.95</v>
      </c>
      <c r="F1202" s="3">
        <v>20</v>
      </c>
      <c r="G1202" s="3">
        <v>181.78607500000001</v>
      </c>
      <c r="H1202" s="4">
        <f t="shared" si="73"/>
        <v>-2.3231470000000058</v>
      </c>
      <c r="I1202" s="4">
        <f t="shared" si="71"/>
        <v>44.247042999999991</v>
      </c>
      <c r="J1202" s="3">
        <v>52.95</v>
      </c>
      <c r="K1202" s="3">
        <v>20</v>
      </c>
      <c r="L1202" s="13">
        <f>YEAR(Weekly_Prices[[#This Row],[Date]])</f>
        <v>2026</v>
      </c>
      <c r="M1202" s="13">
        <f>MONTH(Weekly_Prices[[#This Row],[Date]])</f>
        <v>6</v>
      </c>
      <c r="N1202" s="3" t="str">
        <f>TEXT(Weekly_Prices[[#This Row],[Date]],"MMMM")</f>
        <v>June</v>
      </c>
      <c r="O1202" s="3" t="str">
        <f>YEAR(Weekly_Prices[[#This Row],[Date]])&amp;"-"&amp;TEXT(WEEKNUM(Weekly_Prices[[#This Row],[Date]],2),"00")</f>
        <v>2026-24</v>
      </c>
    </row>
    <row r="1203" spans="1:15" x14ac:dyDescent="0.35">
      <c r="A1203" s="2">
        <v>46188</v>
      </c>
      <c r="B1203" s="3">
        <v>155.53671700000001</v>
      </c>
      <c r="C1203" s="4">
        <f t="shared" si="72"/>
        <v>-2.414213999999987</v>
      </c>
      <c r="D1203" s="4">
        <f t="shared" si="70"/>
        <v>24.145308999999997</v>
      </c>
      <c r="E1203" s="3">
        <v>52.95</v>
      </c>
      <c r="F1203" s="3">
        <v>20</v>
      </c>
      <c r="G1203" s="3">
        <v>176.71444</v>
      </c>
      <c r="H1203" s="4">
        <f t="shared" si="73"/>
        <v>-5.0716350000000148</v>
      </c>
      <c r="I1203" s="4">
        <f t="shared" si="71"/>
        <v>39.172125999999992</v>
      </c>
      <c r="J1203" s="3">
        <v>52.95</v>
      </c>
      <c r="K1203" s="3">
        <v>20</v>
      </c>
      <c r="L1203" s="13">
        <f>YEAR(Weekly_Prices[[#This Row],[Date]])</f>
        <v>2026</v>
      </c>
      <c r="M1203" s="13">
        <f>MONTH(Weekly_Prices[[#This Row],[Date]])</f>
        <v>6</v>
      </c>
      <c r="N1203" s="3" t="str">
        <f>TEXT(Weekly_Prices[[#This Row],[Date]],"MMMM")</f>
        <v>June</v>
      </c>
      <c r="O1203" s="3" t="str">
        <f>YEAR(Weekly_Prices[[#This Row],[Date]])&amp;"-"&amp;TEXT(WEEKNUM(Weekly_Prices[[#This Row],[Date]],2),"00")</f>
        <v>2026-25</v>
      </c>
    </row>
    <row r="1204" spans="1:15" x14ac:dyDescent="0.35">
      <c r="A1204" s="2">
        <v>46195</v>
      </c>
      <c r="B1204" s="3">
        <v>153.26066599999999</v>
      </c>
      <c r="C1204" s="4">
        <f t="shared" si="72"/>
        <v>-2.2760510000000238</v>
      </c>
      <c r="D1204" s="4">
        <f t="shared" si="70"/>
        <v>20.931292999999982</v>
      </c>
      <c r="E1204" s="3">
        <v>52.95</v>
      </c>
      <c r="F1204" s="3">
        <v>20</v>
      </c>
      <c r="G1204" s="3">
        <v>172.46530100000001</v>
      </c>
      <c r="H1204" s="4">
        <f t="shared" si="73"/>
        <v>-4.2491389999999853</v>
      </c>
      <c r="I1204" s="4">
        <f t="shared" si="71"/>
        <v>33.435709000000003</v>
      </c>
      <c r="J1204" s="3">
        <v>52.95</v>
      </c>
      <c r="K1204" s="3">
        <v>20</v>
      </c>
      <c r="L1204" s="13">
        <f>YEAR(Weekly_Prices[[#This Row],[Date]])</f>
        <v>2026</v>
      </c>
      <c r="M1204" s="13">
        <f>MONTH(Weekly_Prices[[#This Row],[Date]])</f>
        <v>6</v>
      </c>
      <c r="N1204" s="3" t="str">
        <f>TEXT(Weekly_Prices[[#This Row],[Date]],"MMMM")</f>
        <v>June</v>
      </c>
      <c r="O1204" s="3" t="str">
        <f>YEAR(Weekly_Prices[[#This Row],[Date]])&amp;"-"&amp;TEXT(WEEKNUM(Weekly_Prices[[#This Row],[Date]],2),"00")</f>
        <v>2026-26</v>
      </c>
    </row>
    <row r="1205" spans="1:15" x14ac:dyDescent="0.35">
      <c r="A1205" s="2">
        <v>46202</v>
      </c>
      <c r="B1205" s="3">
        <v>151.01665299999999</v>
      </c>
      <c r="C1205" s="4">
        <f t="shared" si="72"/>
        <v>-2.2440129999999954</v>
      </c>
      <c r="D1205" s="4">
        <f t="shared" si="70"/>
        <v>18.062239999999974</v>
      </c>
      <c r="E1205" s="3">
        <v>52.95</v>
      </c>
      <c r="F1205" s="3">
        <v>20</v>
      </c>
      <c r="G1205" s="3">
        <v>167.121861</v>
      </c>
      <c r="H1205" s="4">
        <f t="shared" si="73"/>
        <v>-5.3434400000000153</v>
      </c>
      <c r="I1205" s="4">
        <f t="shared" si="71"/>
        <v>26.857770000000016</v>
      </c>
      <c r="J1205" s="3">
        <v>52.95</v>
      </c>
      <c r="K1205" s="3">
        <v>20</v>
      </c>
      <c r="L1205" s="13">
        <f>YEAR(Weekly_Prices[[#This Row],[Date]])</f>
        <v>2026</v>
      </c>
      <c r="M1205" s="13">
        <f>MONTH(Weekly_Prices[[#This Row],[Date]])</f>
        <v>6</v>
      </c>
      <c r="N1205" s="3" t="str">
        <f>TEXT(Weekly_Prices[[#This Row],[Date]],"MMMM")</f>
        <v>June</v>
      </c>
      <c r="O1205" s="3" t="str">
        <f>YEAR(Weekly_Prices[[#This Row],[Date]])&amp;"-"&amp;TEXT(WEEKNUM(Weekly_Prices[[#This Row],[Date]],2),"00")</f>
        <v>2026-27</v>
      </c>
    </row>
    <row r="1206" spans="1:15" x14ac:dyDescent="0.35">
      <c r="A1206" s="2">
        <v>46209</v>
      </c>
      <c r="B1206" s="3">
        <v>149.79589500000003</v>
      </c>
      <c r="C1206" s="4">
        <f t="shared" si="72"/>
        <v>-1.2207579999999609</v>
      </c>
      <c r="D1206" s="4">
        <f t="shared" si="70"/>
        <v>16.607679000000019</v>
      </c>
      <c r="E1206" s="3">
        <v>52.95</v>
      </c>
      <c r="F1206" s="3">
        <v>20</v>
      </c>
      <c r="G1206" s="3">
        <v>164.774722</v>
      </c>
      <c r="H1206" s="4">
        <f t="shared" si="73"/>
        <v>-2.3471389999999985</v>
      </c>
      <c r="I1206" s="4">
        <f t="shared" si="71"/>
        <v>24.197874000000013</v>
      </c>
      <c r="J1206" s="3">
        <v>52.95</v>
      </c>
      <c r="K1206" s="3">
        <v>20</v>
      </c>
      <c r="L1206" s="13">
        <f>YEAR(Weekly_Prices[[#This Row],[Date]])</f>
        <v>2026</v>
      </c>
      <c r="M1206" s="13">
        <f>MONTH(Weekly_Prices[[#This Row],[Date]])</f>
        <v>7</v>
      </c>
      <c r="N1206" s="3" t="str">
        <f>TEXT(Weekly_Prices[[#This Row],[Date]],"MMMM")</f>
        <v>July</v>
      </c>
      <c r="O1206" s="3" t="str">
        <f>YEAR(Weekly_Prices[[#This Row],[Date]])&amp;"-"&amp;TEXT(WEEKNUM(Weekly_Prices[[#This Row],[Date]],2),"00")</f>
        <v>2026-28</v>
      </c>
    </row>
    <row r="1207" spans="1:15" x14ac:dyDescent="0.35">
      <c r="A1207" s="2">
        <v>46216</v>
      </c>
      <c r="B1207" s="3">
        <v>150.529146</v>
      </c>
      <c r="C1207" s="4">
        <f t="shared" si="72"/>
        <v>0.73325099999996723</v>
      </c>
      <c r="D1207" s="4">
        <f t="shared" ref="D1207:D1211" si="74">B1207-B1155</f>
        <v>16.583698999999996</v>
      </c>
      <c r="E1207" s="3">
        <v>52.95</v>
      </c>
      <c r="F1207" s="3">
        <v>20</v>
      </c>
      <c r="G1207" s="3">
        <v>164.51511599999998</v>
      </c>
      <c r="H1207" s="4">
        <f t="shared" si="73"/>
        <v>-0.25960600000001932</v>
      </c>
      <c r="I1207" s="4">
        <f t="shared" ref="I1207:I1213" si="75">G1207-G1155</f>
        <v>23.411262999999963</v>
      </c>
      <c r="J1207" s="3">
        <v>52.95</v>
      </c>
      <c r="K1207" s="3">
        <v>20</v>
      </c>
      <c r="L1207" s="13">
        <f>YEAR(Weekly_Prices[[#This Row],[Date]])</f>
        <v>2026</v>
      </c>
      <c r="M1207" s="13">
        <f>MONTH(Weekly_Prices[[#This Row],[Date]])</f>
        <v>7</v>
      </c>
      <c r="N1207" s="3" t="str">
        <f>TEXT(Weekly_Prices[[#This Row],[Date]],"MMMM")</f>
        <v>July</v>
      </c>
      <c r="O1207" s="3" t="str">
        <f>YEAR(Weekly_Prices[[#This Row],[Date]])&amp;"-"&amp;TEXT(WEEKNUM(Weekly_Prices[[#This Row],[Date]],2),"00")</f>
        <v>2026-29</v>
      </c>
    </row>
    <row r="1208" spans="1:15" x14ac:dyDescent="0.35">
      <c r="A1208" s="2">
        <v>46223</v>
      </c>
      <c r="B1208" s="3">
        <v>152.29188300000001</v>
      </c>
      <c r="C1208" s="4">
        <f t="shared" si="72"/>
        <v>1.7627370000000155</v>
      </c>
      <c r="D1208" s="4">
        <f t="shared" si="74"/>
        <v>18.197429999999997</v>
      </c>
      <c r="E1208" s="3">
        <v>52.95</v>
      </c>
      <c r="F1208" s="3">
        <v>20</v>
      </c>
      <c r="G1208" s="3">
        <v>167.08453599999999</v>
      </c>
      <c r="H1208" s="4">
        <f t="shared" si="73"/>
        <v>2.569420000000008</v>
      </c>
      <c r="I1208" s="4">
        <f t="shared" si="75"/>
        <v>25.233558999999985</v>
      </c>
      <c r="J1208" s="3">
        <v>52.95</v>
      </c>
      <c r="K1208" s="3">
        <v>20</v>
      </c>
      <c r="L1208" s="13">
        <f>YEAR(Weekly_Prices[[#This Row],[Date]])</f>
        <v>2026</v>
      </c>
      <c r="M1208" s="13">
        <f>MONTH(Weekly_Prices[[#This Row],[Date]])</f>
        <v>7</v>
      </c>
      <c r="N1208" s="3" t="str">
        <f>TEXT(Weekly_Prices[[#This Row],[Date]],"MMMM")</f>
        <v>July</v>
      </c>
      <c r="O1208" s="3" t="str">
        <f>YEAR(Weekly_Prices[[#This Row],[Date]])&amp;"-"&amp;TEXT(WEEKNUM(Weekly_Prices[[#This Row],[Date]],2),"00")</f>
        <v>2026-30</v>
      </c>
    </row>
    <row r="1209" spans="1:15" x14ac:dyDescent="0.35">
      <c r="A1209" s="2">
        <v>46230</v>
      </c>
      <c r="B1209" s="3">
        <v>156.13248000000002</v>
      </c>
      <c r="C1209" s="4">
        <f t="shared" si="72"/>
        <v>3.8405970000000025</v>
      </c>
      <c r="D1209" s="4">
        <f t="shared" si="74"/>
        <v>21.888558000000018</v>
      </c>
      <c r="E1209" s="3">
        <v>52.95</v>
      </c>
      <c r="F1209" s="3">
        <v>20</v>
      </c>
      <c r="G1209" s="3">
        <v>173.96566300000001</v>
      </c>
      <c r="H1209" s="4">
        <f t="shared" si="73"/>
        <v>6.8811270000000206</v>
      </c>
      <c r="I1209" s="4">
        <f t="shared" si="75"/>
        <v>31.965521000000024</v>
      </c>
      <c r="J1209" s="3">
        <v>52.95</v>
      </c>
      <c r="K1209" s="3">
        <v>20</v>
      </c>
      <c r="L1209" s="13">
        <f>YEAR(Weekly_Prices[[#This Row],[Date]])</f>
        <v>2026</v>
      </c>
      <c r="M1209" s="13">
        <f>MONTH(Weekly_Prices[[#This Row],[Date]])</f>
        <v>7</v>
      </c>
      <c r="N1209" s="3" t="str">
        <f>TEXT(Weekly_Prices[[#This Row],[Date]],"MMMM")</f>
        <v>July</v>
      </c>
      <c r="O1209" s="3" t="str">
        <f>YEAR(Weekly_Prices[[#This Row],[Date]])&amp;"-"&amp;TEXT(WEEKNUM(Weekly_Prices[[#This Row],[Date]],2),"00")</f>
        <v>2026-31</v>
      </c>
    </row>
    <row r="1210" spans="1:15" x14ac:dyDescent="0.35">
      <c r="A1210" s="2">
        <v>46237</v>
      </c>
      <c r="B1210" s="3">
        <v>159.889082</v>
      </c>
      <c r="C1210" s="4">
        <f t="shared" si="72"/>
        <v>3.7566019999999867</v>
      </c>
      <c r="D1210" s="4">
        <f t="shared" si="74"/>
        <v>25.592550000000017</v>
      </c>
      <c r="E1210" s="3">
        <v>52.95</v>
      </c>
      <c r="F1210" s="3">
        <v>20</v>
      </c>
      <c r="G1210" s="3">
        <v>179.186646</v>
      </c>
      <c r="H1210" s="4">
        <f t="shared" si="73"/>
        <v>5.2209829999999897</v>
      </c>
      <c r="I1210" s="4">
        <f t="shared" si="75"/>
        <v>37.056196999999997</v>
      </c>
      <c r="J1210" s="3">
        <v>52.95</v>
      </c>
      <c r="K1210" s="3">
        <v>20</v>
      </c>
      <c r="L1210" s="13">
        <f>YEAR(Weekly_Prices[[#This Row],[Date]])</f>
        <v>2026</v>
      </c>
      <c r="M1210" s="13">
        <f>MONTH(Weekly_Prices[[#This Row],[Date]])</f>
        <v>8</v>
      </c>
      <c r="N1210" s="3" t="str">
        <f>TEXT(Weekly_Prices[[#This Row],[Date]],"MMMM")</f>
        <v>August</v>
      </c>
      <c r="O1210" s="3" t="str">
        <f>YEAR(Weekly_Prices[[#This Row],[Date]])&amp;"-"&amp;TEXT(WEEKNUM(Weekly_Prices[[#This Row],[Date]],2),"00")</f>
        <v>2026-32</v>
      </c>
    </row>
    <row r="1211" spans="1:15" x14ac:dyDescent="0.35">
      <c r="A1211" s="2">
        <v>46244</v>
      </c>
      <c r="B1211" s="3">
        <v>162.14530099999999</v>
      </c>
      <c r="C1211" s="4">
        <f>B1211-B1210</f>
        <v>2.2562189999999873</v>
      </c>
      <c r="D1211" s="4">
        <f t="shared" si="74"/>
        <v>27.759007999999994</v>
      </c>
      <c r="E1211" s="3">
        <v>52.95</v>
      </c>
      <c r="F1211" s="3">
        <v>20</v>
      </c>
      <c r="G1211" s="3">
        <v>181.97299099999998</v>
      </c>
      <c r="H1211" s="4">
        <f>G1211-G1210</f>
        <v>2.786344999999983</v>
      </c>
      <c r="I1211" s="4">
        <f t="shared" si="75"/>
        <v>39.483304999999973</v>
      </c>
      <c r="J1211" s="3">
        <v>52.95</v>
      </c>
      <c r="K1211" s="3">
        <v>20</v>
      </c>
      <c r="L1211" s="13">
        <f>YEAR(Weekly_Prices[[#This Row],[Date]])</f>
        <v>2026</v>
      </c>
      <c r="M1211" s="13">
        <f>MONTH(Weekly_Prices[[#This Row],[Date]])</f>
        <v>8</v>
      </c>
      <c r="N1211" s="3" t="str">
        <f>TEXT(Weekly_Prices[[#This Row],[Date]],"MMMM")</f>
        <v>August</v>
      </c>
      <c r="O1211" s="3" t="str">
        <f>YEAR(Weekly_Prices[[#This Row],[Date]])&amp;"-"&amp;TEXT(WEEKNUM(Weekly_Prices[[#This Row],[Date]],2),"00")</f>
        <v>2026-33</v>
      </c>
    </row>
    <row r="1212" spans="1:15" x14ac:dyDescent="0.35">
      <c r="A1212" s="2">
        <v>46251</v>
      </c>
      <c r="B1212" s="12">
        <v>161.802539</v>
      </c>
      <c r="C1212" s="4">
        <f>B1212-B1211</f>
        <v>-0.34276199999999335</v>
      </c>
      <c r="D1212" s="4">
        <f>B1212-B1160</f>
        <v>27.50200700000002</v>
      </c>
      <c r="E1212" s="3">
        <v>52.95</v>
      </c>
      <c r="F1212" s="3">
        <v>20</v>
      </c>
      <c r="G1212" s="12">
        <v>182.45175599999999</v>
      </c>
      <c r="H1212" s="4">
        <f>G1212-G1211</f>
        <v>0.47876500000000988</v>
      </c>
      <c r="I1212" s="4">
        <f t="shared" si="75"/>
        <v>40.286165000000011</v>
      </c>
      <c r="J1212" s="3">
        <v>52.95</v>
      </c>
      <c r="K1212" s="3">
        <v>20</v>
      </c>
      <c r="L1212" s="13">
        <f>YEAR(Weekly_Prices[[#This Row],[Date]])</f>
        <v>2026</v>
      </c>
      <c r="M1212" s="13">
        <f>MONTH(Weekly_Prices[[#This Row],[Date]])</f>
        <v>8</v>
      </c>
      <c r="N1212" s="3" t="str">
        <f>TEXT(Weekly_Prices[[#This Row],[Date]],"MMMM")</f>
        <v>August</v>
      </c>
      <c r="O1212" s="3" t="str">
        <f>YEAR(Weekly_Prices[[#This Row],[Date]])&amp;"-"&amp;TEXT(WEEKNUM(Weekly_Prices[[#This Row],[Date]],2),"00")</f>
        <v>2026-34</v>
      </c>
    </row>
    <row r="1213" spans="1:15" x14ac:dyDescent="0.35">
      <c r="A1213" s="2">
        <v>46258</v>
      </c>
      <c r="B1213" s="3">
        <v>161.627835</v>
      </c>
      <c r="C1213" s="4">
        <f t="shared" ref="C1213" si="76">B1213-B1212</f>
        <v>-0.17470399999999131</v>
      </c>
      <c r="D1213" s="4">
        <f t="shared" ref="D1213" si="77">B1213-B1161</f>
        <v>27.713307999999984</v>
      </c>
      <c r="E1213" s="3">
        <v>52.95</v>
      </c>
      <c r="F1213" s="3">
        <v>20</v>
      </c>
      <c r="G1213" s="3">
        <v>182.81792899999999</v>
      </c>
      <c r="H1213" s="4">
        <f t="shared" ref="H1213" si="78">G1213-G1212</f>
        <v>0.36617300000000341</v>
      </c>
      <c r="I1213" s="4">
        <f t="shared" si="75"/>
        <v>40.900622999999996</v>
      </c>
      <c r="J1213" s="3">
        <v>52.95</v>
      </c>
      <c r="K1213" s="3">
        <v>20</v>
      </c>
      <c r="L1213" s="13">
        <f>YEAR(Weekly_Prices[[#This Row],[Date]])</f>
        <v>2026</v>
      </c>
      <c r="M1213" s="13">
        <f>MONTH(Weekly_Prices[[#This Row],[Date]])</f>
        <v>8</v>
      </c>
      <c r="N1213" s="3" t="str">
        <f>TEXT(Weekly_Prices[[#This Row],[Date]],"MMMM")</f>
        <v>August</v>
      </c>
      <c r="O1213" s="3" t="str">
        <f>YEAR(Weekly_Prices[[#This Row],[Date]])&amp;"-"&amp;TEXT(WEEKNUM(Weekly_Prices[[#This Row],[Date]],2),"00")</f>
        <v>2026-35</v>
      </c>
    </row>
    <row r="1214" spans="1:15" x14ac:dyDescent="0.35">
      <c r="L121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C43DA-E735-469B-B9EB-0B9FF413073A}">
  <sheetPr>
    <tabColor theme="3" tint="0.249977111117893"/>
  </sheetPr>
  <dimension ref="A1:P53"/>
  <sheetViews>
    <sheetView showGridLines="0" tabSelected="1" topLeftCell="A29" zoomScale="98" zoomScaleNormal="98" workbookViewId="0">
      <selection activeCell="A31" sqref="A31:C31"/>
    </sheetView>
  </sheetViews>
  <sheetFormatPr defaultRowHeight="14.5" x14ac:dyDescent="0.35"/>
  <cols>
    <col min="1" max="1" width="20.36328125" bestFit="1" customWidth="1"/>
    <col min="2" max="3" width="40.08984375" bestFit="1" customWidth="1"/>
    <col min="6" max="6" width="12.81640625" bestFit="1" customWidth="1"/>
    <col min="7" max="7" width="6.36328125" style="24" bestFit="1" customWidth="1"/>
    <col min="8" max="8" width="26.90625" bestFit="1" customWidth="1"/>
    <col min="9" max="9" width="24.1796875" bestFit="1" customWidth="1"/>
    <col min="10" max="10" width="27.26953125" bestFit="1" customWidth="1"/>
    <col min="11" max="11" width="24.54296875" bestFit="1" customWidth="1"/>
    <col min="14" max="14" width="16.453125" style="14" hidden="1" customWidth="1"/>
    <col min="15" max="15" width="11.6328125" hidden="1" customWidth="1"/>
    <col min="16" max="16" width="11.54296875" hidden="1" customWidth="1"/>
  </cols>
  <sheetData>
    <row r="1" spans="1:16" ht="21" x14ac:dyDescent="0.5">
      <c r="A1" s="51" t="s">
        <v>25</v>
      </c>
      <c r="B1" s="51"/>
      <c r="C1" s="51"/>
      <c r="D1" s="19"/>
      <c r="E1" s="19"/>
      <c r="F1" s="40" t="s">
        <v>47</v>
      </c>
      <c r="G1" s="40"/>
      <c r="H1" s="40"/>
      <c r="I1" s="40"/>
      <c r="J1" s="40"/>
      <c r="K1" s="40"/>
      <c r="L1" s="19"/>
      <c r="M1" s="19"/>
      <c r="N1" s="34" t="s">
        <v>0</v>
      </c>
      <c r="O1" s="18" t="s">
        <v>58</v>
      </c>
      <c r="P1" s="35" t="s">
        <v>59</v>
      </c>
    </row>
    <row r="2" spans="1:16" x14ac:dyDescent="0.35">
      <c r="F2" s="22" t="s">
        <v>41</v>
      </c>
      <c r="G2" t="s">
        <v>46</v>
      </c>
      <c r="H2" t="s">
        <v>42</v>
      </c>
      <c r="I2" t="s">
        <v>43</v>
      </c>
      <c r="J2" t="s">
        <v>44</v>
      </c>
      <c r="K2" t="s">
        <v>45</v>
      </c>
      <c r="N2" s="14">
        <v>45901</v>
      </c>
      <c r="O2">
        <v>133.860963</v>
      </c>
      <c r="P2">
        <v>141.65410799999998</v>
      </c>
    </row>
    <row r="3" spans="1:16" ht="16.5" thickBot="1" x14ac:dyDescent="0.45">
      <c r="A3" s="42" t="s">
        <v>26</v>
      </c>
      <c r="B3" s="42"/>
      <c r="C3" s="42"/>
      <c r="D3" s="17"/>
      <c r="E3" s="17"/>
      <c r="F3" s="23">
        <v>2003</v>
      </c>
      <c r="G3" s="24">
        <v>30</v>
      </c>
      <c r="H3" s="24">
        <v>75.591536900000008</v>
      </c>
      <c r="I3" s="24">
        <v>76.432933000000006</v>
      </c>
      <c r="J3" s="24">
        <v>77.287332733333344</v>
      </c>
      <c r="K3" s="24">
        <v>77.675094000000001</v>
      </c>
      <c r="L3" s="17"/>
      <c r="M3" s="17"/>
      <c r="N3" s="33">
        <v>45908</v>
      </c>
      <c r="O3" s="17">
        <v>133.724233</v>
      </c>
      <c r="P3">
        <v>141.58071000000001</v>
      </c>
    </row>
    <row r="4" spans="1:16" ht="15" thickBot="1" x14ac:dyDescent="0.4">
      <c r="A4" s="20" t="s">
        <v>27</v>
      </c>
      <c r="B4" s="21" t="s">
        <v>28</v>
      </c>
      <c r="C4" s="21" t="s">
        <v>29</v>
      </c>
      <c r="F4" s="23">
        <v>2004</v>
      </c>
      <c r="G4" s="24">
        <v>52</v>
      </c>
      <c r="H4" s="24">
        <v>80.254930211538451</v>
      </c>
      <c r="I4" s="24">
        <v>84.343500000000006</v>
      </c>
      <c r="J4" s="24">
        <v>81.89400307692307</v>
      </c>
      <c r="K4" s="24">
        <v>86.544431000000017</v>
      </c>
      <c r="N4" s="14">
        <v>45915</v>
      </c>
      <c r="O4">
        <v>133.812353</v>
      </c>
      <c r="P4">
        <v>141.68569500000001</v>
      </c>
    </row>
    <row r="5" spans="1:16" ht="15" thickBot="1" x14ac:dyDescent="0.4">
      <c r="A5" s="28" t="s">
        <v>30</v>
      </c>
      <c r="B5" s="25" cm="1">
        <f t="array" ref="B5">IFERROR(_xlfn.XLOOKUP(TRUE,Weekly_Prices[Date]&lt;&gt;"",Weekly_Prices[Date],"",0,-1),"")</f>
        <v>46258</v>
      </c>
      <c r="C5" s="25" cm="1">
        <f t="array" ref="C5">IFERROR(_xlfn.XLOOKUP(TRUE,Weekly_Prices[Date]&lt;&gt;"",Weekly_Prices[Date],"",0,-1),"")</f>
        <v>46258</v>
      </c>
      <c r="F5" s="23">
        <v>2005</v>
      </c>
      <c r="G5" s="24">
        <v>52</v>
      </c>
      <c r="H5" s="24">
        <v>86.796860307692313</v>
      </c>
      <c r="I5" s="24">
        <v>95.073554999999999</v>
      </c>
      <c r="J5" s="24">
        <v>90.820265769230801</v>
      </c>
      <c r="K5" s="24">
        <v>97.886866000000012</v>
      </c>
      <c r="N5" s="14">
        <v>45922</v>
      </c>
      <c r="O5">
        <v>134.14521299999998</v>
      </c>
      <c r="P5">
        <v>142.024261</v>
      </c>
    </row>
    <row r="6" spans="1:16" ht="15" thickBot="1" x14ac:dyDescent="0.4">
      <c r="A6" s="28" t="s">
        <v>31</v>
      </c>
      <c r="B6" s="26">
        <f>_xlfn.SINGLE(_xlfn.XLOOKUP(MAX(Weekly_Prices[Date]),Weekly_Prices[Date],Weekly_Prices [ Petrol_Price(p/litre)]  ))</f>
        <v>161.627835</v>
      </c>
      <c r="C6" s="26">
        <f>_xlfn.XLOOKUP(MAX(Weekly_Prices[Date]),Weekly_Prices[Date],Weekly_Prices[Diesel_Price (p/litre)] )</f>
        <v>182.81792899999999</v>
      </c>
      <c r="F6" s="23">
        <v>2006</v>
      </c>
      <c r="G6" s="24">
        <v>52</v>
      </c>
      <c r="H6" s="24">
        <v>91.395870697802167</v>
      </c>
      <c r="I6" s="24">
        <v>98.051664999999986</v>
      </c>
      <c r="J6" s="24">
        <v>95.179094230769209</v>
      </c>
      <c r="K6" s="24">
        <v>99.572749999999999</v>
      </c>
      <c r="N6" s="14">
        <v>45929</v>
      </c>
      <c r="O6">
        <v>134.36203600000002</v>
      </c>
      <c r="P6">
        <v>142.23597000000001</v>
      </c>
    </row>
    <row r="7" spans="1:16" ht="15" thickBot="1" x14ac:dyDescent="0.4">
      <c r="A7" s="28" t="s">
        <v>32</v>
      </c>
      <c r="B7" s="26" cm="1">
        <f t="array" ref="B7">IFERROR(_xlfn.XLOOKUP(TRUE,Weekly_Prices[Date]&lt;&gt;"",Weekly_Prices[Petrol_Week_Change (p/litre)],"",0,-1),"")</f>
        <v>-0.17470399999999131</v>
      </c>
      <c r="C7" s="26" cm="1">
        <f t="array" ref="C7">IFERROR(_xlfn.XLOOKUP(TRUE,Weekly_Prices[Date]&lt;&gt;"",Weekly_Prices[Diesel_Week_Change (p/litre)],"",0,-1),"")</f>
        <v>0.36617300000000341</v>
      </c>
      <c r="F7" s="23">
        <v>2007</v>
      </c>
      <c r="G7" s="24">
        <v>53</v>
      </c>
      <c r="H7" s="24">
        <v>94.495093962264136</v>
      </c>
      <c r="I7" s="24">
        <v>102.66679999999999</v>
      </c>
      <c r="J7" s="24">
        <v>97.112431773584888</v>
      </c>
      <c r="K7" s="24">
        <v>107.605689</v>
      </c>
      <c r="N7" s="14">
        <v>45936</v>
      </c>
      <c r="O7">
        <v>134.76431600000001</v>
      </c>
      <c r="P7">
        <v>142.917157</v>
      </c>
    </row>
    <row r="8" spans="1:16" x14ac:dyDescent="0.35">
      <c r="A8" s="29" t="s">
        <v>33</v>
      </c>
      <c r="B8" s="27" cm="1">
        <f t="array" ref="B8">IFERROR(_xlfn.XLOOKUP(TRUE,Weekly_Prices[Date]&lt;&gt;"",Weekly_Prices[Petrol_Year_Change (p/litre)],"",0,-1),"")</f>
        <v>27.713307999999984</v>
      </c>
      <c r="C8" s="27" cm="1">
        <f t="array" ref="C8">IFERROR(_xlfn.XLOOKUP(TRUE,Weekly_Prices[Date]&lt;&gt;"",Weekly_Prices[Diesel_Year_Change (p/litre)],"",0,-1),"")</f>
        <v>40.900622999999996</v>
      </c>
      <c r="F8" s="23">
        <v>2008</v>
      </c>
      <c r="G8" s="24">
        <v>52</v>
      </c>
      <c r="H8" s="24">
        <v>107.00117848076918</v>
      </c>
      <c r="I8" s="24">
        <v>119.438039</v>
      </c>
      <c r="J8" s="24">
        <v>117.55670228846155</v>
      </c>
      <c r="K8" s="24">
        <v>132.887911</v>
      </c>
      <c r="N8" s="14">
        <v>45943</v>
      </c>
      <c r="O8">
        <v>134.81126799999998</v>
      </c>
      <c r="P8">
        <v>142.98682199999999</v>
      </c>
    </row>
    <row r="9" spans="1:16" x14ac:dyDescent="0.35">
      <c r="F9" s="23">
        <v>2009</v>
      </c>
      <c r="G9" s="24">
        <v>52</v>
      </c>
      <c r="H9" s="24">
        <v>99.59380396153847</v>
      </c>
      <c r="I9" s="24">
        <v>108.79216099999999</v>
      </c>
      <c r="J9" s="24">
        <v>104.14661392307693</v>
      </c>
      <c r="K9" s="24">
        <v>109.98578800000001</v>
      </c>
      <c r="N9" s="14">
        <v>45950</v>
      </c>
      <c r="O9">
        <v>134.69223</v>
      </c>
      <c r="P9">
        <v>142.81489199999999</v>
      </c>
    </row>
    <row r="10" spans="1:16" ht="16" x14ac:dyDescent="0.35">
      <c r="A10" s="41" t="s">
        <v>34</v>
      </c>
      <c r="B10" s="41"/>
      <c r="C10" s="41"/>
      <c r="F10" s="23">
        <v>2010</v>
      </c>
      <c r="G10" s="24">
        <v>52</v>
      </c>
      <c r="H10" s="24">
        <v>116.9041460769231</v>
      </c>
      <c r="I10" s="24">
        <v>123.441238</v>
      </c>
      <c r="J10" s="24">
        <v>119.23461471153846</v>
      </c>
      <c r="K10" s="24">
        <v>127.68028</v>
      </c>
      <c r="N10" s="14">
        <v>45957</v>
      </c>
      <c r="O10">
        <v>134.40487300000001</v>
      </c>
      <c r="P10">
        <v>142.37860900000001</v>
      </c>
    </row>
    <row r="11" spans="1:16" ht="16" x14ac:dyDescent="0.4">
      <c r="A11" s="39">
        <f>AVERAGE(Weekly_Prices [ Petrol_Price(p/litre)] )</f>
        <v>119.24759584096577</v>
      </c>
      <c r="B11" s="39"/>
      <c r="C11" s="39"/>
      <c r="F11" s="23">
        <v>2011</v>
      </c>
      <c r="G11" s="24">
        <v>52</v>
      </c>
      <c r="H11" s="24">
        <v>133.41277359615384</v>
      </c>
      <c r="I11" s="24">
        <v>137.05266399999999</v>
      </c>
      <c r="J11" s="24">
        <v>138.80538244230769</v>
      </c>
      <c r="K11" s="24">
        <v>143.0594055</v>
      </c>
      <c r="N11" s="14">
        <v>45964</v>
      </c>
      <c r="O11">
        <v>134.38128799999998</v>
      </c>
      <c r="P11">
        <v>142.60810999999998</v>
      </c>
    </row>
    <row r="12" spans="1:16" x14ac:dyDescent="0.35">
      <c r="F12" s="23">
        <v>2012</v>
      </c>
      <c r="G12" s="24">
        <v>53</v>
      </c>
      <c r="H12" s="24">
        <v>135.75005468430189</v>
      </c>
      <c r="I12" s="24">
        <v>142.172754</v>
      </c>
      <c r="J12" s="24">
        <v>142.16340853122639</v>
      </c>
      <c r="K12" s="24">
        <v>148.03770950000001</v>
      </c>
      <c r="N12" s="14">
        <v>45971</v>
      </c>
      <c r="O12">
        <v>134.64813899999999</v>
      </c>
      <c r="P12">
        <v>143.30982399999999</v>
      </c>
    </row>
    <row r="13" spans="1:16" ht="16" x14ac:dyDescent="0.4">
      <c r="A13" s="36" t="s">
        <v>35</v>
      </c>
      <c r="B13" s="36"/>
      <c r="C13" s="36"/>
      <c r="F13" s="23">
        <v>2013</v>
      </c>
      <c r="G13" s="24">
        <v>52</v>
      </c>
      <c r="H13" s="24">
        <v>134.32001226923074</v>
      </c>
      <c r="I13" s="24">
        <v>139.99731299999999</v>
      </c>
      <c r="J13" s="24">
        <v>140.58729698076925</v>
      </c>
      <c r="K13" s="24">
        <v>146.71072000000001</v>
      </c>
      <c r="N13" s="14">
        <v>45978</v>
      </c>
      <c r="O13">
        <v>135.07288800000001</v>
      </c>
      <c r="P13">
        <v>143.97318100000001</v>
      </c>
    </row>
    <row r="14" spans="1:16" ht="16" x14ac:dyDescent="0.4">
      <c r="A14" s="39">
        <f>AVERAGE(Weekly_Prices[Diesel_Price (p/litre)])</f>
        <v>125.03370263854271</v>
      </c>
      <c r="B14" s="39"/>
      <c r="C14" s="39"/>
      <c r="F14" s="23">
        <v>2014</v>
      </c>
      <c r="G14" s="24">
        <v>52</v>
      </c>
      <c r="H14" s="24">
        <v>127.41860914552093</v>
      </c>
      <c r="I14" s="24">
        <v>131.11149700000001</v>
      </c>
      <c r="J14" s="24">
        <v>133.47403719539324</v>
      </c>
      <c r="K14" s="24">
        <v>138.33954900000001</v>
      </c>
      <c r="N14" s="14">
        <v>45985</v>
      </c>
      <c r="O14">
        <v>136.07401099999998</v>
      </c>
      <c r="P14">
        <v>145.39935000000003</v>
      </c>
    </row>
    <row r="15" spans="1:16" x14ac:dyDescent="0.35">
      <c r="F15" s="23">
        <v>2015</v>
      </c>
      <c r="G15" s="24">
        <v>52</v>
      </c>
      <c r="H15" s="24">
        <v>111.03377165564528</v>
      </c>
      <c r="I15" s="24">
        <v>116.78612008860753</v>
      </c>
      <c r="J15" s="24">
        <v>114.99686980524916</v>
      </c>
      <c r="K15" s="24">
        <v>121.33792309333279</v>
      </c>
      <c r="N15" s="14">
        <v>45992</v>
      </c>
      <c r="O15">
        <v>136.61131399999999</v>
      </c>
      <c r="P15">
        <v>146.19905800000001</v>
      </c>
    </row>
    <row r="16" spans="1:16" ht="16" x14ac:dyDescent="0.4">
      <c r="A16" s="36" t="s">
        <v>36</v>
      </c>
      <c r="B16" s="36"/>
      <c r="C16" s="36"/>
      <c r="F16" s="23">
        <v>2016</v>
      </c>
      <c r="G16" s="24">
        <v>52</v>
      </c>
      <c r="H16" s="24">
        <v>108.94977259148078</v>
      </c>
      <c r="I16" s="24">
        <v>116.558815</v>
      </c>
      <c r="J16" s="24">
        <v>110.42004491107694</v>
      </c>
      <c r="K16" s="24">
        <v>119.029978</v>
      </c>
      <c r="N16" s="14">
        <v>45999</v>
      </c>
      <c r="O16">
        <v>136.67733200000001</v>
      </c>
      <c r="P16">
        <v>146.23381900000001</v>
      </c>
    </row>
    <row r="17" spans="1:16" ht="16" x14ac:dyDescent="0.4">
      <c r="A17" s="39">
        <f>MAX(Weekly_Prices [ Petrol_Price(p/litre)] )</f>
        <v>191.546629</v>
      </c>
      <c r="B17" s="39"/>
      <c r="C17" s="39"/>
      <c r="F17" s="23">
        <v>2017</v>
      </c>
      <c r="G17" s="24">
        <v>52</v>
      </c>
      <c r="H17" s="24">
        <v>117.51280559244232</v>
      </c>
      <c r="I17" s="24">
        <v>120.19892399999999</v>
      </c>
      <c r="J17" s="24">
        <v>120.20657375815381</v>
      </c>
      <c r="K17" s="24">
        <v>123.81079099999999</v>
      </c>
      <c r="N17" s="14">
        <v>46006</v>
      </c>
      <c r="O17">
        <v>136.83113299999999</v>
      </c>
      <c r="P17">
        <v>146.14285699999999</v>
      </c>
    </row>
    <row r="18" spans="1:16" x14ac:dyDescent="0.35">
      <c r="F18" s="23">
        <v>2018</v>
      </c>
      <c r="G18" s="24">
        <v>53</v>
      </c>
      <c r="H18" s="24">
        <v>125.03254461830187</v>
      </c>
      <c r="I18" s="24">
        <v>130.98051899999999</v>
      </c>
      <c r="J18" s="24">
        <v>130.03552002581134</v>
      </c>
      <c r="K18" s="24">
        <v>137.08407</v>
      </c>
      <c r="N18" s="14">
        <v>46013</v>
      </c>
      <c r="O18">
        <v>136.22822000000002</v>
      </c>
      <c r="P18">
        <v>145.44801899999999</v>
      </c>
    </row>
    <row r="19" spans="1:16" ht="16" x14ac:dyDescent="0.35">
      <c r="A19" s="41" t="s">
        <v>37</v>
      </c>
      <c r="B19" s="41"/>
      <c r="C19" s="41"/>
      <c r="F19" s="23">
        <v>2019</v>
      </c>
      <c r="G19" s="24">
        <v>52</v>
      </c>
      <c r="H19" s="24">
        <v>124.96886313201922</v>
      </c>
      <c r="I19" s="24">
        <v>129.407206</v>
      </c>
      <c r="J19" s="24">
        <v>131.70777434969222</v>
      </c>
      <c r="K19" s="24">
        <v>136.446383</v>
      </c>
      <c r="N19" s="14">
        <v>46020</v>
      </c>
      <c r="O19">
        <v>135.338199</v>
      </c>
      <c r="P19">
        <v>144.58739800000001</v>
      </c>
    </row>
    <row r="20" spans="1:16" ht="16" x14ac:dyDescent="0.4">
      <c r="A20" s="39">
        <f>MIN(Weekly_Prices [ Petrol_Price(p/litre)]  )</f>
        <v>74.206576999999996</v>
      </c>
      <c r="B20" s="39"/>
      <c r="C20" s="39"/>
      <c r="F20" s="23">
        <v>2020</v>
      </c>
      <c r="G20" s="24">
        <v>52</v>
      </c>
      <c r="H20" s="24">
        <v>114.09226790390383</v>
      </c>
      <c r="I20" s="24">
        <v>127.33458900000001</v>
      </c>
      <c r="J20" s="24">
        <v>119.45585764984614</v>
      </c>
      <c r="K20" s="24">
        <v>132.88088099999999</v>
      </c>
      <c r="N20" s="14">
        <v>46027</v>
      </c>
      <c r="O20">
        <v>134.89606800000001</v>
      </c>
      <c r="P20">
        <v>144.18756299999998</v>
      </c>
    </row>
    <row r="21" spans="1:16" x14ac:dyDescent="0.35">
      <c r="F21" s="23">
        <v>2021</v>
      </c>
      <c r="G21" s="24">
        <v>52</v>
      </c>
      <c r="H21" s="24">
        <v>131.39651668271156</v>
      </c>
      <c r="I21" s="24">
        <v>147.53</v>
      </c>
      <c r="J21" s="24">
        <v>135.03788687656407</v>
      </c>
      <c r="K21" s="24">
        <v>151.31</v>
      </c>
      <c r="N21" s="14">
        <v>46034</v>
      </c>
      <c r="O21">
        <v>133.43266399999999</v>
      </c>
      <c r="P21">
        <v>142.62878900000001</v>
      </c>
    </row>
    <row r="22" spans="1:16" ht="16" x14ac:dyDescent="0.4">
      <c r="A22" s="36" t="s">
        <v>38</v>
      </c>
      <c r="B22" s="36"/>
      <c r="C22" s="36"/>
      <c r="F22" s="23">
        <v>2022</v>
      </c>
      <c r="G22" s="24">
        <v>52</v>
      </c>
      <c r="H22" s="24">
        <v>164.64168496153843</v>
      </c>
      <c r="I22" s="24">
        <v>191.546629</v>
      </c>
      <c r="J22" s="24">
        <v>177.7783726923077</v>
      </c>
      <c r="K22" s="24">
        <v>199.22</v>
      </c>
      <c r="N22" s="14">
        <v>46041</v>
      </c>
      <c r="O22">
        <v>132.639636</v>
      </c>
      <c r="P22">
        <v>141.81531200000001</v>
      </c>
    </row>
    <row r="23" spans="1:16" ht="16" x14ac:dyDescent="0.4">
      <c r="A23" s="39">
        <f>MAX(Weekly_Prices[Diesel_Price (p/litre)])</f>
        <v>199.22</v>
      </c>
      <c r="B23" s="39"/>
      <c r="C23" s="39"/>
      <c r="F23" s="23">
        <v>2023</v>
      </c>
      <c r="G23" s="24">
        <v>52</v>
      </c>
      <c r="H23" s="24">
        <v>147.65051285256413</v>
      </c>
      <c r="I23" s="24">
        <v>156.01705399999997</v>
      </c>
      <c r="J23" s="24">
        <v>158.12395550000002</v>
      </c>
      <c r="K23" s="24">
        <v>174.16</v>
      </c>
      <c r="N23" s="14">
        <v>46048</v>
      </c>
      <c r="O23">
        <v>131.99566799999999</v>
      </c>
      <c r="P23">
        <v>141.25736000000001</v>
      </c>
    </row>
    <row r="24" spans="1:16" x14ac:dyDescent="0.35">
      <c r="F24" s="23">
        <v>2024</v>
      </c>
      <c r="G24" s="24">
        <v>53</v>
      </c>
      <c r="H24" s="24">
        <v>141.46745645283016</v>
      </c>
      <c r="I24" s="24">
        <v>149.544085</v>
      </c>
      <c r="J24" s="24">
        <v>148.36395469811319</v>
      </c>
      <c r="K24" s="24">
        <v>157.982561</v>
      </c>
      <c r="N24" s="14">
        <v>46055</v>
      </c>
      <c r="O24">
        <v>131.62345400000001</v>
      </c>
      <c r="P24">
        <v>140.81647099999998</v>
      </c>
    </row>
    <row r="25" spans="1:16" ht="16" x14ac:dyDescent="0.4">
      <c r="A25" s="36" t="s">
        <v>39</v>
      </c>
      <c r="B25" s="36"/>
      <c r="C25" s="36"/>
      <c r="F25" s="23">
        <v>2025</v>
      </c>
      <c r="G25" s="24">
        <v>52</v>
      </c>
      <c r="H25" s="24">
        <v>135.05013815384612</v>
      </c>
      <c r="I25" s="24">
        <v>139.62223799999998</v>
      </c>
      <c r="J25" s="24">
        <v>142.69563315384613</v>
      </c>
      <c r="K25" s="24">
        <v>146.884027</v>
      </c>
      <c r="N25" s="14">
        <v>46062</v>
      </c>
      <c r="O25">
        <v>131.46178999999998</v>
      </c>
      <c r="P25">
        <v>140.72389400000003</v>
      </c>
    </row>
    <row r="26" spans="1:16" ht="16" x14ac:dyDescent="0.4">
      <c r="A26" s="39">
        <f>MIN(Weekly_Prices[Diesel_Price (p/litre)])</f>
        <v>76.408119999999997</v>
      </c>
      <c r="B26" s="39"/>
      <c r="C26" s="39"/>
      <c r="F26" s="23">
        <v>2026</v>
      </c>
      <c r="G26" s="24">
        <v>34</v>
      </c>
      <c r="H26" s="24">
        <v>148.48035785294115</v>
      </c>
      <c r="I26" s="24">
        <v>162.14530099999999</v>
      </c>
      <c r="J26" s="24">
        <v>168.09249985294116</v>
      </c>
      <c r="K26" s="24">
        <v>192.13534799999999</v>
      </c>
      <c r="N26" s="14">
        <v>46069</v>
      </c>
      <c r="O26">
        <v>131.597407</v>
      </c>
      <c r="P26">
        <v>141.45736099999999</v>
      </c>
    </row>
    <row r="27" spans="1:16" x14ac:dyDescent="0.35">
      <c r="F27" s="23" t="s">
        <v>40</v>
      </c>
      <c r="G27" s="24">
        <v>1212</v>
      </c>
      <c r="H27" s="24">
        <v>119.24759584096577</v>
      </c>
      <c r="I27" s="24">
        <v>191.546629</v>
      </c>
      <c r="J27" s="24">
        <v>125.03370263854271</v>
      </c>
      <c r="K27" s="24">
        <v>199.22</v>
      </c>
      <c r="N27" s="14">
        <v>46076</v>
      </c>
      <c r="O27">
        <v>131.70702400000002</v>
      </c>
      <c r="P27">
        <v>141.455443</v>
      </c>
    </row>
    <row r="28" spans="1:16" x14ac:dyDescent="0.35">
      <c r="N28" s="14">
        <v>46083</v>
      </c>
      <c r="O28">
        <v>132.13817599999999</v>
      </c>
      <c r="P28">
        <v>142.14869900000002</v>
      </c>
    </row>
    <row r="29" spans="1:16" ht="16" x14ac:dyDescent="0.4">
      <c r="A29" s="36" t="s">
        <v>48</v>
      </c>
      <c r="B29" s="37"/>
      <c r="C29" s="37"/>
      <c r="N29" s="14">
        <v>46090</v>
      </c>
      <c r="O29">
        <v>135.667125</v>
      </c>
      <c r="P29">
        <v>149.01496200000003</v>
      </c>
    </row>
    <row r="30" spans="1:16" ht="90" customHeight="1" x14ac:dyDescent="0.35">
      <c r="A30" s="38" t="s">
        <v>126</v>
      </c>
      <c r="B30" s="38"/>
      <c r="C30" s="38"/>
      <c r="N30" s="14">
        <v>46097</v>
      </c>
      <c r="O30">
        <v>140.275083</v>
      </c>
      <c r="P30">
        <v>158.78076900000002</v>
      </c>
    </row>
    <row r="31" spans="1:16" ht="90" customHeight="1" x14ac:dyDescent="0.35">
      <c r="A31" s="38" t="s">
        <v>127</v>
      </c>
      <c r="B31" s="38"/>
      <c r="C31" s="38"/>
      <c r="N31" s="14">
        <v>46104</v>
      </c>
      <c r="O31">
        <v>144.16244899999998</v>
      </c>
      <c r="P31">
        <v>166.877734</v>
      </c>
    </row>
    <row r="32" spans="1:16" ht="80" customHeight="1" x14ac:dyDescent="0.35">
      <c r="A32" s="38" t="s">
        <v>125</v>
      </c>
      <c r="B32" s="38"/>
      <c r="C32" s="38"/>
      <c r="N32" s="14">
        <v>46111</v>
      </c>
      <c r="O32">
        <v>148.781409</v>
      </c>
      <c r="P32">
        <v>176.52186600000002</v>
      </c>
    </row>
    <row r="33" spans="1:16" ht="90" customHeight="1" x14ac:dyDescent="0.35">
      <c r="A33" s="38" t="s">
        <v>124</v>
      </c>
      <c r="B33" s="38"/>
      <c r="C33" s="38"/>
      <c r="N33" s="14">
        <v>46118</v>
      </c>
      <c r="O33">
        <v>154.65179699999999</v>
      </c>
      <c r="P33">
        <v>186.74589200000003</v>
      </c>
    </row>
    <row r="34" spans="1:16" x14ac:dyDescent="0.35">
      <c r="N34" s="14">
        <v>46125</v>
      </c>
      <c r="O34">
        <v>158.17279600000001</v>
      </c>
      <c r="P34">
        <v>192.13534799999999</v>
      </c>
    </row>
    <row r="35" spans="1:16" x14ac:dyDescent="0.35">
      <c r="N35" s="14">
        <v>46132</v>
      </c>
      <c r="O35">
        <v>157.624481</v>
      </c>
      <c r="P35">
        <v>191.237031</v>
      </c>
    </row>
    <row r="36" spans="1:16" x14ac:dyDescent="0.35">
      <c r="N36" s="14">
        <v>46139</v>
      </c>
      <c r="O36">
        <v>156.99114800000004</v>
      </c>
      <c r="P36">
        <v>189.81097900000003</v>
      </c>
    </row>
    <row r="37" spans="1:16" x14ac:dyDescent="0.35">
      <c r="N37" s="14">
        <v>46146</v>
      </c>
      <c r="O37">
        <v>156.81544799999998</v>
      </c>
      <c r="P37">
        <v>188.79284200000001</v>
      </c>
    </row>
    <row r="38" spans="1:16" x14ac:dyDescent="0.35">
      <c r="N38" s="14">
        <v>46153</v>
      </c>
      <c r="O38">
        <v>156.80991900000001</v>
      </c>
      <c r="P38">
        <v>188.141614</v>
      </c>
    </row>
    <row r="39" spans="1:16" x14ac:dyDescent="0.35">
      <c r="N39" s="14">
        <v>46160</v>
      </c>
      <c r="O39">
        <v>157.39308400000002</v>
      </c>
      <c r="P39">
        <v>186.56378000000001</v>
      </c>
    </row>
    <row r="40" spans="1:16" x14ac:dyDescent="0.35">
      <c r="N40" s="14">
        <v>46167</v>
      </c>
      <c r="O40">
        <v>158.780822</v>
      </c>
      <c r="P40">
        <v>185.06502800000001</v>
      </c>
    </row>
    <row r="41" spans="1:16" x14ac:dyDescent="0.35">
      <c r="N41" s="14">
        <v>46174</v>
      </c>
      <c r="O41">
        <v>158.735591</v>
      </c>
      <c r="P41">
        <v>184.10922200000002</v>
      </c>
    </row>
    <row r="42" spans="1:16" x14ac:dyDescent="0.35">
      <c r="N42" s="14">
        <v>46181</v>
      </c>
      <c r="O42">
        <v>157.950931</v>
      </c>
      <c r="P42">
        <v>181.78607500000001</v>
      </c>
    </row>
    <row r="43" spans="1:16" x14ac:dyDescent="0.35">
      <c r="N43" s="14">
        <v>46188</v>
      </c>
      <c r="O43">
        <v>155.53671700000001</v>
      </c>
      <c r="P43">
        <v>176.71444</v>
      </c>
    </row>
    <row r="44" spans="1:16" x14ac:dyDescent="0.35">
      <c r="N44" s="14">
        <v>46195</v>
      </c>
      <c r="O44">
        <v>153.26066599999999</v>
      </c>
      <c r="P44">
        <v>172.46530100000001</v>
      </c>
    </row>
    <row r="45" spans="1:16" x14ac:dyDescent="0.35">
      <c r="N45" s="14">
        <v>46202</v>
      </c>
      <c r="O45">
        <v>151.01665299999999</v>
      </c>
      <c r="P45">
        <v>167.121861</v>
      </c>
    </row>
    <row r="46" spans="1:16" x14ac:dyDescent="0.35">
      <c r="N46" s="14">
        <v>46209</v>
      </c>
      <c r="O46">
        <v>149.79589500000003</v>
      </c>
      <c r="P46">
        <v>164.774722</v>
      </c>
    </row>
    <row r="47" spans="1:16" x14ac:dyDescent="0.35">
      <c r="N47" s="14">
        <v>46216</v>
      </c>
      <c r="O47">
        <v>150.529146</v>
      </c>
      <c r="P47">
        <v>164.51511599999998</v>
      </c>
    </row>
    <row r="48" spans="1:16" x14ac:dyDescent="0.35">
      <c r="N48" s="14">
        <v>46223</v>
      </c>
      <c r="O48">
        <v>152.29188300000001</v>
      </c>
      <c r="P48">
        <v>167.08453599999999</v>
      </c>
    </row>
    <row r="49" spans="14:16" x14ac:dyDescent="0.35">
      <c r="N49" s="14">
        <v>46230</v>
      </c>
      <c r="O49">
        <v>156.13248000000002</v>
      </c>
      <c r="P49">
        <v>173.96566300000001</v>
      </c>
    </row>
    <row r="50" spans="14:16" x14ac:dyDescent="0.35">
      <c r="N50" s="14">
        <v>46237</v>
      </c>
      <c r="O50">
        <v>159.889082</v>
      </c>
      <c r="P50">
        <v>179.186646</v>
      </c>
    </row>
    <row r="51" spans="14:16" x14ac:dyDescent="0.35">
      <c r="N51" s="14">
        <v>46244</v>
      </c>
      <c r="O51">
        <v>162.14530099999999</v>
      </c>
      <c r="P51">
        <v>181.97299099999998</v>
      </c>
    </row>
    <row r="52" spans="14:16" x14ac:dyDescent="0.35">
      <c r="N52" s="14">
        <v>46251</v>
      </c>
      <c r="O52">
        <v>161.802539</v>
      </c>
      <c r="P52">
        <v>182.45175599999999</v>
      </c>
    </row>
    <row r="53" spans="14:16" x14ac:dyDescent="0.35">
      <c r="N53" s="14">
        <v>46258</v>
      </c>
      <c r="O53">
        <v>161.627835</v>
      </c>
      <c r="P53">
        <v>182.81792899999999</v>
      </c>
    </row>
  </sheetData>
  <mergeCells count="20">
    <mergeCell ref="A22:C22"/>
    <mergeCell ref="A23:C23"/>
    <mergeCell ref="A25:C25"/>
    <mergeCell ref="A26:C26"/>
    <mergeCell ref="F1:K1"/>
    <mergeCell ref="A13:C13"/>
    <mergeCell ref="A14:C14"/>
    <mergeCell ref="A16:C16"/>
    <mergeCell ref="A17:C17"/>
    <mergeCell ref="A19:C19"/>
    <mergeCell ref="A20:C20"/>
    <mergeCell ref="A3:C3"/>
    <mergeCell ref="A1:C1"/>
    <mergeCell ref="A10:C10"/>
    <mergeCell ref="A11:C11"/>
    <mergeCell ref="A29:C29"/>
    <mergeCell ref="A30:C30"/>
    <mergeCell ref="A31:C31"/>
    <mergeCell ref="A32:C32"/>
    <mergeCell ref="A33:C33"/>
  </mergeCells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57CDD-AE8C-4D94-8D1B-347303088561}">
  <sheetPr>
    <tabColor rgb="FF00B050"/>
  </sheetPr>
  <dimension ref="A1:J17"/>
  <sheetViews>
    <sheetView showGridLines="0" workbookViewId="0">
      <selection activeCell="B12" sqref="B12"/>
    </sheetView>
  </sheetViews>
  <sheetFormatPr defaultRowHeight="14.5" x14ac:dyDescent="0.35"/>
  <cols>
    <col min="1" max="1" width="25.7265625" bestFit="1" customWidth="1"/>
    <col min="2" max="2" width="77.08984375" bestFit="1" customWidth="1"/>
    <col min="3" max="3" width="46.90625" bestFit="1" customWidth="1"/>
  </cols>
  <sheetData>
    <row r="1" spans="1:10" ht="21" x14ac:dyDescent="0.5">
      <c r="A1" s="52" t="s">
        <v>117</v>
      </c>
      <c r="B1" s="52"/>
      <c r="C1" s="53"/>
      <c r="D1" s="53"/>
      <c r="E1" s="32"/>
      <c r="F1" s="32"/>
      <c r="G1" s="32"/>
      <c r="H1" s="32"/>
      <c r="I1" s="32"/>
      <c r="J1" s="32"/>
    </row>
    <row r="2" spans="1:10" x14ac:dyDescent="0.35">
      <c r="A2" s="54" t="s">
        <v>118</v>
      </c>
      <c r="B2" s="54"/>
      <c r="C2" s="55"/>
      <c r="D2" s="55"/>
    </row>
    <row r="3" spans="1:10" ht="18" x14ac:dyDescent="0.35">
      <c r="A3" s="56" t="s">
        <v>119</v>
      </c>
      <c r="B3" s="56"/>
    </row>
    <row r="4" spans="1:10" ht="15.5" x14ac:dyDescent="0.35">
      <c r="A4" s="58" t="s">
        <v>123</v>
      </c>
      <c r="B4" s="58"/>
    </row>
    <row r="5" spans="1:10" x14ac:dyDescent="0.35">
      <c r="A5" s="57" t="s">
        <v>120</v>
      </c>
      <c r="B5" s="31">
        <v>42625</v>
      </c>
      <c r="D5" s="24"/>
      <c r="E5" s="24"/>
      <c r="F5" s="24"/>
      <c r="G5" s="24"/>
      <c r="H5" s="24"/>
      <c r="I5" s="24"/>
      <c r="J5" s="24"/>
    </row>
    <row r="6" spans="1:10" x14ac:dyDescent="0.35">
      <c r="A6" s="30" t="s">
        <v>121</v>
      </c>
      <c r="B6" s="30" t="s">
        <v>122</v>
      </c>
    </row>
    <row r="7" spans="1:10" x14ac:dyDescent="0.35">
      <c r="A7" s="24" t="s">
        <v>49</v>
      </c>
      <c r="B7" s="17" t="str">
        <f>IFERROR(_xlfn.XLOOKUP($B$5,Weekly_Prices[Date],Weekly_Prices[Week_ID]),"—")</f>
        <v>2016-38</v>
      </c>
      <c r="C7" s="17"/>
      <c r="D7" s="17"/>
      <c r="E7" s="17"/>
      <c r="F7" s="17"/>
      <c r="G7" s="17"/>
      <c r="H7" s="17"/>
      <c r="I7" s="17"/>
      <c r="J7" s="17"/>
    </row>
    <row r="8" spans="1:10" x14ac:dyDescent="0.35">
      <c r="A8" s="24" t="s">
        <v>22</v>
      </c>
      <c r="B8" s="17" t="str">
        <f>IFERROR(_xlfn.XLOOKUP($B$5,Weekly_Prices[Date],Weekly_Prices[MonthName]),"—")</f>
        <v>September</v>
      </c>
    </row>
    <row r="9" spans="1:10" x14ac:dyDescent="0.35">
      <c r="A9" s="24" t="s">
        <v>21</v>
      </c>
      <c r="B9" s="24">
        <f>IFERROR(_xlfn.XLOOKUP($B$5,Weekly_Prices[Date],Weekly_Prices[Year]),"—")</f>
        <v>2016</v>
      </c>
    </row>
    <row r="10" spans="1:10" x14ac:dyDescent="0.35">
      <c r="A10" s="24" t="s">
        <v>50</v>
      </c>
      <c r="B10" s="24">
        <f>IFERROR(_xlfn.XLOOKUP($B$5,Weekly_Prices[Date],Weekly_Prices [ Petrol_Price(p/litre)] ),"—")</f>
        <v>111.31260900000001</v>
      </c>
    </row>
    <row r="11" spans="1:10" x14ac:dyDescent="0.35">
      <c r="A11" s="24" t="s">
        <v>51</v>
      </c>
      <c r="B11" s="24">
        <f>IFERROR(_xlfn.XLOOKUP($B$5,Weekly_Prices[Date],Weekly_Prices[Petrol_Week_Change (p/litre)]),"—")</f>
        <v>0.3417440000000056</v>
      </c>
    </row>
    <row r="12" spans="1:10" x14ac:dyDescent="0.35">
      <c r="A12" s="24" t="s">
        <v>52</v>
      </c>
      <c r="B12" s="24">
        <f>IFERROR(_xlfn.XLOOKUP($B$5,Weekly_Prices[Date],Weekly_Prices[Petrol_Year_Change (p/litre)]),"—")</f>
        <v>0.70783837337859268</v>
      </c>
    </row>
    <row r="13" spans="1:10" x14ac:dyDescent="0.35">
      <c r="A13" s="24" t="s">
        <v>56</v>
      </c>
      <c r="B13" s="17">
        <f>IFERROR(_xlfn.XLOOKUP($B$5,Weekly_Prices[Date],Weekly_Prices[Petrol_Duty (p/litre)]),"—")</f>
        <v>57.95</v>
      </c>
    </row>
    <row r="14" spans="1:10" x14ac:dyDescent="0.35">
      <c r="A14" s="24" t="s">
        <v>53</v>
      </c>
      <c r="B14" s="24">
        <f>IFERROR(_xlfn.XLOOKUP($B$5,Weekly_Prices[Date],Weekly_Prices[Diesel_Price (p/litre)]),"—")</f>
        <v>113.419712</v>
      </c>
    </row>
    <row r="15" spans="1:10" x14ac:dyDescent="0.35">
      <c r="A15" s="24" t="s">
        <v>54</v>
      </c>
      <c r="B15" s="24">
        <f>IFERROR(_xlfn.XLOOKUP($B$5,Weekly_Prices[Date],Weekly_Prices[Diesel_Week_Change (p/litre)]),"—")</f>
        <v>0.31860500000001934</v>
      </c>
    </row>
    <row r="16" spans="1:10" x14ac:dyDescent="0.35">
      <c r="A16" s="24" t="s">
        <v>55</v>
      </c>
      <c r="B16" s="24">
        <f>IFERROR(_xlfn.XLOOKUP($B$5,Weekly_Prices[Date],Weekly_Prices[Diesel_Year_Change (p/litre)]),"—")</f>
        <v>3.4740538703908328</v>
      </c>
    </row>
    <row r="17" spans="1:2" x14ac:dyDescent="0.35">
      <c r="A17" s="24" t="s">
        <v>57</v>
      </c>
      <c r="B17" s="24">
        <f>IFERROR(_xlfn.XLOOKUP($B$5,Weekly_Prices[Date],Weekly_Prices[Diesel_Duty (p/litre)]),"—")</f>
        <v>57.95</v>
      </c>
    </row>
  </sheetData>
  <mergeCells count="4">
    <mergeCell ref="A3:B3"/>
    <mergeCell ref="A4:B4"/>
    <mergeCell ref="A1:B1"/>
    <mergeCell ref="A2:B2"/>
  </mergeCells>
  <dataValidations count="1">
    <dataValidation type="list" allowBlank="1" showInputMessage="1" showErrorMessage="1" sqref="B5" xr:uid="{F8F12138-2B0C-400A-A1F7-AC1D86FC6418}">
      <formula1>INDIRECT("Weekly_Prices[Date]")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01_ReadMe</vt:lpstr>
      <vt:lpstr>02_RawData</vt:lpstr>
      <vt:lpstr>03_CleanData</vt:lpstr>
      <vt:lpstr>04_Analysis &amp; Findings</vt:lpstr>
      <vt:lpstr>05_Dashboard</vt:lpstr>
    </vt:vector>
  </TitlesOfParts>
  <Company>Aston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Danish</dc:creator>
  <cp:lastModifiedBy>Muhammad Danish</cp:lastModifiedBy>
  <dcterms:created xsi:type="dcterms:W3CDTF">2026-09-14T09:37:43Z</dcterms:created>
  <dcterms:modified xsi:type="dcterms:W3CDTF">2026-09-15T11:19:15Z</dcterms:modified>
</cp:coreProperties>
</file>